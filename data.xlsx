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QF\Expenses\Master merge sheet\"/>
    </mc:Choice>
  </mc:AlternateContent>
  <xr:revisionPtr revIDLastSave="0" documentId="13_ncr:1_{5808B54E-31AB-40CA-944E-CBADBD9067EA}" xr6:coauthVersionLast="47" xr6:coauthVersionMax="47" xr10:uidLastSave="{00000000-0000-0000-0000-000000000000}"/>
  <bookViews>
    <workbookView xWindow="-108" yWindow="-108" windowWidth="23256" windowHeight="12456" firstSheet="4" activeTab="4" xr2:uid="{3A32D4B0-4517-49DD-9901-C3F18C73088A}"/>
  </bookViews>
  <sheets>
    <sheet name="Simple Menu Dashboard-May" sheetId="10" r:id="rId1"/>
    <sheet name="Simple Menu Dashboard-june" sheetId="8" r:id="rId2"/>
    <sheet name="Simple Menu Dashboard-july" sheetId="4" r:id="rId3"/>
    <sheet name="Simple Menu Dashboard-aug" sheetId="1" r:id="rId4"/>
    <sheet name="Simple Menu Dashboard-sep" sheetId="14" r:id="rId5"/>
    <sheet name="Exp wise rank" sheetId="12" r:id="rId6"/>
    <sheet name="Packing wise Rank" sheetId="11" r:id="rId7"/>
    <sheet name="Pateint Wise Rank" sheetId="13" r:id="rId8"/>
  </sheets>
  <externalReferences>
    <externalReference r:id="rId9"/>
  </externalReferences>
  <definedNames>
    <definedName name="_xlnm._FilterDatabase" localSheetId="6" hidden="1">'Packing wise Rank'!$B$1:$B$64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4" i="11" l="1"/>
  <c r="BM69" i="14"/>
  <c r="AJ6" i="14"/>
  <c r="BD300" i="10" a="1"/>
  <c r="BD300" i="10" s="1"/>
  <c r="BD299" i="10" a="1"/>
  <c r="BD299" i="10" s="1"/>
  <c r="BD298" i="10" a="1"/>
  <c r="BD298" i="10" s="1"/>
  <c r="BD297" i="10" a="1"/>
  <c r="BD297" i="10" s="1"/>
  <c r="BD296" i="10" a="1"/>
  <c r="BD296" i="10" s="1"/>
  <c r="BD295" i="10" a="1"/>
  <c r="BD295" i="10" s="1"/>
  <c r="BD294" i="10" a="1"/>
  <c r="BD294" i="10" s="1"/>
  <c r="BD293" i="10" a="1"/>
  <c r="BD293" i="10" s="1"/>
  <c r="BD292" i="10" a="1"/>
  <c r="BD292" i="10" s="1"/>
  <c r="BD291" i="10" a="1"/>
  <c r="BD291" i="10" s="1"/>
  <c r="BD290" i="10" a="1"/>
  <c r="BD290" i="10" s="1"/>
  <c r="BD289" i="10" a="1"/>
  <c r="BD289" i="10" s="1"/>
  <c r="BD288" i="10" a="1"/>
  <c r="BD288" i="10" s="1"/>
  <c r="BD287" i="10" a="1"/>
  <c r="BD287" i="10" s="1"/>
  <c r="BD286" i="10" a="1"/>
  <c r="BD286" i="10" s="1"/>
  <c r="BD285" i="10" a="1"/>
  <c r="BD285" i="10" s="1"/>
  <c r="BD284" i="10" a="1"/>
  <c r="BD284" i="10" s="1"/>
  <c r="BD283" i="10" a="1"/>
  <c r="BD283" i="10" s="1"/>
  <c r="BD282" i="10" a="1"/>
  <c r="BD282" i="10" s="1"/>
  <c r="BD281" i="10" a="1"/>
  <c r="BD281" i="10" s="1"/>
  <c r="BD280" i="10" a="1"/>
  <c r="BD280" i="10" s="1"/>
  <c r="BD279" i="10" a="1"/>
  <c r="BD279" i="10" s="1"/>
  <c r="BD278" i="10" a="1"/>
  <c r="BD278" i="10" s="1"/>
  <c r="BD277" i="10" a="1"/>
  <c r="BD277" i="10" s="1"/>
  <c r="BD276" i="10" a="1"/>
  <c r="BD276" i="10" s="1"/>
  <c r="BD275" i="10" a="1"/>
  <c r="BD275" i="10" s="1"/>
  <c r="BD274" i="10" a="1"/>
  <c r="BD274" i="10" s="1"/>
  <c r="BD273" i="10" a="1"/>
  <c r="BD273" i="10" s="1"/>
  <c r="BD272" i="10" a="1"/>
  <c r="BD272" i="10" s="1"/>
  <c r="BD271" i="10" a="1"/>
  <c r="BD271" i="10" s="1"/>
  <c r="BD270" i="10" a="1"/>
  <c r="BD270" i="10" s="1"/>
  <c r="BD269" i="10" a="1"/>
  <c r="BD269" i="10" s="1"/>
  <c r="BD268" i="10" a="1"/>
  <c r="BD268" i="10" s="1"/>
  <c r="BD267" i="10" a="1"/>
  <c r="BD267" i="10" s="1"/>
  <c r="BD266" i="10" a="1"/>
  <c r="BD266" i="10" s="1"/>
  <c r="BD265" i="10" a="1"/>
  <c r="BD265" i="10" s="1"/>
  <c r="BD264" i="10" a="1"/>
  <c r="BD264" i="10" s="1"/>
  <c r="BD263" i="10" a="1"/>
  <c r="BD263" i="10" s="1"/>
  <c r="BD262" i="10" a="1"/>
  <c r="BD262" i="10" s="1"/>
  <c r="BD261" i="10" a="1"/>
  <c r="BD261" i="10" s="1"/>
  <c r="BD260" i="10" a="1"/>
  <c r="BD260" i="10" s="1"/>
  <c r="BD259" i="10" a="1"/>
  <c r="BD259" i="10" s="1"/>
  <c r="BD258" i="10" a="1"/>
  <c r="BD258" i="10" s="1"/>
  <c r="BD257" i="10" a="1"/>
  <c r="BD257" i="10" s="1"/>
  <c r="BD256" i="10" a="1"/>
  <c r="BD256" i="10" s="1"/>
  <c r="BD255" i="10" a="1"/>
  <c r="BD255" i="10" s="1"/>
  <c r="BD254" i="10" a="1"/>
  <c r="BD254" i="10" s="1"/>
  <c r="BD253" i="10" a="1"/>
  <c r="BD253" i="10" s="1"/>
  <c r="BD252" i="10" a="1"/>
  <c r="BD252" i="10" s="1"/>
  <c r="BD251" i="10" a="1"/>
  <c r="BD251" i="10" s="1"/>
  <c r="BD250" i="10" a="1"/>
  <c r="BD250" i="10" s="1"/>
  <c r="BD249" i="10" a="1"/>
  <c r="BD249" i="10" s="1"/>
  <c r="BD248" i="10" a="1"/>
  <c r="BD248" i="10" s="1"/>
  <c r="BD247" i="10" a="1"/>
  <c r="BD247" i="10" s="1"/>
  <c r="BD246" i="10" a="1"/>
  <c r="BD246" i="10" s="1"/>
  <c r="BD245" i="10" a="1"/>
  <c r="BD245" i="10" s="1"/>
  <c r="BD244" i="10" a="1"/>
  <c r="BD244" i="10" s="1"/>
  <c r="BD243" i="10" a="1"/>
  <c r="BD243" i="10" s="1"/>
  <c r="BD242" i="10" a="1"/>
  <c r="BD242" i="10" s="1"/>
  <c r="BD241" i="10" a="1"/>
  <c r="BD241" i="10" s="1"/>
  <c r="BD240" i="10" a="1"/>
  <c r="BD240" i="10" s="1"/>
  <c r="BD239" i="10" a="1"/>
  <c r="BD239" i="10" s="1"/>
  <c r="BD238" i="10" a="1"/>
  <c r="BD238" i="10" s="1"/>
  <c r="BD237" i="10" a="1"/>
  <c r="BD237" i="10" s="1"/>
  <c r="BD236" i="10" a="1"/>
  <c r="BD236" i="10" s="1"/>
  <c r="BD235" i="10" a="1"/>
  <c r="BD235" i="10" s="1"/>
  <c r="BD234" i="10" a="1"/>
  <c r="BD234" i="10" s="1"/>
  <c r="BD233" i="10" a="1"/>
  <c r="BD233" i="10" s="1"/>
  <c r="BD232" i="10" a="1"/>
  <c r="BD232" i="10" s="1"/>
  <c r="BD231" i="10" a="1"/>
  <c r="BD231" i="10" s="1"/>
  <c r="BD230" i="10" a="1"/>
  <c r="BD230" i="10" s="1"/>
  <c r="BD229" i="10" a="1"/>
  <c r="BD229" i="10" s="1"/>
  <c r="BD228" i="10" a="1"/>
  <c r="BD228" i="10" s="1"/>
  <c r="BD227" i="10" a="1"/>
  <c r="BD227" i="10" s="1"/>
  <c r="BD226" i="10" a="1"/>
  <c r="BD226" i="10" s="1"/>
  <c r="BD225" i="10" a="1"/>
  <c r="BD225" i="10" s="1"/>
  <c r="BD224" i="10" a="1"/>
  <c r="BD224" i="10" s="1"/>
  <c r="BD223" i="10" a="1"/>
  <c r="BD223" i="10" s="1"/>
  <c r="BD222" i="10" a="1"/>
  <c r="BD222" i="10" s="1"/>
  <c r="BD221" i="10" a="1"/>
  <c r="BD221" i="10" s="1"/>
  <c r="BD220" i="10" a="1"/>
  <c r="BD220" i="10" s="1"/>
  <c r="BD219" i="10" a="1"/>
  <c r="BD219" i="10" s="1"/>
  <c r="BD218" i="10" a="1"/>
  <c r="BD218" i="10" s="1"/>
  <c r="BD217" i="10" a="1"/>
  <c r="BD217" i="10" s="1"/>
  <c r="BD216" i="10" a="1"/>
  <c r="BD216" i="10" s="1"/>
  <c r="BD215" i="10" a="1"/>
  <c r="BD215" i="10" s="1"/>
  <c r="BD214" i="10" a="1"/>
  <c r="BD214" i="10" s="1"/>
  <c r="BD213" i="10" a="1"/>
  <c r="BD213" i="10" s="1"/>
  <c r="BD212" i="10" a="1"/>
  <c r="BD212" i="10" s="1"/>
  <c r="BD211" i="10" a="1"/>
  <c r="BD211" i="10" s="1"/>
  <c r="BD210" i="10" a="1"/>
  <c r="BD210" i="10" s="1"/>
  <c r="BD209" i="10" a="1"/>
  <c r="BD209" i="10" s="1"/>
  <c r="BD208" i="10" a="1"/>
  <c r="BD208" i="10" s="1"/>
  <c r="BD207" i="10" a="1"/>
  <c r="BD207" i="10" s="1"/>
  <c r="BD206" i="10" a="1"/>
  <c r="BD206" i="10" s="1"/>
  <c r="BD205" i="10" a="1"/>
  <c r="BD205" i="10" s="1"/>
  <c r="BD204" i="10" a="1"/>
  <c r="BD204" i="10" s="1"/>
  <c r="BD203" i="10" a="1"/>
  <c r="BD203" i="10" s="1"/>
  <c r="BD202" i="10" a="1"/>
  <c r="BD202" i="10" s="1"/>
  <c r="BD201" i="10" a="1"/>
  <c r="BD201" i="10" s="1"/>
  <c r="BD200" i="10" a="1"/>
  <c r="BD200" i="10" s="1"/>
  <c r="BD199" i="10" a="1"/>
  <c r="BD199" i="10" s="1"/>
  <c r="BD198" i="10" a="1"/>
  <c r="BD198" i="10" s="1"/>
  <c r="BD197" i="10" a="1"/>
  <c r="BD197" i="10" s="1"/>
  <c r="BD196" i="10" a="1"/>
  <c r="BD196" i="10" s="1"/>
  <c r="BD195" i="10" a="1"/>
  <c r="BD195" i="10" s="1"/>
  <c r="BD194" i="10" a="1"/>
  <c r="BD194" i="10" s="1"/>
  <c r="BD193" i="10" a="1"/>
  <c r="BD193" i="10" s="1"/>
  <c r="BD192" i="10" a="1"/>
  <c r="BD192" i="10" s="1"/>
  <c r="BD191" i="10" a="1"/>
  <c r="BD191" i="10" s="1"/>
  <c r="BD190" i="10" a="1"/>
  <c r="BD190" i="10" s="1"/>
  <c r="BD189" i="10" a="1"/>
  <c r="BD189" i="10" s="1"/>
  <c r="BD188" i="10" a="1"/>
  <c r="BD188" i="10" s="1"/>
  <c r="BD187" i="10" a="1"/>
  <c r="BD187" i="10" s="1"/>
  <c r="BD186" i="10" a="1"/>
  <c r="BD186" i="10" s="1"/>
  <c r="BD185" i="10" a="1"/>
  <c r="BD185" i="10" s="1"/>
  <c r="BD184" i="10" a="1"/>
  <c r="BD184" i="10" s="1"/>
  <c r="BD183" i="10" a="1"/>
  <c r="BD183" i="10" s="1"/>
  <c r="BD182" i="10" a="1"/>
  <c r="BD182" i="10" s="1"/>
  <c r="BD181" i="10" a="1"/>
  <c r="BD181" i="10" s="1"/>
  <c r="BD180" i="10" a="1"/>
  <c r="BD180" i="10" s="1"/>
  <c r="BD179" i="10" a="1"/>
  <c r="BD179" i="10" s="1"/>
  <c r="BD178" i="10" a="1"/>
  <c r="BD178" i="10" s="1"/>
  <c r="BD177" i="10" a="1"/>
  <c r="BD177" i="10" s="1"/>
  <c r="BD176" i="10" a="1"/>
  <c r="BD176" i="10" s="1"/>
  <c r="BD175" i="10" a="1"/>
  <c r="BD175" i="10" s="1"/>
  <c r="BD174" i="10" a="1"/>
  <c r="BD174" i="10" s="1"/>
  <c r="BD173" i="10" a="1"/>
  <c r="BD173" i="10" s="1"/>
  <c r="BD172" i="10" a="1"/>
  <c r="BD172" i="10" s="1"/>
  <c r="BD171" i="10" a="1"/>
  <c r="BD171" i="10" s="1"/>
  <c r="BD170" i="10" a="1"/>
  <c r="BD170" i="10" s="1"/>
  <c r="BD169" i="10" a="1"/>
  <c r="BD169" i="10" s="1"/>
  <c r="BD168" i="10" a="1"/>
  <c r="BD168" i="10" s="1"/>
  <c r="BD167" i="10" a="1"/>
  <c r="BD167" i="10" s="1"/>
  <c r="BD166" i="10" a="1"/>
  <c r="BD166" i="10" s="1"/>
  <c r="BD165" i="10" a="1"/>
  <c r="BD165" i="10" s="1"/>
  <c r="BD164" i="10" a="1"/>
  <c r="BD164" i="10" s="1"/>
  <c r="BD163" i="10" a="1"/>
  <c r="BD163" i="10" s="1"/>
  <c r="BD162" i="10" a="1"/>
  <c r="BD162" i="10" s="1"/>
  <c r="BD161" i="10" a="1"/>
  <c r="BD161" i="10" s="1"/>
  <c r="BD160" i="10" a="1"/>
  <c r="BD160" i="10" s="1"/>
  <c r="BD159" i="10" a="1"/>
  <c r="BD159" i="10" s="1"/>
  <c r="BD158" i="10" a="1"/>
  <c r="BD158" i="10" s="1"/>
  <c r="BD157" i="10" a="1"/>
  <c r="BD157" i="10" s="1"/>
  <c r="BD156" i="10" a="1"/>
  <c r="BD156" i="10" s="1"/>
  <c r="BD155" i="10" a="1"/>
  <c r="BD155" i="10" s="1"/>
  <c r="BD154" i="10" a="1"/>
  <c r="BD154" i="10" s="1"/>
  <c r="BD153" i="10" a="1"/>
  <c r="BD153" i="10" s="1"/>
  <c r="AJ15" i="10"/>
  <c r="BG161" i="10" a="1"/>
  <c r="BG161" i="10" s="1"/>
  <c r="AJ14" i="10"/>
  <c r="BG160" i="10" a="1"/>
  <c r="BG160" i="10" s="1"/>
  <c r="AJ13" i="10"/>
  <c r="BG159" i="10" a="1"/>
  <c r="BG159" i="10" s="1"/>
  <c r="AJ12" i="10"/>
  <c r="BG158" i="10" a="1"/>
  <c r="BG158" i="10" s="1"/>
  <c r="AJ11" i="10"/>
  <c r="BG157" i="10" a="1"/>
  <c r="BG157" i="10" s="1"/>
  <c r="AJ10" i="10"/>
  <c r="BG156" i="10" a="1"/>
  <c r="BG156" i="10" s="1"/>
  <c r="AJ9" i="10"/>
  <c r="BG155" i="10" a="1"/>
  <c r="BG155" i="10" s="1"/>
  <c r="AJ8" i="10"/>
  <c r="BG154" i="10" a="1"/>
  <c r="BG154" i="10" s="1"/>
  <c r="AJ7" i="10"/>
  <c r="BG153" i="10" a="1"/>
  <c r="BG153" i="10" s="1"/>
  <c r="AJ6" i="10"/>
  <c r="BG152" i="10" a="1"/>
  <c r="BG152" i="10" s="1"/>
  <c r="O19" i="10" a="1"/>
  <c r="O19" i="10" s="1"/>
  <c r="O18" i="10" a="1"/>
  <c r="O18" i="10" s="1"/>
  <c r="O17" i="10" a="1"/>
  <c r="O17" i="10" s="1"/>
  <c r="N8" i="10"/>
  <c r="E8" i="10" a="1"/>
  <c r="E8" i="10" s="1"/>
  <c r="BD301" i="1" a="1"/>
  <c r="BD301" i="1" s="1"/>
  <c r="BD300" i="1" a="1"/>
  <c r="BD300" i="1" s="1"/>
  <c r="BD299" i="1" a="1"/>
  <c r="BD299" i="1" s="1"/>
  <c r="BD298" i="1" a="1"/>
  <c r="BD298" i="1" s="1"/>
  <c r="BD297" i="1" a="1"/>
  <c r="BD297" i="1" s="1"/>
  <c r="BD296" i="1" a="1"/>
  <c r="BD296" i="1" s="1"/>
  <c r="BD295" i="1" a="1"/>
  <c r="BD295" i="1" s="1"/>
  <c r="BD294" i="1" a="1"/>
  <c r="BD294" i="1" s="1"/>
  <c r="BD293" i="1" a="1"/>
  <c r="BD293" i="1" s="1"/>
  <c r="BD292" i="1" a="1"/>
  <c r="BD292" i="1" s="1"/>
  <c r="BD291" i="1" a="1"/>
  <c r="BD291" i="1" s="1"/>
  <c r="BD290" i="1" a="1"/>
  <c r="BD290" i="1" s="1"/>
  <c r="BD289" i="1" a="1"/>
  <c r="BD289" i="1" s="1"/>
  <c r="BD288" i="1" a="1"/>
  <c r="BD288" i="1" s="1"/>
  <c r="BD287" i="1" a="1"/>
  <c r="BD287" i="1" s="1"/>
  <c r="BD286" i="1" a="1"/>
  <c r="BD286" i="1" s="1"/>
  <c r="BD285" i="1" a="1"/>
  <c r="BD285" i="1" s="1"/>
  <c r="BD284" i="1" a="1"/>
  <c r="BD284" i="1" s="1"/>
  <c r="BD283" i="1" a="1"/>
  <c r="BD283" i="1" s="1"/>
  <c r="BD282" i="1" a="1"/>
  <c r="BD282" i="1" s="1"/>
  <c r="BD281" i="1" a="1"/>
  <c r="BD281" i="1" s="1"/>
  <c r="BD280" i="1" a="1"/>
  <c r="BD280" i="1" s="1"/>
  <c r="BD279" i="1" a="1"/>
  <c r="BD279" i="1" s="1"/>
  <c r="BD278" i="1" a="1"/>
  <c r="BD278" i="1" s="1"/>
  <c r="BD277" i="1" a="1"/>
  <c r="BD277" i="1" s="1"/>
  <c r="BD276" i="1" a="1"/>
  <c r="BD276" i="1" s="1"/>
  <c r="BD275" i="1" a="1"/>
  <c r="BD275" i="1" s="1"/>
  <c r="BD274" i="1" a="1"/>
  <c r="BD274" i="1" s="1"/>
  <c r="BD273" i="1" a="1"/>
  <c r="BD273" i="1" s="1"/>
  <c r="BD272" i="1" a="1"/>
  <c r="BD272" i="1" s="1"/>
  <c r="BD271" i="1" a="1"/>
  <c r="BD271" i="1" s="1"/>
  <c r="BD270" i="1" a="1"/>
  <c r="BD270" i="1" s="1"/>
  <c r="BD269" i="1" a="1"/>
  <c r="BD269" i="1" s="1"/>
  <c r="BD268" i="1" a="1"/>
  <c r="BD268" i="1" s="1"/>
  <c r="BD267" i="1" a="1"/>
  <c r="BD267" i="1" s="1"/>
  <c r="BD266" i="1" a="1"/>
  <c r="BD266" i="1" s="1"/>
  <c r="BD265" i="1" a="1"/>
  <c r="BD265" i="1" s="1"/>
  <c r="BD264" i="1" a="1"/>
  <c r="BD264" i="1" s="1"/>
  <c r="BD263" i="1" a="1"/>
  <c r="BD263" i="1" s="1"/>
  <c r="BD262" i="1" a="1"/>
  <c r="BD262" i="1" s="1"/>
  <c r="BD261" i="1" a="1"/>
  <c r="BD261" i="1" s="1"/>
  <c r="BD260" i="1" a="1"/>
  <c r="BD260" i="1" s="1"/>
  <c r="BD259" i="1" a="1"/>
  <c r="BD259" i="1" s="1"/>
  <c r="BD258" i="1" a="1"/>
  <c r="BD258" i="1" s="1"/>
  <c r="BD257" i="1" a="1"/>
  <c r="BD257" i="1" s="1"/>
  <c r="BD256" i="1" a="1"/>
  <c r="BD256" i="1" s="1"/>
  <c r="BD255" i="1" a="1"/>
  <c r="BD255" i="1" s="1"/>
  <c r="BD254" i="1" a="1"/>
  <c r="BD254" i="1" s="1"/>
  <c r="BD253" i="1" a="1"/>
  <c r="BD253" i="1" s="1"/>
  <c r="BD252" i="1" a="1"/>
  <c r="BD252" i="1" s="1"/>
  <c r="BD251" i="1" a="1"/>
  <c r="BD251" i="1" s="1"/>
  <c r="BD250" i="1" a="1"/>
  <c r="BD250" i="1" s="1"/>
  <c r="BD249" i="1" a="1"/>
  <c r="BD249" i="1" s="1"/>
  <c r="BD248" i="1" a="1"/>
  <c r="BD248" i="1" s="1"/>
  <c r="BD247" i="1" a="1"/>
  <c r="BD247" i="1" s="1"/>
  <c r="BD246" i="1" a="1"/>
  <c r="BD246" i="1" s="1"/>
  <c r="BD245" i="1" a="1"/>
  <c r="BD245" i="1" s="1"/>
  <c r="BD244" i="1" a="1"/>
  <c r="BD244" i="1" s="1"/>
  <c r="BD243" i="1" a="1"/>
  <c r="BD243" i="1" s="1"/>
  <c r="BD242" i="1" a="1"/>
  <c r="BD242" i="1" s="1"/>
  <c r="BD241" i="1" a="1"/>
  <c r="BD241" i="1" s="1"/>
  <c r="BD240" i="1" a="1"/>
  <c r="BD240" i="1" s="1"/>
  <c r="BD239" i="1" a="1"/>
  <c r="BD239" i="1" s="1"/>
  <c r="BD238" i="1" a="1"/>
  <c r="BD238" i="1" s="1"/>
  <c r="BD237" i="1" a="1"/>
  <c r="BD237" i="1" s="1"/>
  <c r="BD236" i="1" a="1"/>
  <c r="BD236" i="1" s="1"/>
  <c r="BD235" i="1" a="1"/>
  <c r="BD235" i="1" s="1"/>
  <c r="BD234" i="1" a="1"/>
  <c r="BD234" i="1" s="1"/>
  <c r="BD233" i="1" a="1"/>
  <c r="BD233" i="1" s="1"/>
  <c r="BD232" i="1" a="1"/>
  <c r="BD232" i="1" s="1"/>
  <c r="BD231" i="1" a="1"/>
  <c r="BD231" i="1" s="1"/>
  <c r="BD230" i="1" a="1"/>
  <c r="BD230" i="1" s="1"/>
  <c r="BD229" i="1" a="1"/>
  <c r="BD229" i="1" s="1"/>
  <c r="BD228" i="1" a="1"/>
  <c r="BD228" i="1" s="1"/>
  <c r="BD227" i="1" a="1"/>
  <c r="BD227" i="1" s="1"/>
  <c r="BD226" i="1" a="1"/>
  <c r="BD226" i="1" s="1"/>
  <c r="BD225" i="1" a="1"/>
  <c r="BD225" i="1" s="1"/>
  <c r="BD224" i="1" a="1"/>
  <c r="BD224" i="1" s="1"/>
  <c r="BD223" i="1" a="1"/>
  <c r="BD223" i="1" s="1"/>
  <c r="BD222" i="1" a="1"/>
  <c r="BD222" i="1" s="1"/>
  <c r="BD221" i="1" a="1"/>
  <c r="BD221" i="1" s="1"/>
  <c r="BD220" i="1" a="1"/>
  <c r="BD220" i="1" s="1"/>
  <c r="BD219" i="1" a="1"/>
  <c r="BD219" i="1" s="1"/>
  <c r="BD218" i="1" a="1"/>
  <c r="BD218" i="1" s="1"/>
  <c r="BD217" i="1" a="1"/>
  <c r="BD217" i="1" s="1"/>
  <c r="BD216" i="1" a="1"/>
  <c r="BD216" i="1" s="1"/>
  <c r="BD215" i="1" a="1"/>
  <c r="BD215" i="1" s="1"/>
  <c r="BD214" i="1" a="1"/>
  <c r="BD214" i="1" s="1"/>
  <c r="BD213" i="1" a="1"/>
  <c r="BD213" i="1" s="1"/>
  <c r="BD212" i="1" a="1"/>
  <c r="BD212" i="1" s="1"/>
  <c r="BD211" i="1" a="1"/>
  <c r="BD211" i="1" s="1"/>
  <c r="BD210" i="1" a="1"/>
  <c r="BD210" i="1" s="1"/>
  <c r="BD209" i="1" a="1"/>
  <c r="BD209" i="1" s="1"/>
  <c r="BD208" i="1" a="1"/>
  <c r="BD208" i="1" s="1"/>
  <c r="BD207" i="1" a="1"/>
  <c r="BD207" i="1" s="1"/>
  <c r="BD206" i="1" a="1"/>
  <c r="BD206" i="1" s="1"/>
  <c r="BD205" i="1" a="1"/>
  <c r="BD205" i="1" s="1"/>
  <c r="BD204" i="1" a="1"/>
  <c r="BD204" i="1" s="1"/>
  <c r="BD203" i="1" a="1"/>
  <c r="BD203" i="1" s="1"/>
  <c r="BD202" i="1" a="1"/>
  <c r="BD202" i="1" s="1"/>
  <c r="BD201" i="1" a="1"/>
  <c r="BD201" i="1" s="1"/>
  <c r="BD200" i="1" a="1"/>
  <c r="BD200" i="1" s="1"/>
  <c r="BD199" i="1" a="1"/>
  <c r="BD199" i="1" s="1"/>
  <c r="BD198" i="1" a="1"/>
  <c r="BD198" i="1" s="1"/>
  <c r="BD197" i="1" a="1"/>
  <c r="BD197" i="1" s="1"/>
  <c r="BD196" i="1" a="1"/>
  <c r="BD196" i="1" s="1"/>
  <c r="BD195" i="1" a="1"/>
  <c r="BD195" i="1" s="1"/>
  <c r="BD194" i="1" a="1"/>
  <c r="BD194" i="1" s="1"/>
  <c r="BD193" i="1" a="1"/>
  <c r="BD193" i="1" s="1"/>
  <c r="BD192" i="1" a="1"/>
  <c r="BD192" i="1" s="1"/>
  <c r="BD191" i="1" a="1"/>
  <c r="BD191" i="1" s="1"/>
  <c r="BD190" i="1" a="1"/>
  <c r="BD190" i="1" s="1"/>
  <c r="BD189" i="1" a="1"/>
  <c r="BD189" i="1" s="1"/>
  <c r="BD188" i="1" a="1"/>
  <c r="BD188" i="1" s="1"/>
  <c r="BD187" i="1" a="1"/>
  <c r="BD187" i="1" s="1"/>
  <c r="BD186" i="1" a="1"/>
  <c r="BD186" i="1" s="1"/>
  <c r="BD185" i="1" a="1"/>
  <c r="BD185" i="1" s="1"/>
  <c r="BD184" i="1" a="1"/>
  <c r="BD184" i="1" s="1"/>
  <c r="BD183" i="1" a="1"/>
  <c r="BD183" i="1" s="1"/>
  <c r="BD182" i="1" a="1"/>
  <c r="BD182" i="1" s="1"/>
  <c r="BD181" i="1" a="1"/>
  <c r="BD181" i="1" s="1"/>
  <c r="BD180" i="1" a="1"/>
  <c r="BD180" i="1" s="1"/>
  <c r="BD179" i="1" a="1"/>
  <c r="BD179" i="1" s="1"/>
  <c r="BD178" i="1" a="1"/>
  <c r="BD178" i="1" s="1"/>
  <c r="BD177" i="1" a="1"/>
  <c r="BD177" i="1" s="1"/>
  <c r="BD176" i="1" a="1"/>
  <c r="BD176" i="1" s="1"/>
  <c r="BD175" i="1" a="1"/>
  <c r="BD175" i="1" s="1"/>
  <c r="BD174" i="1" a="1"/>
  <c r="BD174" i="1" s="1"/>
  <c r="BD173" i="1" a="1"/>
  <c r="BD173" i="1" s="1"/>
  <c r="BD172" i="1" a="1"/>
  <c r="BD172" i="1" s="1"/>
  <c r="BD171" i="1" a="1"/>
  <c r="BD171" i="1" s="1"/>
  <c r="BD170" i="1" a="1"/>
  <c r="BD170" i="1" s="1"/>
  <c r="BD169" i="1" a="1"/>
  <c r="BD169" i="1" s="1"/>
  <c r="BD168" i="1" a="1"/>
  <c r="BD168" i="1" s="1"/>
  <c r="BD167" i="1" a="1"/>
  <c r="BD167" i="1" s="1"/>
  <c r="BD166" i="1" a="1"/>
  <c r="BD166" i="1" s="1"/>
  <c r="BD165" i="1" a="1"/>
  <c r="BD165" i="1" s="1"/>
  <c r="BD164" i="1" a="1"/>
  <c r="BD164" i="1" s="1"/>
  <c r="BD163" i="1" a="1"/>
  <c r="BD163" i="1" s="1"/>
  <c r="BD162" i="1" a="1"/>
  <c r="BD162" i="1" s="1"/>
  <c r="BD161" i="1" a="1"/>
  <c r="BD161" i="1" s="1"/>
  <c r="BD160" i="1" a="1"/>
  <c r="BD160" i="1" s="1"/>
  <c r="BD159" i="1" a="1"/>
  <c r="BD159" i="1" s="1"/>
  <c r="BD158" i="1" a="1"/>
  <c r="BD158" i="1" s="1"/>
  <c r="BD157" i="1" a="1"/>
  <c r="BD157" i="1" s="1"/>
  <c r="BD156" i="1" a="1"/>
  <c r="BD156" i="1" s="1"/>
  <c r="BD155" i="1" a="1"/>
  <c r="BD155" i="1" s="1"/>
  <c r="BD154" i="1" a="1"/>
  <c r="BD154" i="1" s="1"/>
  <c r="BD153" i="1" a="1"/>
  <c r="BD153" i="1" s="1"/>
  <c r="N8" i="1"/>
  <c r="E8" i="1" a="1"/>
  <c r="E8" i="1" s="1"/>
  <c r="BD301" i="4" a="1"/>
  <c r="BD301" i="4" s="1"/>
  <c r="BD300" i="4" a="1"/>
  <c r="BD300" i="4" s="1"/>
  <c r="BD299" i="4" a="1"/>
  <c r="BD299" i="4" s="1"/>
  <c r="BD298" i="4" a="1"/>
  <c r="BD298" i="4" s="1"/>
  <c r="BD297" i="4" a="1"/>
  <c r="BD297" i="4" s="1"/>
  <c r="BD296" i="4" a="1"/>
  <c r="BD296" i="4" s="1"/>
  <c r="BD295" i="4" a="1"/>
  <c r="BD295" i="4" s="1"/>
  <c r="BD294" i="4" a="1"/>
  <c r="BD294" i="4" s="1"/>
  <c r="BD293" i="4" a="1"/>
  <c r="BD293" i="4" s="1"/>
  <c r="BD292" i="4" a="1"/>
  <c r="BD292" i="4" s="1"/>
  <c r="BD291" i="4" a="1"/>
  <c r="BD291" i="4" s="1"/>
  <c r="BD290" i="4" a="1"/>
  <c r="BD290" i="4" s="1"/>
  <c r="BD289" i="4" a="1"/>
  <c r="BD289" i="4" s="1"/>
  <c r="BD288" i="4" a="1"/>
  <c r="BD288" i="4" s="1"/>
  <c r="BD287" i="4" a="1"/>
  <c r="BD287" i="4" s="1"/>
  <c r="BD286" i="4" a="1"/>
  <c r="BD286" i="4" s="1"/>
  <c r="BD285" i="4" a="1"/>
  <c r="BD285" i="4" s="1"/>
  <c r="BD284" i="4" a="1"/>
  <c r="BD284" i="4" s="1"/>
  <c r="BD283" i="4" a="1"/>
  <c r="BD283" i="4" s="1"/>
  <c r="BD282" i="4" a="1"/>
  <c r="BD282" i="4" s="1"/>
  <c r="BD281" i="4" a="1"/>
  <c r="BD281" i="4" s="1"/>
  <c r="BD280" i="4" a="1"/>
  <c r="BD280" i="4" s="1"/>
  <c r="BD279" i="4" a="1"/>
  <c r="BD279" i="4" s="1"/>
  <c r="BD278" i="4" a="1"/>
  <c r="BD278" i="4" s="1"/>
  <c r="BD277" i="4" a="1"/>
  <c r="BD277" i="4" s="1"/>
  <c r="BD276" i="4" a="1"/>
  <c r="BD276" i="4" s="1"/>
  <c r="BD275" i="4" a="1"/>
  <c r="BD275" i="4" s="1"/>
  <c r="BD274" i="4" a="1"/>
  <c r="BD274" i="4" s="1"/>
  <c r="BD273" i="4" a="1"/>
  <c r="BD273" i="4" s="1"/>
  <c r="BD272" i="4" a="1"/>
  <c r="BD272" i="4" s="1"/>
  <c r="BD271" i="4" a="1"/>
  <c r="BD271" i="4" s="1"/>
  <c r="BD270" i="4" a="1"/>
  <c r="BD270" i="4" s="1"/>
  <c r="BD269" i="4" a="1"/>
  <c r="BD269" i="4" s="1"/>
  <c r="BD268" i="4" a="1"/>
  <c r="BD268" i="4" s="1"/>
  <c r="BD267" i="4" a="1"/>
  <c r="BD267" i="4" s="1"/>
  <c r="BD266" i="4" a="1"/>
  <c r="BD266" i="4" s="1"/>
  <c r="BD265" i="4" a="1"/>
  <c r="BD265" i="4" s="1"/>
  <c r="BD264" i="4" a="1"/>
  <c r="BD264" i="4" s="1"/>
  <c r="BD263" i="4" a="1"/>
  <c r="BD263" i="4" s="1"/>
  <c r="BD262" i="4" a="1"/>
  <c r="BD262" i="4" s="1"/>
  <c r="BD261" i="4" a="1"/>
  <c r="BD261" i="4" s="1"/>
  <c r="BD260" i="4" a="1"/>
  <c r="BD260" i="4" s="1"/>
  <c r="BD259" i="4" a="1"/>
  <c r="BD259" i="4" s="1"/>
  <c r="BD258" i="4" a="1"/>
  <c r="BD258" i="4" s="1"/>
  <c r="BD257" i="4" a="1"/>
  <c r="BD257" i="4" s="1"/>
  <c r="BD256" i="4" a="1"/>
  <c r="BD256" i="4" s="1"/>
  <c r="BD255" i="4" a="1"/>
  <c r="BD255" i="4" s="1"/>
  <c r="BD254" i="4" a="1"/>
  <c r="BD254" i="4" s="1"/>
  <c r="BD253" i="4" a="1"/>
  <c r="BD253" i="4" s="1"/>
  <c r="BD252" i="4" a="1"/>
  <c r="BD252" i="4" s="1"/>
  <c r="BD251" i="4" a="1"/>
  <c r="BD251" i="4" s="1"/>
  <c r="BD250" i="4" a="1"/>
  <c r="BD250" i="4" s="1"/>
  <c r="BD249" i="4" a="1"/>
  <c r="BD249" i="4" s="1"/>
  <c r="BD248" i="4" a="1"/>
  <c r="BD248" i="4" s="1"/>
  <c r="BD247" i="4" a="1"/>
  <c r="BD247" i="4" s="1"/>
  <c r="BD246" i="4" a="1"/>
  <c r="BD246" i="4" s="1"/>
  <c r="BD245" i="4" a="1"/>
  <c r="BD245" i="4" s="1"/>
  <c r="BD244" i="4" a="1"/>
  <c r="BD244" i="4" s="1"/>
  <c r="BD243" i="4" a="1"/>
  <c r="BD243" i="4" s="1"/>
  <c r="BD242" i="4" a="1"/>
  <c r="BD242" i="4" s="1"/>
  <c r="BD241" i="4" a="1"/>
  <c r="BD241" i="4" s="1"/>
  <c r="BD240" i="4" a="1"/>
  <c r="BD240" i="4" s="1"/>
  <c r="BD239" i="4" a="1"/>
  <c r="BD239" i="4" s="1"/>
  <c r="BD238" i="4" a="1"/>
  <c r="BD238" i="4" s="1"/>
  <c r="BD237" i="4" a="1"/>
  <c r="BD237" i="4" s="1"/>
  <c r="BD236" i="4" a="1"/>
  <c r="BD236" i="4" s="1"/>
  <c r="BD235" i="4" a="1"/>
  <c r="BD235" i="4" s="1"/>
  <c r="BD234" i="4" a="1"/>
  <c r="BD234" i="4" s="1"/>
  <c r="BD233" i="4" a="1"/>
  <c r="BD233" i="4" s="1"/>
  <c r="BD232" i="4" a="1"/>
  <c r="BD232" i="4" s="1"/>
  <c r="BD231" i="4" a="1"/>
  <c r="BD231" i="4" s="1"/>
  <c r="BD230" i="4" a="1"/>
  <c r="BD230" i="4" s="1"/>
  <c r="BD229" i="4" a="1"/>
  <c r="BD229" i="4" s="1"/>
  <c r="BD228" i="4" a="1"/>
  <c r="BD228" i="4" s="1"/>
  <c r="BD227" i="4" a="1"/>
  <c r="BD227" i="4" s="1"/>
  <c r="BD226" i="4" a="1"/>
  <c r="BD226" i="4" s="1"/>
  <c r="BD225" i="4" a="1"/>
  <c r="BD225" i="4" s="1"/>
  <c r="BD224" i="4" a="1"/>
  <c r="BD224" i="4" s="1"/>
  <c r="BD223" i="4" a="1"/>
  <c r="BD223" i="4" s="1"/>
  <c r="BD222" i="4" a="1"/>
  <c r="BD222" i="4" s="1"/>
  <c r="BD221" i="4" a="1"/>
  <c r="BD221" i="4" s="1"/>
  <c r="BD220" i="4" a="1"/>
  <c r="BD220" i="4" s="1"/>
  <c r="BD219" i="4" a="1"/>
  <c r="BD219" i="4" s="1"/>
  <c r="BD218" i="4" a="1"/>
  <c r="BD218" i="4" s="1"/>
  <c r="BD217" i="4" a="1"/>
  <c r="BD217" i="4" s="1"/>
  <c r="BD216" i="4" a="1"/>
  <c r="BD216" i="4" s="1"/>
  <c r="BD215" i="4" a="1"/>
  <c r="BD215" i="4" s="1"/>
  <c r="BD214" i="4" a="1"/>
  <c r="BD214" i="4" s="1"/>
  <c r="BD213" i="4" a="1"/>
  <c r="BD213" i="4" s="1"/>
  <c r="BD212" i="4" a="1"/>
  <c r="BD212" i="4" s="1"/>
  <c r="BD211" i="4" a="1"/>
  <c r="BD211" i="4" s="1"/>
  <c r="BD210" i="4" a="1"/>
  <c r="BD210" i="4" s="1"/>
  <c r="BD209" i="4" a="1"/>
  <c r="BD209" i="4" s="1"/>
  <c r="BD208" i="4" a="1"/>
  <c r="BD208" i="4" s="1"/>
  <c r="BD207" i="4" a="1"/>
  <c r="BD207" i="4" s="1"/>
  <c r="BD206" i="4" a="1"/>
  <c r="BD206" i="4" s="1"/>
  <c r="BD205" i="4" a="1"/>
  <c r="BD205" i="4" s="1"/>
  <c r="BD204" i="4" a="1"/>
  <c r="BD204" i="4" s="1"/>
  <c r="BD203" i="4" a="1"/>
  <c r="BD203" i="4" s="1"/>
  <c r="BD202" i="4" a="1"/>
  <c r="BD202" i="4" s="1"/>
  <c r="BD201" i="4" a="1"/>
  <c r="BD201" i="4" s="1"/>
  <c r="BD200" i="4" a="1"/>
  <c r="BD200" i="4" s="1"/>
  <c r="BD199" i="4" a="1"/>
  <c r="BD199" i="4" s="1"/>
  <c r="BD198" i="4" a="1"/>
  <c r="BD198" i="4" s="1"/>
  <c r="BD197" i="4" a="1"/>
  <c r="BD197" i="4" s="1"/>
  <c r="BD196" i="4" a="1"/>
  <c r="BD196" i="4" s="1"/>
  <c r="BD195" i="4" a="1"/>
  <c r="BD195" i="4" s="1"/>
  <c r="BD194" i="4" a="1"/>
  <c r="BD194" i="4" s="1"/>
  <c r="BD193" i="4" a="1"/>
  <c r="BD193" i="4" s="1"/>
  <c r="BD192" i="4" a="1"/>
  <c r="BD192" i="4" s="1"/>
  <c r="BD191" i="4" a="1"/>
  <c r="BD191" i="4" s="1"/>
  <c r="BD190" i="4" a="1"/>
  <c r="BD190" i="4" s="1"/>
  <c r="BD189" i="4" a="1"/>
  <c r="BD189" i="4" s="1"/>
  <c r="BD188" i="4" a="1"/>
  <c r="BD188" i="4" s="1"/>
  <c r="BD187" i="4" a="1"/>
  <c r="BD187" i="4" s="1"/>
  <c r="BD186" i="4" a="1"/>
  <c r="BD186" i="4" s="1"/>
  <c r="BD185" i="4" a="1"/>
  <c r="BD185" i="4" s="1"/>
  <c r="BD184" i="4" a="1"/>
  <c r="BD184" i="4" s="1"/>
  <c r="BD183" i="4" a="1"/>
  <c r="BD183" i="4" s="1"/>
  <c r="BD182" i="4" a="1"/>
  <c r="BD182" i="4" s="1"/>
  <c r="BD181" i="4" a="1"/>
  <c r="BD181" i="4" s="1"/>
  <c r="BD180" i="4" a="1"/>
  <c r="BD180" i="4" s="1"/>
  <c r="BD179" i="4" a="1"/>
  <c r="BD179" i="4" s="1"/>
  <c r="BD178" i="4" a="1"/>
  <c r="BD178" i="4" s="1"/>
  <c r="BD177" i="4" a="1"/>
  <c r="BD177" i="4" s="1"/>
  <c r="BD176" i="4" a="1"/>
  <c r="BD176" i="4" s="1"/>
  <c r="BD175" i="4" a="1"/>
  <c r="BD175" i="4" s="1"/>
  <c r="BD174" i="4" a="1"/>
  <c r="BD174" i="4" s="1"/>
  <c r="BD173" i="4" a="1"/>
  <c r="BD173" i="4" s="1"/>
  <c r="BD172" i="4" a="1"/>
  <c r="BD172" i="4" s="1"/>
  <c r="BD171" i="4" a="1"/>
  <c r="BD171" i="4" s="1"/>
  <c r="BD170" i="4" a="1"/>
  <c r="BD170" i="4" s="1"/>
  <c r="BD169" i="4" a="1"/>
  <c r="BD169" i="4" s="1"/>
  <c r="BD168" i="4" a="1"/>
  <c r="BD168" i="4" s="1"/>
  <c r="BD167" i="4" a="1"/>
  <c r="BD167" i="4" s="1"/>
  <c r="BD166" i="4" a="1"/>
  <c r="BD166" i="4" s="1"/>
  <c r="BD165" i="4" a="1"/>
  <c r="BD165" i="4" s="1"/>
  <c r="BD164" i="4" a="1"/>
  <c r="BD164" i="4" s="1"/>
  <c r="BD163" i="4" a="1"/>
  <c r="BD163" i="4" s="1"/>
  <c r="BD162" i="4" a="1"/>
  <c r="BD162" i="4" s="1"/>
  <c r="BD161" i="4" a="1"/>
  <c r="BD161" i="4" s="1"/>
  <c r="BD160" i="4" a="1"/>
  <c r="BD160" i="4" s="1"/>
  <c r="BD159" i="4" a="1"/>
  <c r="BD159" i="4" s="1"/>
  <c r="BD158" i="4" a="1"/>
  <c r="BD158" i="4" s="1"/>
  <c r="BD157" i="4" a="1"/>
  <c r="BD157" i="4" s="1"/>
  <c r="BD156" i="4" a="1"/>
  <c r="BD156" i="4" s="1"/>
  <c r="BD155" i="4" a="1"/>
  <c r="BD155" i="4" s="1"/>
  <c r="BD154" i="4" a="1"/>
  <c r="BD154" i="4" s="1"/>
  <c r="BD153" i="4" a="1"/>
  <c r="BD153" i="4" s="1"/>
  <c r="AJ15" i="4"/>
  <c r="BG161" i="4" a="1"/>
  <c r="BG161" i="4" s="1"/>
  <c r="AJ14" i="4"/>
  <c r="BG160" i="4" a="1"/>
  <c r="BG160" i="4" s="1"/>
  <c r="AJ13" i="4"/>
  <c r="BG159" i="4" a="1"/>
  <c r="BG159" i="4" s="1"/>
  <c r="AJ12" i="4"/>
  <c r="BG158" i="4" a="1"/>
  <c r="BG158" i="4" s="1"/>
  <c r="AJ11" i="4"/>
  <c r="BG157" i="4" a="1"/>
  <c r="BG157" i="4" s="1"/>
  <c r="AJ10" i="4"/>
  <c r="BG156" i="4" a="1"/>
  <c r="BG156" i="4" s="1"/>
  <c r="AJ9" i="4"/>
  <c r="BG155" i="4" a="1"/>
  <c r="BG155" i="4" s="1"/>
  <c r="AJ8" i="4"/>
  <c r="BG154" i="4" a="1"/>
  <c r="BG154" i="4" s="1"/>
  <c r="AJ7" i="4"/>
  <c r="BG153" i="4" a="1"/>
  <c r="BG153" i="4" s="1"/>
  <c r="AJ6" i="4"/>
  <c r="BG152" i="4" a="1"/>
  <c r="BG152" i="4" s="1"/>
  <c r="O19" i="4" a="1"/>
  <c r="O19" i="4" s="1"/>
  <c r="O18" i="4" a="1"/>
  <c r="O18" i="4" s="1"/>
  <c r="O17" i="4" a="1"/>
  <c r="O17" i="4" s="1"/>
  <c r="N8" i="4"/>
  <c r="E8" i="4" a="1"/>
  <c r="E8" i="4" s="1"/>
  <c r="BD301" i="8" a="1"/>
  <c r="BD301" i="8" s="1"/>
  <c r="BD300" i="8" a="1"/>
  <c r="BD300" i="8" s="1"/>
  <c r="BD299" i="8" a="1"/>
  <c r="BD299" i="8" s="1"/>
  <c r="BD298" i="8" a="1"/>
  <c r="BD298" i="8" s="1"/>
  <c r="BD297" i="8" a="1"/>
  <c r="BD297" i="8" s="1"/>
  <c r="BD296" i="8" a="1"/>
  <c r="BD296" i="8" s="1"/>
  <c r="BD295" i="8" a="1"/>
  <c r="BD295" i="8" s="1"/>
  <c r="BD294" i="8" a="1"/>
  <c r="BD294" i="8" s="1"/>
  <c r="BD293" i="8" a="1"/>
  <c r="BD293" i="8" s="1"/>
  <c r="BD292" i="8" a="1"/>
  <c r="BD292" i="8" s="1"/>
  <c r="BD291" i="8" a="1"/>
  <c r="BD291" i="8" s="1"/>
  <c r="BD290" i="8" a="1"/>
  <c r="BD290" i="8" s="1"/>
  <c r="BD289" i="8" a="1"/>
  <c r="BD289" i="8" s="1"/>
  <c r="BD288" i="8" a="1"/>
  <c r="BD288" i="8" s="1"/>
  <c r="BD287" i="8" a="1"/>
  <c r="BD287" i="8" s="1"/>
  <c r="BD286" i="8" a="1"/>
  <c r="BD286" i="8" s="1"/>
  <c r="BD285" i="8" a="1"/>
  <c r="BD285" i="8" s="1"/>
  <c r="BD284" i="8" a="1"/>
  <c r="BD284" i="8" s="1"/>
  <c r="BD283" i="8" a="1"/>
  <c r="BD283" i="8" s="1"/>
  <c r="BD282" i="8" a="1"/>
  <c r="BD282" i="8" s="1"/>
  <c r="BD281" i="8" a="1"/>
  <c r="BD281" i="8" s="1"/>
  <c r="BD280" i="8" a="1"/>
  <c r="BD280" i="8" s="1"/>
  <c r="BD279" i="8" a="1"/>
  <c r="BD279" i="8" s="1"/>
  <c r="BD278" i="8" a="1"/>
  <c r="BD278" i="8" s="1"/>
  <c r="BD277" i="8" a="1"/>
  <c r="BD277" i="8" s="1"/>
  <c r="BD276" i="8" a="1"/>
  <c r="BD276" i="8" s="1"/>
  <c r="BD275" i="8" a="1"/>
  <c r="BD275" i="8" s="1"/>
  <c r="BD274" i="8" a="1"/>
  <c r="BD274" i="8" s="1"/>
  <c r="BD273" i="8" a="1"/>
  <c r="BD273" i="8" s="1"/>
  <c r="BD272" i="8" a="1"/>
  <c r="BD272" i="8" s="1"/>
  <c r="BD271" i="8" a="1"/>
  <c r="BD271" i="8" s="1"/>
  <c r="BD270" i="8" a="1"/>
  <c r="BD270" i="8" s="1"/>
  <c r="BD269" i="8" a="1"/>
  <c r="BD269" i="8" s="1"/>
  <c r="BD268" i="8" a="1"/>
  <c r="BD268" i="8" s="1"/>
  <c r="BD267" i="8" a="1"/>
  <c r="BD267" i="8" s="1"/>
  <c r="BD266" i="8" a="1"/>
  <c r="BD266" i="8" s="1"/>
  <c r="BD265" i="8" a="1"/>
  <c r="BD265" i="8" s="1"/>
  <c r="BD264" i="8" a="1"/>
  <c r="BD264" i="8" s="1"/>
  <c r="BD263" i="8" a="1"/>
  <c r="BD263" i="8" s="1"/>
  <c r="BD262" i="8" a="1"/>
  <c r="BD262" i="8" s="1"/>
  <c r="BD261" i="8" a="1"/>
  <c r="BD261" i="8" s="1"/>
  <c r="BD260" i="8" a="1"/>
  <c r="BD260" i="8" s="1"/>
  <c r="BD259" i="8" a="1"/>
  <c r="BD259" i="8" s="1"/>
  <c r="BD258" i="8" a="1"/>
  <c r="BD258" i="8" s="1"/>
  <c r="BD257" i="8" a="1"/>
  <c r="BD257" i="8" s="1"/>
  <c r="BD256" i="8" a="1"/>
  <c r="BD256" i="8" s="1"/>
  <c r="BD255" i="8" a="1"/>
  <c r="BD255" i="8" s="1"/>
  <c r="BD254" i="8" a="1"/>
  <c r="BD254" i="8" s="1"/>
  <c r="BD253" i="8" a="1"/>
  <c r="BD253" i="8" s="1"/>
  <c r="BD252" i="8" a="1"/>
  <c r="BD252" i="8" s="1"/>
  <c r="BD251" i="8" a="1"/>
  <c r="BD251" i="8" s="1"/>
  <c r="BD250" i="8" a="1"/>
  <c r="BD250" i="8" s="1"/>
  <c r="BD249" i="8" a="1"/>
  <c r="BD249" i="8" s="1"/>
  <c r="BD248" i="8" a="1"/>
  <c r="BD248" i="8" s="1"/>
  <c r="BD247" i="8" a="1"/>
  <c r="BD247" i="8" s="1"/>
  <c r="BD246" i="8" a="1"/>
  <c r="BD246" i="8" s="1"/>
  <c r="BD245" i="8" a="1"/>
  <c r="BD245" i="8" s="1"/>
  <c r="BD244" i="8" a="1"/>
  <c r="BD244" i="8" s="1"/>
  <c r="BD243" i="8" a="1"/>
  <c r="BD243" i="8" s="1"/>
  <c r="BD242" i="8" a="1"/>
  <c r="BD242" i="8" s="1"/>
  <c r="BD241" i="8" a="1"/>
  <c r="BD241" i="8" s="1"/>
  <c r="BD240" i="8" a="1"/>
  <c r="BD240" i="8" s="1"/>
  <c r="BD239" i="8" a="1"/>
  <c r="BD239" i="8" s="1"/>
  <c r="BD238" i="8" a="1"/>
  <c r="BD238" i="8" s="1"/>
  <c r="BD237" i="8" a="1"/>
  <c r="BD237" i="8" s="1"/>
  <c r="BD236" i="8" a="1"/>
  <c r="BD236" i="8" s="1"/>
  <c r="BD235" i="8" a="1"/>
  <c r="BD235" i="8" s="1"/>
  <c r="BD234" i="8" a="1"/>
  <c r="BD234" i="8" s="1"/>
  <c r="BD233" i="8" a="1"/>
  <c r="BD233" i="8" s="1"/>
  <c r="BD232" i="8" a="1"/>
  <c r="BD232" i="8" s="1"/>
  <c r="BD231" i="8" a="1"/>
  <c r="BD231" i="8" s="1"/>
  <c r="BD230" i="8" a="1"/>
  <c r="BD230" i="8" s="1"/>
  <c r="BD229" i="8" a="1"/>
  <c r="BD229" i="8" s="1"/>
  <c r="BD228" i="8" a="1"/>
  <c r="BD228" i="8" s="1"/>
  <c r="BD227" i="8" a="1"/>
  <c r="BD227" i="8" s="1"/>
  <c r="BD226" i="8" a="1"/>
  <c r="BD226" i="8" s="1"/>
  <c r="BD225" i="8" a="1"/>
  <c r="BD225" i="8" s="1"/>
  <c r="BD224" i="8" a="1"/>
  <c r="BD224" i="8" s="1"/>
  <c r="BD223" i="8" a="1"/>
  <c r="BD223" i="8" s="1"/>
  <c r="BD222" i="8" a="1"/>
  <c r="BD222" i="8" s="1"/>
  <c r="BD221" i="8" a="1"/>
  <c r="BD221" i="8" s="1"/>
  <c r="BD220" i="8" a="1"/>
  <c r="BD220" i="8" s="1"/>
  <c r="BD219" i="8" a="1"/>
  <c r="BD219" i="8" s="1"/>
  <c r="BD218" i="8" a="1"/>
  <c r="BD218" i="8" s="1"/>
  <c r="BD217" i="8" a="1"/>
  <c r="BD217" i="8" s="1"/>
  <c r="BD216" i="8" a="1"/>
  <c r="BD216" i="8" s="1"/>
  <c r="BD215" i="8" a="1"/>
  <c r="BD215" i="8" s="1"/>
  <c r="BD214" i="8" a="1"/>
  <c r="BD214" i="8" s="1"/>
  <c r="BD213" i="8" a="1"/>
  <c r="BD213" i="8" s="1"/>
  <c r="BD212" i="8" a="1"/>
  <c r="BD212" i="8" s="1"/>
  <c r="BD211" i="8" a="1"/>
  <c r="BD211" i="8" s="1"/>
  <c r="BD210" i="8" a="1"/>
  <c r="BD210" i="8" s="1"/>
  <c r="BD209" i="8" a="1"/>
  <c r="BD209" i="8" s="1"/>
  <c r="BD208" i="8" a="1"/>
  <c r="BD208" i="8" s="1"/>
  <c r="BD207" i="8" a="1"/>
  <c r="BD207" i="8" s="1"/>
  <c r="BD206" i="8" a="1"/>
  <c r="BD206" i="8" s="1"/>
  <c r="BD205" i="8" a="1"/>
  <c r="BD205" i="8" s="1"/>
  <c r="BD204" i="8" a="1"/>
  <c r="BD204" i="8" s="1"/>
  <c r="BD203" i="8" a="1"/>
  <c r="BD203" i="8" s="1"/>
  <c r="BD202" i="8" a="1"/>
  <c r="BD202" i="8" s="1"/>
  <c r="BD201" i="8" a="1"/>
  <c r="BD201" i="8" s="1"/>
  <c r="BD200" i="8" a="1"/>
  <c r="BD200" i="8" s="1"/>
  <c r="BD199" i="8" a="1"/>
  <c r="BD199" i="8" s="1"/>
  <c r="BD198" i="8" a="1"/>
  <c r="BD198" i="8" s="1"/>
  <c r="BD197" i="8" a="1"/>
  <c r="BD197" i="8" s="1"/>
  <c r="BD196" i="8" a="1"/>
  <c r="BD196" i="8" s="1"/>
  <c r="BD195" i="8" a="1"/>
  <c r="BD195" i="8" s="1"/>
  <c r="BD194" i="8" a="1"/>
  <c r="BD194" i="8" s="1"/>
  <c r="BD193" i="8" a="1"/>
  <c r="BD193" i="8" s="1"/>
  <c r="BD192" i="8" a="1"/>
  <c r="BD192" i="8" s="1"/>
  <c r="BD191" i="8" a="1"/>
  <c r="BD191" i="8" s="1"/>
  <c r="BD190" i="8" a="1"/>
  <c r="BD190" i="8" s="1"/>
  <c r="BD189" i="8" a="1"/>
  <c r="BD189" i="8" s="1"/>
  <c r="BD188" i="8" a="1"/>
  <c r="BD188" i="8" s="1"/>
  <c r="BD187" i="8" a="1"/>
  <c r="BD187" i="8" s="1"/>
  <c r="BD186" i="8" a="1"/>
  <c r="BD186" i="8" s="1"/>
  <c r="BD185" i="8" a="1"/>
  <c r="BD185" i="8" s="1"/>
  <c r="BD184" i="8" a="1"/>
  <c r="BD184" i="8" s="1"/>
  <c r="BD183" i="8" a="1"/>
  <c r="BD183" i="8" s="1"/>
  <c r="BD182" i="8" a="1"/>
  <c r="BD182" i="8" s="1"/>
  <c r="BD181" i="8" a="1"/>
  <c r="BD181" i="8" s="1"/>
  <c r="BD180" i="8" a="1"/>
  <c r="BD180" i="8" s="1"/>
  <c r="BD179" i="8" a="1"/>
  <c r="BD179" i="8" s="1"/>
  <c r="BD178" i="8" a="1"/>
  <c r="BD178" i="8" s="1"/>
  <c r="BD177" i="8" a="1"/>
  <c r="BD177" i="8" s="1"/>
  <c r="BD176" i="8" a="1"/>
  <c r="BD176" i="8" s="1"/>
  <c r="BD175" i="8" a="1"/>
  <c r="BD175" i="8" s="1"/>
  <c r="BD174" i="8" a="1"/>
  <c r="BD174" i="8" s="1"/>
  <c r="BD173" i="8" a="1"/>
  <c r="BD173" i="8" s="1"/>
  <c r="BD172" i="8" a="1"/>
  <c r="BD172" i="8" s="1"/>
  <c r="BD171" i="8" a="1"/>
  <c r="BD171" i="8" s="1"/>
  <c r="BD170" i="8" a="1"/>
  <c r="BD170" i="8" s="1"/>
  <c r="BD169" i="8" a="1"/>
  <c r="BD169" i="8" s="1"/>
  <c r="BD168" i="8" a="1"/>
  <c r="BD168" i="8" s="1"/>
  <c r="BD167" i="8" a="1"/>
  <c r="BD167" i="8" s="1"/>
  <c r="BD166" i="8" a="1"/>
  <c r="BD166" i="8" s="1"/>
  <c r="BD165" i="8" a="1"/>
  <c r="BD165" i="8" s="1"/>
  <c r="BD164" i="8" a="1"/>
  <c r="BD164" i="8" s="1"/>
  <c r="BD163" i="8" a="1"/>
  <c r="BD163" i="8" s="1"/>
  <c r="BD162" i="8" a="1"/>
  <c r="BD162" i="8" s="1"/>
  <c r="BD161" i="8" a="1"/>
  <c r="BD161" i="8" s="1"/>
  <c r="BD160" i="8" a="1"/>
  <c r="BD160" i="8" s="1"/>
  <c r="BD159" i="8" a="1"/>
  <c r="BD159" i="8" s="1"/>
  <c r="BD158" i="8" a="1"/>
  <c r="BD158" i="8" s="1"/>
  <c r="BD157" i="8" a="1"/>
  <c r="BD157" i="8" s="1"/>
  <c r="BD156" i="8" a="1"/>
  <c r="BD156" i="8" s="1"/>
  <c r="BD155" i="8" a="1"/>
  <c r="BD155" i="8" s="1"/>
  <c r="BD154" i="8" a="1"/>
  <c r="BD154" i="8" s="1"/>
  <c r="BD153" i="8" a="1"/>
  <c r="BD153" i="8" s="1"/>
  <c r="AJ15" i="8"/>
  <c r="BG161" i="8" a="1"/>
  <c r="BG161" i="8" s="1"/>
  <c r="AJ14" i="8"/>
  <c r="BG160" i="8" a="1"/>
  <c r="BG160" i="8" s="1"/>
  <c r="AJ13" i="8"/>
  <c r="BG159" i="8" a="1"/>
  <c r="BG159" i="8" s="1"/>
  <c r="AJ12" i="8"/>
  <c r="BG158" i="8" a="1"/>
  <c r="BG158" i="8" s="1"/>
  <c r="AJ11" i="8"/>
  <c r="BG157" i="8" a="1"/>
  <c r="BG157" i="8" s="1"/>
  <c r="AJ10" i="8"/>
  <c r="BG156" i="8" a="1"/>
  <c r="BG156" i="8" s="1"/>
  <c r="AJ9" i="8"/>
  <c r="BG155" i="8" a="1"/>
  <c r="BG155" i="8" s="1"/>
  <c r="AJ8" i="8"/>
  <c r="BG154" i="8" a="1"/>
  <c r="BG154" i="8" s="1"/>
  <c r="AJ7" i="8"/>
  <c r="BG153" i="8" a="1"/>
  <c r="BG153" i="8" s="1"/>
  <c r="AJ6" i="8"/>
  <c r="BG152" i="8" a="1"/>
  <c r="BG152" i="8" s="1"/>
  <c r="O19" i="8" a="1"/>
  <c r="O19" i="8" s="1"/>
  <c r="O18" i="8" a="1"/>
  <c r="O18" i="8" s="1"/>
  <c r="O17" i="8" a="1"/>
  <c r="O17" i="8" s="1"/>
  <c r="N8" i="8"/>
  <c r="E8" i="8" a="1"/>
  <c r="E8" i="8" s="1"/>
  <c r="BD301" i="14" a="1"/>
  <c r="BD301" i="14" s="1"/>
  <c r="BD300" i="14" a="1"/>
  <c r="BD300" i="14" s="1"/>
  <c r="BD299" i="14" a="1"/>
  <c r="BD299" i="14" s="1"/>
  <c r="BD298" i="14" a="1"/>
  <c r="BD298" i="14" s="1"/>
  <c r="BD297" i="14" a="1"/>
  <c r="BD297" i="14" s="1"/>
  <c r="BD296" i="14" a="1"/>
  <c r="BD296" i="14" s="1"/>
  <c r="BD295" i="14" a="1"/>
  <c r="BD295" i="14" s="1"/>
  <c r="BD294" i="14" a="1"/>
  <c r="BD294" i="14" s="1"/>
  <c r="BD293" i="14" a="1"/>
  <c r="BD293" i="14" s="1"/>
  <c r="BD292" i="14" a="1"/>
  <c r="BD292" i="14" s="1"/>
  <c r="BD291" i="14" a="1"/>
  <c r="BD291" i="14" s="1"/>
  <c r="BD290" i="14" a="1"/>
  <c r="BD290" i="14" s="1"/>
  <c r="BD289" i="14" a="1"/>
  <c r="BD289" i="14" s="1"/>
  <c r="BD288" i="14" a="1"/>
  <c r="BD288" i="14" s="1"/>
  <c r="BD287" i="14" a="1"/>
  <c r="BD287" i="14" s="1"/>
  <c r="BD286" i="14" a="1"/>
  <c r="BD286" i="14" s="1"/>
  <c r="BD285" i="14" a="1"/>
  <c r="BD285" i="14" s="1"/>
  <c r="BD284" i="14" a="1"/>
  <c r="BD284" i="14" s="1"/>
  <c r="BD283" i="14" a="1"/>
  <c r="BD283" i="14" s="1"/>
  <c r="BD282" i="14" a="1"/>
  <c r="BD282" i="14" s="1"/>
  <c r="BD281" i="14" a="1"/>
  <c r="BD281" i="14" s="1"/>
  <c r="BD280" i="14" a="1"/>
  <c r="BD280" i="14" s="1"/>
  <c r="BD279" i="14" a="1"/>
  <c r="BD279" i="14" s="1"/>
  <c r="BD278" i="14" a="1"/>
  <c r="BD278" i="14" s="1"/>
  <c r="BD277" i="14" a="1"/>
  <c r="BD277" i="14" s="1"/>
  <c r="BD276" i="14" a="1"/>
  <c r="BD276" i="14" s="1"/>
  <c r="BD275" i="14" a="1"/>
  <c r="BD275" i="14" s="1"/>
  <c r="BD274" i="14" a="1"/>
  <c r="BD274" i="14" s="1"/>
  <c r="BD273" i="14" a="1"/>
  <c r="BD273" i="14" s="1"/>
  <c r="BD272" i="14" a="1"/>
  <c r="BD272" i="14" s="1"/>
  <c r="BD271" i="14" a="1"/>
  <c r="BD271" i="14" s="1"/>
  <c r="BD270" i="14" a="1"/>
  <c r="BD270" i="14" s="1"/>
  <c r="BD269" i="14" a="1"/>
  <c r="BD269" i="14" s="1"/>
  <c r="BD268" i="14" a="1"/>
  <c r="BD268" i="14" s="1"/>
  <c r="BD267" i="14" a="1"/>
  <c r="BD267" i="14" s="1"/>
  <c r="BD266" i="14" a="1"/>
  <c r="BD266" i="14" s="1"/>
  <c r="BD265" i="14" a="1"/>
  <c r="BD265" i="14" s="1"/>
  <c r="BD264" i="14" a="1"/>
  <c r="BD264" i="14" s="1"/>
  <c r="BD263" i="14" a="1"/>
  <c r="BD263" i="14" s="1"/>
  <c r="BD262" i="14" a="1"/>
  <c r="BD262" i="14" s="1"/>
  <c r="BD261" i="14" a="1"/>
  <c r="BD261" i="14" s="1"/>
  <c r="BD260" i="14" a="1"/>
  <c r="BD260" i="14" s="1"/>
  <c r="BD259" i="14" a="1"/>
  <c r="BD259" i="14" s="1"/>
  <c r="BD258" i="14" a="1"/>
  <c r="BD258" i="14" s="1"/>
  <c r="BD257" i="14" a="1"/>
  <c r="BD257" i="14" s="1"/>
  <c r="BD256" i="14" a="1"/>
  <c r="BD256" i="14" s="1"/>
  <c r="BD255" i="14" a="1"/>
  <c r="BD255" i="14" s="1"/>
  <c r="BD254" i="14" a="1"/>
  <c r="BD254" i="14" s="1"/>
  <c r="BD253" i="14" a="1"/>
  <c r="BD253" i="14" s="1"/>
  <c r="BD252" i="14" a="1"/>
  <c r="BD252" i="14" s="1"/>
  <c r="BD251" i="14" a="1"/>
  <c r="BD251" i="14" s="1"/>
  <c r="BD250" i="14" a="1"/>
  <c r="BD250" i="14" s="1"/>
  <c r="BD249" i="14" a="1"/>
  <c r="BD249" i="14" s="1"/>
  <c r="BD248" i="14" a="1"/>
  <c r="BD248" i="14" s="1"/>
  <c r="BD247" i="14" a="1"/>
  <c r="BD247" i="14" s="1"/>
  <c r="BD246" i="14" a="1"/>
  <c r="BD246" i="14" s="1"/>
  <c r="BD245" i="14" a="1"/>
  <c r="BD245" i="14" s="1"/>
  <c r="BD244" i="14" a="1"/>
  <c r="BD244" i="14" s="1"/>
  <c r="BD243" i="14" a="1"/>
  <c r="BD243" i="14" s="1"/>
  <c r="BD242" i="14" a="1"/>
  <c r="BD242" i="14" s="1"/>
  <c r="BD241" i="14" a="1"/>
  <c r="BD241" i="14" s="1"/>
  <c r="BD240" i="14" a="1"/>
  <c r="BD240" i="14" s="1"/>
  <c r="BD239" i="14" a="1"/>
  <c r="BD239" i="14" s="1"/>
  <c r="BD238" i="14" a="1"/>
  <c r="BD238" i="14" s="1"/>
  <c r="BD237" i="14" a="1"/>
  <c r="BD237" i="14" s="1"/>
  <c r="BD236" i="14" a="1"/>
  <c r="BD236" i="14" s="1"/>
  <c r="BD235" i="14" a="1"/>
  <c r="BD235" i="14" s="1"/>
  <c r="BD234" i="14" a="1"/>
  <c r="BD234" i="14" s="1"/>
  <c r="BD233" i="14" a="1"/>
  <c r="BD233" i="14" s="1"/>
  <c r="BD232" i="14" a="1"/>
  <c r="BD232" i="14" s="1"/>
  <c r="BD231" i="14" a="1"/>
  <c r="BD231" i="14" s="1"/>
  <c r="BD230" i="14" a="1"/>
  <c r="BD230" i="14" s="1"/>
  <c r="BD229" i="14" a="1"/>
  <c r="BD229" i="14" s="1"/>
  <c r="BD228" i="14" a="1"/>
  <c r="BD228" i="14" s="1"/>
  <c r="BD227" i="14" a="1"/>
  <c r="BD227" i="14" s="1"/>
  <c r="BD226" i="14" a="1"/>
  <c r="BD226" i="14" s="1"/>
  <c r="BD225" i="14" a="1"/>
  <c r="BD225" i="14" s="1"/>
  <c r="BD224" i="14" a="1"/>
  <c r="BD224" i="14" s="1"/>
  <c r="BD223" i="14" a="1"/>
  <c r="BD223" i="14" s="1"/>
  <c r="BD222" i="14" a="1"/>
  <c r="BD222" i="14" s="1"/>
  <c r="BD221" i="14" a="1"/>
  <c r="BD221" i="14" s="1"/>
  <c r="BD220" i="14" a="1"/>
  <c r="BD220" i="14" s="1"/>
  <c r="BD219" i="14" a="1"/>
  <c r="BD219" i="14" s="1"/>
  <c r="BD218" i="14" a="1"/>
  <c r="BD218" i="14" s="1"/>
  <c r="BD217" i="14" a="1"/>
  <c r="BD217" i="14" s="1"/>
  <c r="BD216" i="14" a="1"/>
  <c r="BD216" i="14" s="1"/>
  <c r="BD215" i="14" a="1"/>
  <c r="BD215" i="14" s="1"/>
  <c r="BD214" i="14" a="1"/>
  <c r="BD214" i="14" s="1"/>
  <c r="BD213" i="14" a="1"/>
  <c r="BD213" i="14" s="1"/>
  <c r="BD212" i="14" a="1"/>
  <c r="BD212" i="14" s="1"/>
  <c r="BD211" i="14" a="1"/>
  <c r="BD211" i="14" s="1"/>
  <c r="BD210" i="14" a="1"/>
  <c r="BD210" i="14" s="1"/>
  <c r="BD209" i="14" a="1"/>
  <c r="BD209" i="14" s="1"/>
  <c r="BD208" i="14" a="1"/>
  <c r="BD208" i="14" s="1"/>
  <c r="BD207" i="14" a="1"/>
  <c r="BD207" i="14" s="1"/>
  <c r="BD206" i="14" a="1"/>
  <c r="BD206" i="14" s="1"/>
  <c r="BD205" i="14" a="1"/>
  <c r="BD205" i="14" s="1"/>
  <c r="BD204" i="14" a="1"/>
  <c r="BD204" i="14" s="1"/>
  <c r="BD203" i="14" a="1"/>
  <c r="BD203" i="14" s="1"/>
  <c r="BD202" i="14" a="1"/>
  <c r="BD202" i="14" s="1"/>
  <c r="BD201" i="14" a="1"/>
  <c r="BD201" i="14" s="1"/>
  <c r="BD200" i="14" a="1"/>
  <c r="BD200" i="14" s="1"/>
  <c r="BD199" i="14" a="1"/>
  <c r="BD199" i="14" s="1"/>
  <c r="BD198" i="14" a="1"/>
  <c r="BD198" i="14" s="1"/>
  <c r="BD197" i="14" a="1"/>
  <c r="BD197" i="14" s="1"/>
  <c r="BD196" i="14" a="1"/>
  <c r="BD196" i="14" s="1"/>
  <c r="BD195" i="14" a="1"/>
  <c r="BD195" i="14" s="1"/>
  <c r="BD194" i="14" a="1"/>
  <c r="BD194" i="14" s="1"/>
  <c r="BD193" i="14" a="1"/>
  <c r="BD193" i="14" s="1"/>
  <c r="BD192" i="14" a="1"/>
  <c r="BD192" i="14" s="1"/>
  <c r="BD191" i="14" a="1"/>
  <c r="BD191" i="14" s="1"/>
  <c r="BD190" i="14" a="1"/>
  <c r="BD190" i="14" s="1"/>
  <c r="BD189" i="14" a="1"/>
  <c r="BD189" i="14" s="1"/>
  <c r="BD188" i="14" a="1"/>
  <c r="BD188" i="14" s="1"/>
  <c r="BD187" i="14" a="1"/>
  <c r="BD187" i="14" s="1"/>
  <c r="BD186" i="14" a="1"/>
  <c r="BD186" i="14" s="1"/>
  <c r="BD185" i="14" a="1"/>
  <c r="BD185" i="14" s="1"/>
  <c r="BD184" i="14" a="1"/>
  <c r="BD184" i="14" s="1"/>
  <c r="BD183" i="14" a="1"/>
  <c r="BD183" i="14" s="1"/>
  <c r="BD182" i="14" a="1"/>
  <c r="BD182" i="14" s="1"/>
  <c r="BD181" i="14" a="1"/>
  <c r="BD181" i="14" s="1"/>
  <c r="BD180" i="14" a="1"/>
  <c r="BD180" i="14" s="1"/>
  <c r="BD179" i="14" a="1"/>
  <c r="BD179" i="14" s="1"/>
  <c r="BD178" i="14" a="1"/>
  <c r="BD178" i="14" s="1"/>
  <c r="BD177" i="14" a="1"/>
  <c r="BD177" i="14" s="1"/>
  <c r="BD176" i="14" a="1"/>
  <c r="BD176" i="14" s="1"/>
  <c r="BD175" i="14" a="1"/>
  <c r="BD175" i="14" s="1"/>
  <c r="BD174" i="14" a="1"/>
  <c r="BD174" i="14" s="1"/>
  <c r="BD173" i="14" a="1"/>
  <c r="BD173" i="14" s="1"/>
  <c r="BD172" i="14" a="1"/>
  <c r="BD172" i="14" s="1"/>
  <c r="BD171" i="14" a="1"/>
  <c r="BD171" i="14" s="1"/>
  <c r="BD170" i="14" a="1"/>
  <c r="BD170" i="14" s="1"/>
  <c r="BD169" i="14" a="1"/>
  <c r="BD169" i="14" s="1"/>
  <c r="BD168" i="14" a="1"/>
  <c r="BD168" i="14" s="1"/>
  <c r="BD167" i="14" a="1"/>
  <c r="BD167" i="14" s="1"/>
  <c r="BD166" i="14" a="1"/>
  <c r="BD166" i="14" s="1"/>
  <c r="BD165" i="14" a="1"/>
  <c r="BD165" i="14" s="1"/>
  <c r="BD164" i="14" a="1"/>
  <c r="BD164" i="14" s="1"/>
  <c r="BD163" i="14" a="1"/>
  <c r="BD163" i="14" s="1"/>
  <c r="BD162" i="14" a="1"/>
  <c r="BD162" i="14" s="1"/>
  <c r="BD161" i="14" a="1"/>
  <c r="BD161" i="14" s="1"/>
  <c r="BD160" i="14" a="1"/>
  <c r="BD160" i="14" s="1"/>
  <c r="BD159" i="14" a="1"/>
  <c r="BD159" i="14" s="1"/>
  <c r="BD158" i="14" a="1"/>
  <c r="BD158" i="14" s="1"/>
  <c r="BD157" i="14" a="1"/>
  <c r="BD157" i="14" s="1"/>
  <c r="BD156" i="14" a="1"/>
  <c r="BD156" i="14" s="1"/>
  <c r="BD155" i="14" a="1"/>
  <c r="BD155" i="14" s="1"/>
  <c r="BD154" i="14" a="1"/>
  <c r="BD154" i="14" s="1"/>
  <c r="BD153" i="14" a="1"/>
  <c r="BD153" i="14" s="1"/>
  <c r="AJ15" i="14"/>
  <c r="BG161" i="14" a="1"/>
  <c r="BG161" i="14" s="1"/>
  <c r="AJ14" i="14"/>
  <c r="BG160" i="14" a="1"/>
  <c r="BG160" i="14" s="1"/>
  <c r="AJ13" i="14"/>
  <c r="BG159" i="14" a="1"/>
  <c r="BG159" i="14" s="1"/>
  <c r="AJ12" i="14"/>
  <c r="BG158" i="14" a="1"/>
  <c r="BG158" i="14" s="1"/>
  <c r="AJ11" i="14"/>
  <c r="BG157" i="14" a="1"/>
  <c r="BG157" i="14" s="1"/>
  <c r="AJ10" i="14"/>
  <c r="BG156" i="14" a="1"/>
  <c r="BG156" i="14" s="1"/>
  <c r="AJ9" i="14"/>
  <c r="BG155" i="14" a="1"/>
  <c r="BG155" i="14" s="1"/>
  <c r="AJ8" i="14"/>
  <c r="BG154" i="14" a="1"/>
  <c r="BG154" i="14" s="1"/>
  <c r="AJ7" i="14"/>
  <c r="BG153" i="14" a="1"/>
  <c r="BG153" i="14" s="1"/>
  <c r="BG152" i="14" a="1"/>
  <c r="BG152" i="14" s="1"/>
  <c r="O19" i="14" a="1"/>
  <c r="O19" i="14" s="1"/>
  <c r="O18" i="14" a="1"/>
  <c r="O18" i="14" s="1"/>
  <c r="O17" i="14" a="1"/>
  <c r="O17" i="14" s="1"/>
  <c r="N8" i="14"/>
  <c r="E8" i="14" a="1"/>
  <c r="E8" i="14" s="1"/>
  <c r="BU48" i="14"/>
  <c r="BQ48" i="14"/>
  <c r="BA3" i="14"/>
  <c r="BA4" i="14" s="1"/>
  <c r="BA5" i="14" s="1"/>
  <c r="BA6" i="14" s="1"/>
  <c r="BA7" i="14" s="1"/>
  <c r="BA8" i="14" s="1"/>
  <c r="BA9" i="14" s="1"/>
  <c r="BA10" i="14" s="1"/>
  <c r="BA11" i="14" s="1"/>
  <c r="BA12" i="14" s="1"/>
  <c r="BA13" i="14" s="1"/>
  <c r="BA14" i="14" s="1"/>
  <c r="BA15" i="14" s="1"/>
  <c r="BA16" i="14" s="1"/>
  <c r="BA17" i="14" s="1"/>
  <c r="BA18" i="14" s="1"/>
  <c r="BA19" i="14" s="1"/>
  <c r="BA20" i="14" s="1"/>
  <c r="BA21" i="14" s="1"/>
  <c r="BA22" i="14" s="1"/>
  <c r="BA23" i="14" s="1"/>
  <c r="BA24" i="14" s="1"/>
  <c r="BA25" i="14" s="1"/>
  <c r="BA26" i="14" s="1"/>
  <c r="BA27" i="14" s="1"/>
  <c r="BA28" i="14" s="1"/>
  <c r="BA29" i="14" s="1"/>
  <c r="BA30" i="14" s="1"/>
  <c r="BA31" i="14" s="1"/>
  <c r="BA32" i="14" s="1"/>
  <c r="BA33" i="14" s="1"/>
  <c r="BA34" i="14" s="1"/>
  <c r="BA35" i="14" s="1"/>
  <c r="BA36" i="14" s="1"/>
  <c r="BA37" i="14" s="1"/>
  <c r="BA38" i="14" s="1"/>
  <c r="BA39" i="14" s="1"/>
  <c r="BA40" i="14" s="1"/>
  <c r="BA41" i="14" s="1"/>
  <c r="BA42" i="14" s="1"/>
  <c r="BA43" i="14" s="1"/>
  <c r="BA44" i="14" s="1"/>
  <c r="BA45" i="14" s="1"/>
  <c r="BA46" i="14" s="1"/>
  <c r="BA47" i="14" s="1"/>
  <c r="BA48" i="14" s="1"/>
  <c r="BA49" i="14" s="1"/>
  <c r="BA50" i="14" s="1"/>
  <c r="BA51" i="14" s="1"/>
  <c r="BA52" i="14" s="1"/>
  <c r="BA53" i="14" s="1"/>
  <c r="BA54" i="14" s="1"/>
  <c r="BA55" i="14" s="1"/>
  <c r="BA56" i="14" s="1"/>
  <c r="BA57" i="14" s="1"/>
  <c r="BA58" i="14" s="1"/>
  <c r="BA59" i="14" s="1"/>
  <c r="BA60" i="14" s="1"/>
  <c r="BA61" i="14" s="1"/>
  <c r="BA62" i="14" s="1"/>
  <c r="BA63" i="14" s="1"/>
  <c r="BA64" i="14" s="1"/>
  <c r="BA65" i="14" s="1"/>
  <c r="BA66" i="14" s="1"/>
  <c r="BA67" i="14" s="1"/>
  <c r="BA68" i="14" s="1"/>
  <c r="BA69" i="14" s="1"/>
  <c r="BA70" i="14" s="1"/>
  <c r="BA71" i="14" s="1"/>
  <c r="BA72" i="14" s="1"/>
  <c r="BA73" i="14" s="1"/>
  <c r="BA74" i="14" s="1"/>
  <c r="BA75" i="14" s="1"/>
  <c r="BA76" i="14" s="1"/>
  <c r="BA77" i="14" s="1"/>
  <c r="BA78" i="14" s="1"/>
  <c r="BA79" i="14" s="1"/>
  <c r="BA80" i="14" s="1"/>
  <c r="BA81" i="14" s="1"/>
  <c r="BA82" i="14" s="1"/>
  <c r="BA83" i="14" s="1"/>
  <c r="BA84" i="14" s="1"/>
  <c r="BA85" i="14" s="1"/>
  <c r="BA86" i="14" s="1"/>
  <c r="BA87" i="14" s="1"/>
  <c r="BA88" i="14" s="1"/>
  <c r="BA89" i="14" s="1"/>
  <c r="BA90" i="14" s="1"/>
  <c r="BA91" i="14" s="1"/>
  <c r="BA92" i="14" s="1"/>
  <c r="BA93" i="14" s="1"/>
  <c r="BA94" i="14" s="1"/>
  <c r="BA95" i="14" s="1"/>
  <c r="BA96" i="14" s="1"/>
  <c r="BA97" i="14" s="1"/>
  <c r="BA98" i="14" s="1"/>
  <c r="BA99" i="14" s="1"/>
  <c r="BA100" i="14" s="1"/>
  <c r="BA101" i="14" s="1"/>
  <c r="BA102" i="14" s="1"/>
  <c r="BA103" i="14" s="1"/>
  <c r="BA104" i="14" s="1"/>
  <c r="BA105" i="14" s="1"/>
  <c r="BA106" i="14" s="1"/>
  <c r="BA107" i="14" s="1"/>
  <c r="BA108" i="14" s="1"/>
  <c r="BA109" i="14" s="1"/>
  <c r="BA110" i="14" s="1"/>
  <c r="BA111" i="14" s="1"/>
  <c r="BA112" i="14" s="1"/>
  <c r="BA113" i="14" s="1"/>
  <c r="BA114" i="14" s="1"/>
  <c r="BA115" i="14" s="1"/>
  <c r="BA116" i="14" s="1"/>
  <c r="BA117" i="14" s="1"/>
  <c r="BA118" i="14" s="1"/>
  <c r="BA119" i="14" s="1"/>
  <c r="BA120" i="14" s="1"/>
  <c r="BA121" i="14" s="1"/>
  <c r="BA122" i="14" s="1"/>
  <c r="BA123" i="14" s="1"/>
  <c r="BA124" i="14" s="1"/>
  <c r="BA125" i="14" s="1"/>
  <c r="BA126" i="14" s="1"/>
  <c r="BA127" i="14" s="1"/>
  <c r="BA128" i="14" s="1"/>
  <c r="BA129" i="14" s="1"/>
  <c r="BA130" i="14" s="1"/>
  <c r="BA131" i="14" s="1"/>
  <c r="BA132" i="14" s="1"/>
  <c r="BA133" i="14" s="1"/>
  <c r="BA134" i="14" s="1"/>
  <c r="BA135" i="14" s="1"/>
  <c r="BA136" i="14" s="1"/>
  <c r="BA137" i="14" s="1"/>
  <c r="BA138" i="14" s="1"/>
  <c r="J12" i="4" l="1" a="1"/>
  <c r="J12" i="4" s="1"/>
  <c r="J12" i="8" a="1"/>
  <c r="J12" i="8" s="1"/>
  <c r="J12" i="10" a="1"/>
  <c r="J12" i="10" s="1"/>
  <c r="BZ48" i="14"/>
  <c r="L22" i="4" l="1"/>
  <c r="L22" i="8"/>
  <c r="L22" i="10"/>
  <c r="BU138" i="14"/>
  <c r="BU139" i="14" s="1"/>
  <c r="BQ138" i="14"/>
  <c r="BQ139" i="14" s="1"/>
  <c r="BU2" i="14"/>
  <c r="BQ3" i="14"/>
  <c r="BQ4" i="14"/>
  <c r="BQ6" i="14"/>
  <c r="BQ7" i="14"/>
  <c r="BQ8" i="14"/>
  <c r="BQ9" i="14"/>
  <c r="BQ11" i="14"/>
  <c r="BQ12" i="14"/>
  <c r="BQ13" i="14"/>
  <c r="BQ15" i="14"/>
  <c r="BQ16" i="14"/>
  <c r="BQ18" i="14"/>
  <c r="BQ20" i="14"/>
  <c r="BQ22" i="14"/>
  <c r="BQ24" i="14"/>
  <c r="BQ26" i="14"/>
  <c r="BQ28" i="14"/>
  <c r="BQ29" i="14"/>
  <c r="BQ31" i="14"/>
  <c r="BQ33" i="14"/>
  <c r="BQ35" i="14"/>
  <c r="BQ37" i="14"/>
  <c r="BQ39" i="14"/>
  <c r="BQ41" i="14"/>
  <c r="BQ43" i="14"/>
  <c r="BQ45" i="14"/>
  <c r="BQ47" i="14"/>
  <c r="BQ49" i="14"/>
  <c r="BQ51" i="14"/>
  <c r="BQ53" i="14"/>
  <c r="BQ55" i="14"/>
  <c r="BQ56" i="14"/>
  <c r="BQ57" i="14"/>
  <c r="BQ59" i="14"/>
  <c r="BQ61" i="14"/>
  <c r="BQ63" i="14"/>
  <c r="BQ65" i="14"/>
  <c r="BQ67" i="14"/>
  <c r="BQ69" i="14"/>
  <c r="BQ71" i="14"/>
  <c r="BQ73" i="14"/>
  <c r="BQ75" i="14"/>
  <c r="BQ77" i="14"/>
  <c r="BQ79" i="14"/>
  <c r="BQ81" i="14"/>
  <c r="BQ83" i="14"/>
  <c r="BQ85" i="14"/>
  <c r="BQ87" i="14"/>
  <c r="BQ89" i="14"/>
  <c r="BQ93" i="14"/>
  <c r="BQ97" i="14"/>
  <c r="BQ101" i="14"/>
  <c r="BQ105" i="14"/>
  <c r="BQ109" i="14"/>
  <c r="BQ113" i="14"/>
  <c r="BQ117" i="14"/>
  <c r="BQ121" i="14"/>
  <c r="BQ125" i="14"/>
  <c r="BQ129" i="14"/>
  <c r="BQ133" i="14"/>
  <c r="BQ137" i="14"/>
  <c r="BU137" i="14"/>
  <c r="BU136" i="14"/>
  <c r="BQ135" i="14"/>
  <c r="BU134" i="14"/>
  <c r="BU133" i="14"/>
  <c r="BU132" i="14"/>
  <c r="BQ131" i="14"/>
  <c r="BU130" i="14"/>
  <c r="BU129" i="14"/>
  <c r="BU128" i="14"/>
  <c r="BQ127" i="14"/>
  <c r="BU126" i="14"/>
  <c r="BU125" i="14"/>
  <c r="BU124" i="14"/>
  <c r="BQ123" i="14"/>
  <c r="BU122" i="14"/>
  <c r="BU121" i="14"/>
  <c r="BU120" i="14"/>
  <c r="BQ119" i="14"/>
  <c r="BU118" i="14"/>
  <c r="BU117" i="14"/>
  <c r="BU116" i="14"/>
  <c r="BQ115" i="14"/>
  <c r="BU114" i="14"/>
  <c r="BU113" i="14"/>
  <c r="BU112" i="14"/>
  <c r="BQ111" i="14"/>
  <c r="BU110" i="14"/>
  <c r="BU109" i="14"/>
  <c r="BU108" i="14"/>
  <c r="BQ107" i="14"/>
  <c r="BU106" i="14"/>
  <c r="BU105" i="14"/>
  <c r="BU104" i="14"/>
  <c r="BQ103" i="14"/>
  <c r="BU102" i="14"/>
  <c r="BU101" i="14"/>
  <c r="BU100" i="14"/>
  <c r="BQ99" i="14"/>
  <c r="BU98" i="14"/>
  <c r="BU97" i="14"/>
  <c r="BU96" i="14"/>
  <c r="BQ95" i="14"/>
  <c r="BU94" i="14"/>
  <c r="BU93" i="14"/>
  <c r="BU92" i="14"/>
  <c r="BQ91" i="14"/>
  <c r="BU90" i="14"/>
  <c r="BU89" i="14"/>
  <c r="BU88" i="14"/>
  <c r="BU86" i="14"/>
  <c r="BU85" i="14"/>
  <c r="BU84" i="14"/>
  <c r="BU82" i="14"/>
  <c r="BU81" i="14"/>
  <c r="BU80" i="14"/>
  <c r="BU78" i="14"/>
  <c r="BU77" i="14"/>
  <c r="BU76" i="14"/>
  <c r="BU74" i="14"/>
  <c r="BU73" i="14"/>
  <c r="BU72" i="14"/>
  <c r="BU70" i="14"/>
  <c r="BU69" i="14"/>
  <c r="BU68" i="14"/>
  <c r="BU66" i="14"/>
  <c r="BU65" i="14"/>
  <c r="BU64" i="14"/>
  <c r="BU62" i="14"/>
  <c r="BU61" i="14"/>
  <c r="BU60" i="14"/>
  <c r="BU58" i="14"/>
  <c r="BU57" i="14"/>
  <c r="BU56" i="14"/>
  <c r="BU54" i="14"/>
  <c r="BU53" i="14"/>
  <c r="BU52" i="14"/>
  <c r="BU50" i="14"/>
  <c r="BU49" i="14"/>
  <c r="BU46" i="14"/>
  <c r="BU45" i="14"/>
  <c r="BU44" i="14"/>
  <c r="BU42" i="14"/>
  <c r="BU41" i="14"/>
  <c r="BU40" i="14"/>
  <c r="BU38" i="14"/>
  <c r="BU37" i="14"/>
  <c r="BU36" i="14"/>
  <c r="BU34" i="14"/>
  <c r="BU33" i="14"/>
  <c r="BU32" i="14"/>
  <c r="BU30" i="14"/>
  <c r="BU29" i="14"/>
  <c r="BU28" i="14"/>
  <c r="X28" i="14"/>
  <c r="BU27" i="14"/>
  <c r="BU25" i="14"/>
  <c r="BQ25" i="14"/>
  <c r="BU24" i="14"/>
  <c r="BU23" i="14"/>
  <c r="BQ23" i="14"/>
  <c r="BU22" i="14"/>
  <c r="BU21" i="14"/>
  <c r="BQ21" i="14"/>
  <c r="BU20" i="14"/>
  <c r="BU19" i="14"/>
  <c r="BQ19" i="14"/>
  <c r="BU18" i="14"/>
  <c r="BU17" i="14"/>
  <c r="BQ17" i="14"/>
  <c r="BU16" i="14"/>
  <c r="BU15" i="14"/>
  <c r="BU14" i="14"/>
  <c r="BQ14" i="14"/>
  <c r="BU13" i="14"/>
  <c r="BU12" i="14"/>
  <c r="BU11" i="14"/>
  <c r="G11" i="14"/>
  <c r="F11" i="14"/>
  <c r="BU10" i="14"/>
  <c r="BQ10" i="14"/>
  <c r="BU9" i="14"/>
  <c r="BU8" i="14"/>
  <c r="BU7" i="14"/>
  <c r="BU5" i="14"/>
  <c r="BQ5" i="14"/>
  <c r="BU4" i="14"/>
  <c r="BU3" i="14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F55" i="12"/>
  <c r="E55" i="12"/>
  <c r="G40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2" i="12"/>
  <c r="F37" i="12"/>
  <c r="E37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4" i="12"/>
  <c r="F19" i="12"/>
  <c r="E19" i="12"/>
  <c r="E55" i="11"/>
  <c r="F55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40" i="11"/>
  <c r="F37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22" i="11"/>
  <c r="E37" i="11"/>
  <c r="F19" i="11"/>
  <c r="E19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4" i="11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40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22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4" i="13"/>
  <c r="F55" i="13"/>
  <c r="E55" i="13"/>
  <c r="F37" i="13"/>
  <c r="E37" i="13"/>
  <c r="F19" i="13"/>
  <c r="E19" i="13"/>
  <c r="BW2" i="10"/>
  <c r="BD152" i="10" a="1"/>
  <c r="BD152" i="10" s="1"/>
  <c r="CA138" i="10"/>
  <c r="BU136" i="10"/>
  <c r="BQ136" i="10"/>
  <c r="BU134" i="10"/>
  <c r="BQ134" i="10"/>
  <c r="BQ133" i="10"/>
  <c r="BU132" i="10"/>
  <c r="BQ132" i="10"/>
  <c r="BU131" i="10"/>
  <c r="BQ131" i="10"/>
  <c r="BU130" i="10"/>
  <c r="BQ130" i="10"/>
  <c r="BU129" i="10"/>
  <c r="BU128" i="10"/>
  <c r="BU127" i="10"/>
  <c r="BU126" i="10"/>
  <c r="BQ126" i="10"/>
  <c r="BU124" i="10"/>
  <c r="BQ124" i="10"/>
  <c r="BU122" i="10"/>
  <c r="BQ122" i="10"/>
  <c r="BQ121" i="10"/>
  <c r="BU120" i="10"/>
  <c r="BQ120" i="10"/>
  <c r="BU119" i="10"/>
  <c r="BQ119" i="10"/>
  <c r="BU118" i="10"/>
  <c r="BQ118" i="10"/>
  <c r="BU117" i="10"/>
  <c r="BU116" i="10"/>
  <c r="BQ116" i="10"/>
  <c r="BU115" i="10"/>
  <c r="BU114" i="10"/>
  <c r="BQ114" i="10"/>
  <c r="BU112" i="10"/>
  <c r="BQ112" i="10"/>
  <c r="BU110" i="10"/>
  <c r="BQ110" i="10"/>
  <c r="BQ109" i="10"/>
  <c r="BU108" i="10"/>
  <c r="BQ108" i="10"/>
  <c r="BU107" i="10"/>
  <c r="BQ107" i="10"/>
  <c r="BU106" i="10"/>
  <c r="BQ106" i="10"/>
  <c r="BU105" i="10"/>
  <c r="BU104" i="10"/>
  <c r="BQ104" i="10"/>
  <c r="BU103" i="10"/>
  <c r="BU102" i="10"/>
  <c r="BQ102" i="10"/>
  <c r="BU100" i="10"/>
  <c r="BQ100" i="10"/>
  <c r="BU98" i="10"/>
  <c r="BQ98" i="10"/>
  <c r="BQ97" i="10"/>
  <c r="BU96" i="10"/>
  <c r="BQ96" i="10"/>
  <c r="BU95" i="10"/>
  <c r="BQ95" i="10"/>
  <c r="BU94" i="10"/>
  <c r="BQ94" i="10"/>
  <c r="BU93" i="10"/>
  <c r="BU92" i="10"/>
  <c r="BU91" i="10"/>
  <c r="BU90" i="10"/>
  <c r="BQ90" i="10"/>
  <c r="BU88" i="10"/>
  <c r="BQ88" i="10"/>
  <c r="BU86" i="10"/>
  <c r="BQ86" i="10"/>
  <c r="BQ85" i="10"/>
  <c r="BU84" i="10"/>
  <c r="BQ84" i="10"/>
  <c r="BU83" i="10"/>
  <c r="BQ83" i="10"/>
  <c r="BU82" i="10"/>
  <c r="BQ82" i="10"/>
  <c r="BU81" i="10"/>
  <c r="BU80" i="10"/>
  <c r="BQ80" i="10"/>
  <c r="BU79" i="10"/>
  <c r="BU78" i="10"/>
  <c r="BQ78" i="10"/>
  <c r="BU76" i="10"/>
  <c r="BQ76" i="10"/>
  <c r="BU74" i="10"/>
  <c r="BQ74" i="10"/>
  <c r="BQ73" i="10"/>
  <c r="BU72" i="10"/>
  <c r="BQ72" i="10"/>
  <c r="BU71" i="10"/>
  <c r="BQ71" i="10"/>
  <c r="BU70" i="10"/>
  <c r="BQ70" i="10"/>
  <c r="BU69" i="10"/>
  <c r="BU68" i="10"/>
  <c r="BQ68" i="10"/>
  <c r="BU67" i="10"/>
  <c r="BU66" i="10"/>
  <c r="BQ66" i="10"/>
  <c r="BU64" i="10"/>
  <c r="BQ64" i="10"/>
  <c r="BU62" i="10"/>
  <c r="BQ62" i="10"/>
  <c r="BQ61" i="10"/>
  <c r="BU60" i="10"/>
  <c r="BQ60" i="10"/>
  <c r="BU59" i="10"/>
  <c r="BQ59" i="10"/>
  <c r="BU58" i="10"/>
  <c r="BQ58" i="10"/>
  <c r="BU57" i="10"/>
  <c r="BU56" i="10"/>
  <c r="BU55" i="10"/>
  <c r="BU54" i="10"/>
  <c r="BQ54" i="10"/>
  <c r="BU52" i="10"/>
  <c r="BQ52" i="10"/>
  <c r="BU50" i="10"/>
  <c r="BQ50" i="10"/>
  <c r="BQ49" i="10"/>
  <c r="BU48" i="10"/>
  <c r="BQ48" i="10"/>
  <c r="BU47" i="10"/>
  <c r="BQ47" i="10"/>
  <c r="BU46" i="10"/>
  <c r="BQ46" i="10"/>
  <c r="BU45" i="10"/>
  <c r="BU44" i="10"/>
  <c r="BQ44" i="10"/>
  <c r="BU43" i="10"/>
  <c r="BU42" i="10"/>
  <c r="BQ42" i="10"/>
  <c r="BU40" i="10"/>
  <c r="BQ40" i="10"/>
  <c r="BU38" i="10"/>
  <c r="BQ38" i="10"/>
  <c r="BQ37" i="10"/>
  <c r="BU36" i="10"/>
  <c r="BQ36" i="10"/>
  <c r="BU35" i="10"/>
  <c r="BQ35" i="10"/>
  <c r="BU34" i="10"/>
  <c r="BQ34" i="10"/>
  <c r="BU33" i="10"/>
  <c r="BU32" i="10"/>
  <c r="BQ32" i="10"/>
  <c r="BU31" i="10"/>
  <c r="BU30" i="10"/>
  <c r="BQ30" i="10"/>
  <c r="BU28" i="10"/>
  <c r="BQ28" i="10"/>
  <c r="X28" i="10"/>
  <c r="BU27" i="10"/>
  <c r="BW25" i="10"/>
  <c r="BU25" i="10"/>
  <c r="BQ25" i="10"/>
  <c r="BW24" i="10"/>
  <c r="BU24" i="10"/>
  <c r="BQ24" i="10"/>
  <c r="BW23" i="10"/>
  <c r="BU23" i="10"/>
  <c r="BQ23" i="10"/>
  <c r="BW22" i="10"/>
  <c r="BU22" i="10"/>
  <c r="BW21" i="10"/>
  <c r="BU21" i="10"/>
  <c r="BQ21" i="10"/>
  <c r="BW20" i="10"/>
  <c r="BU20" i="10"/>
  <c r="BW19" i="10"/>
  <c r="BQ19" i="10"/>
  <c r="BW18" i="10"/>
  <c r="BU18" i="10"/>
  <c r="BW17" i="10"/>
  <c r="BU17" i="10"/>
  <c r="BW16" i="10"/>
  <c r="BU16" i="10"/>
  <c r="BW15" i="10"/>
  <c r="BU15" i="10"/>
  <c r="BQ15" i="10"/>
  <c r="BW14" i="10"/>
  <c r="BU14" i="10"/>
  <c r="BW13" i="10"/>
  <c r="BU13" i="10"/>
  <c r="BQ13" i="10"/>
  <c r="BW12" i="10"/>
  <c r="BU12" i="10"/>
  <c r="BQ12" i="10"/>
  <c r="BW11" i="10"/>
  <c r="BU11" i="10"/>
  <c r="BQ11" i="10"/>
  <c r="G11" i="10"/>
  <c r="F11" i="10"/>
  <c r="BW10" i="10"/>
  <c r="BU10" i="10"/>
  <c r="BQ10" i="10"/>
  <c r="BW9" i="10"/>
  <c r="BU9" i="10"/>
  <c r="BQ9" i="10"/>
  <c r="BW8" i="10"/>
  <c r="BU8" i="10"/>
  <c r="BW7" i="10"/>
  <c r="BU7" i="10"/>
  <c r="BW6" i="10"/>
  <c r="BQ6" i="10"/>
  <c r="BW5" i="10"/>
  <c r="BU5" i="10"/>
  <c r="BW4" i="10"/>
  <c r="BU4" i="10"/>
  <c r="BQ4" i="10"/>
  <c r="BW3" i="10"/>
  <c r="BU2" i="10"/>
  <c r="BU6" i="8"/>
  <c r="BU7" i="8"/>
  <c r="BU8" i="8"/>
  <c r="BU9" i="8"/>
  <c r="BU10" i="8"/>
  <c r="BU11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44" i="8"/>
  <c r="BU45" i="8"/>
  <c r="BU46" i="8"/>
  <c r="BU47" i="8"/>
  <c r="BU48" i="8"/>
  <c r="BU49" i="8"/>
  <c r="BU50" i="8"/>
  <c r="BU51" i="8"/>
  <c r="BU52" i="8"/>
  <c r="BU53" i="8"/>
  <c r="BU54" i="8"/>
  <c r="BU55" i="8"/>
  <c r="BU56" i="8"/>
  <c r="BU57" i="8"/>
  <c r="BU58" i="8"/>
  <c r="BU59" i="8"/>
  <c r="BU60" i="8"/>
  <c r="BU61" i="8"/>
  <c r="BU62" i="8"/>
  <c r="BU63" i="8"/>
  <c r="BU64" i="8"/>
  <c r="BU65" i="8"/>
  <c r="BU66" i="8"/>
  <c r="BU67" i="8"/>
  <c r="BU68" i="8"/>
  <c r="BU69" i="8"/>
  <c r="BU70" i="8"/>
  <c r="BU71" i="8"/>
  <c r="BU72" i="8"/>
  <c r="BU73" i="8"/>
  <c r="BU74" i="8"/>
  <c r="BU75" i="8"/>
  <c r="BU76" i="8"/>
  <c r="BU77" i="8"/>
  <c r="BU78" i="8"/>
  <c r="BU79" i="8"/>
  <c r="BU80" i="8"/>
  <c r="BU81" i="8"/>
  <c r="BU82" i="8"/>
  <c r="BU83" i="8"/>
  <c r="BU84" i="8"/>
  <c r="BU85" i="8"/>
  <c r="BU86" i="8"/>
  <c r="BU87" i="8"/>
  <c r="BU88" i="8"/>
  <c r="BU89" i="8"/>
  <c r="BU90" i="8"/>
  <c r="BU91" i="8"/>
  <c r="BU92" i="8"/>
  <c r="BU93" i="8"/>
  <c r="BU94" i="8"/>
  <c r="BU95" i="8"/>
  <c r="BU96" i="8"/>
  <c r="BU97" i="8"/>
  <c r="BU98" i="8"/>
  <c r="BU99" i="8"/>
  <c r="BU100" i="8"/>
  <c r="BU101" i="8"/>
  <c r="BU102" i="8"/>
  <c r="BU103" i="8"/>
  <c r="BU104" i="8"/>
  <c r="BU105" i="8"/>
  <c r="BU106" i="8"/>
  <c r="BU107" i="8"/>
  <c r="BU108" i="8"/>
  <c r="BU109" i="8"/>
  <c r="BU110" i="8"/>
  <c r="BU111" i="8"/>
  <c r="BU112" i="8"/>
  <c r="BU113" i="8"/>
  <c r="BU114" i="8"/>
  <c r="BU115" i="8"/>
  <c r="BU116" i="8"/>
  <c r="BU117" i="8"/>
  <c r="BU118" i="8"/>
  <c r="BU119" i="8"/>
  <c r="BU120" i="8"/>
  <c r="BU121" i="8"/>
  <c r="BU122" i="8"/>
  <c r="BU123" i="8"/>
  <c r="BU124" i="8"/>
  <c r="BU125" i="8"/>
  <c r="BU126" i="8"/>
  <c r="BU127" i="8"/>
  <c r="BU128" i="8"/>
  <c r="BU129" i="8"/>
  <c r="BU130" i="8"/>
  <c r="BU131" i="8"/>
  <c r="BU132" i="8"/>
  <c r="BU133" i="8"/>
  <c r="BU134" i="8"/>
  <c r="BU135" i="8"/>
  <c r="BU136" i="8"/>
  <c r="BU137" i="8"/>
  <c r="BU4" i="8"/>
  <c r="BU2" i="8"/>
  <c r="BD152" i="8" a="1"/>
  <c r="BD152" i="8" s="1"/>
  <c r="BG151" i="8" a="1"/>
  <c r="BG151" i="8" s="1"/>
  <c r="CA138" i="8"/>
  <c r="BQ137" i="8"/>
  <c r="BQ136" i="8"/>
  <c r="BQ134" i="8"/>
  <c r="BQ133" i="8"/>
  <c r="BQ132" i="8"/>
  <c r="BQ131" i="8"/>
  <c r="BQ129" i="8"/>
  <c r="BQ128" i="8"/>
  <c r="BQ126" i="8"/>
  <c r="BQ125" i="8"/>
  <c r="BQ124" i="8"/>
  <c r="BQ122" i="8"/>
  <c r="BQ121" i="8"/>
  <c r="BQ120" i="8"/>
  <c r="BQ119" i="8"/>
  <c r="BQ117" i="8"/>
  <c r="BQ116" i="8"/>
  <c r="BQ114" i="8"/>
  <c r="BQ113" i="8"/>
  <c r="BQ112" i="8"/>
  <c r="BQ110" i="8"/>
  <c r="BQ109" i="8"/>
  <c r="BQ108" i="8"/>
  <c r="BQ107" i="8"/>
  <c r="BQ105" i="8"/>
  <c r="BQ104" i="8"/>
  <c r="BQ102" i="8"/>
  <c r="BQ101" i="8"/>
  <c r="BQ100" i="8"/>
  <c r="BQ98" i="8"/>
  <c r="BQ97" i="8"/>
  <c r="BQ96" i="8"/>
  <c r="BQ95" i="8"/>
  <c r="BQ93" i="8"/>
  <c r="BQ92" i="8"/>
  <c r="BQ90" i="8"/>
  <c r="BQ89" i="8"/>
  <c r="BQ88" i="8"/>
  <c r="BQ86" i="8"/>
  <c r="BQ85" i="8"/>
  <c r="BQ84" i="8"/>
  <c r="BQ83" i="8"/>
  <c r="BQ81" i="8"/>
  <c r="BQ80" i="8"/>
  <c r="BQ78" i="8"/>
  <c r="BQ77" i="8"/>
  <c r="BQ76" i="8"/>
  <c r="BQ74" i="8"/>
  <c r="BQ73" i="8"/>
  <c r="BQ72" i="8"/>
  <c r="BQ71" i="8"/>
  <c r="BQ69" i="8"/>
  <c r="BQ68" i="8"/>
  <c r="BQ66" i="8"/>
  <c r="BQ65" i="8"/>
  <c r="BQ64" i="8"/>
  <c r="BQ62" i="8"/>
  <c r="BQ61" i="8"/>
  <c r="BQ60" i="8"/>
  <c r="BQ59" i="8"/>
  <c r="BQ57" i="8"/>
  <c r="BQ56" i="8"/>
  <c r="BQ54" i="8"/>
  <c r="BQ53" i="8"/>
  <c r="BQ52" i="8"/>
  <c r="BQ50" i="8"/>
  <c r="BQ49" i="8"/>
  <c r="BQ48" i="8"/>
  <c r="BQ47" i="8"/>
  <c r="BQ45" i="8"/>
  <c r="BQ44" i="8"/>
  <c r="BQ42" i="8"/>
  <c r="BQ41" i="8"/>
  <c r="BQ40" i="8"/>
  <c r="BQ38" i="8"/>
  <c r="BQ37" i="8"/>
  <c r="BQ36" i="8"/>
  <c r="BQ35" i="8"/>
  <c r="BQ33" i="8"/>
  <c r="BQ32" i="8"/>
  <c r="BQ30" i="8"/>
  <c r="BQ29" i="8"/>
  <c r="BQ28" i="8"/>
  <c r="X28" i="8"/>
  <c r="BQ27" i="8"/>
  <c r="BQ26" i="8"/>
  <c r="BQ25" i="8"/>
  <c r="BQ24" i="8"/>
  <c r="BQ23" i="8"/>
  <c r="BQ22" i="8"/>
  <c r="BQ21" i="8"/>
  <c r="BQ20" i="8"/>
  <c r="BQ19" i="8"/>
  <c r="BQ16" i="8"/>
  <c r="BQ15" i="8"/>
  <c r="BQ14" i="8"/>
  <c r="BQ13" i="8"/>
  <c r="BQ12" i="8"/>
  <c r="BQ11" i="8"/>
  <c r="G11" i="8"/>
  <c r="F11" i="8"/>
  <c r="BQ10" i="8"/>
  <c r="BQ9" i="8"/>
  <c r="BQ7" i="8"/>
  <c r="BQ6" i="8"/>
  <c r="BU5" i="8"/>
  <c r="BQ5" i="8"/>
  <c r="BQ4" i="8"/>
  <c r="BU3" i="8"/>
  <c r="BQ3" i="8"/>
  <c r="BU2" i="4"/>
  <c r="BU3" i="4"/>
  <c r="BU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D152" i="4" a="1"/>
  <c r="BD152" i="4" s="1"/>
  <c r="CA138" i="4"/>
  <c r="BW137" i="4"/>
  <c r="BQ137" i="4"/>
  <c r="BW136" i="4"/>
  <c r="BW135" i="4"/>
  <c r="BW134" i="4"/>
  <c r="BW133" i="4"/>
  <c r="BW132" i="4"/>
  <c r="BW131" i="4"/>
  <c r="BW130" i="4"/>
  <c r="BW129" i="4"/>
  <c r="BQ129" i="4"/>
  <c r="BW128" i="4"/>
  <c r="BW127" i="4"/>
  <c r="BW126" i="4"/>
  <c r="BW125" i="4"/>
  <c r="BW124" i="4"/>
  <c r="BW123" i="4"/>
  <c r="BW122" i="4"/>
  <c r="BW121" i="4"/>
  <c r="BQ121" i="4"/>
  <c r="BW120" i="4"/>
  <c r="BW119" i="4"/>
  <c r="BW118" i="4"/>
  <c r="BW117" i="4"/>
  <c r="BW116" i="4"/>
  <c r="BW115" i="4"/>
  <c r="BW114" i="4"/>
  <c r="BW113" i="4"/>
  <c r="BQ113" i="4"/>
  <c r="BW112" i="4"/>
  <c r="BW111" i="4"/>
  <c r="BW110" i="4"/>
  <c r="BW109" i="4"/>
  <c r="BW108" i="4"/>
  <c r="BW107" i="4"/>
  <c r="BW106" i="4"/>
  <c r="BW105" i="4"/>
  <c r="BQ105" i="4"/>
  <c r="BW104" i="4"/>
  <c r="BW103" i="4"/>
  <c r="BW102" i="4"/>
  <c r="BW101" i="4"/>
  <c r="BW100" i="4"/>
  <c r="BW99" i="4"/>
  <c r="BW98" i="4"/>
  <c r="BW97" i="4"/>
  <c r="BQ97" i="4"/>
  <c r="BW96" i="4"/>
  <c r="BW95" i="4"/>
  <c r="BW94" i="4"/>
  <c r="BW93" i="4"/>
  <c r="BW92" i="4"/>
  <c r="BW91" i="4"/>
  <c r="BW90" i="4"/>
  <c r="BW89" i="4"/>
  <c r="BQ89" i="4"/>
  <c r="BW88" i="4"/>
  <c r="BW87" i="4"/>
  <c r="BW86" i="4"/>
  <c r="BW85" i="4"/>
  <c r="BW84" i="4"/>
  <c r="BQ84" i="4"/>
  <c r="BW83" i="4"/>
  <c r="BW82" i="4"/>
  <c r="BW81" i="4"/>
  <c r="BQ81" i="4"/>
  <c r="BW80" i="4"/>
  <c r="BW79" i="4"/>
  <c r="BW78" i="4"/>
  <c r="BW77" i="4"/>
  <c r="BW76" i="4"/>
  <c r="BQ76" i="4"/>
  <c r="BW75" i="4"/>
  <c r="BW74" i="4"/>
  <c r="BW73" i="4"/>
  <c r="BQ73" i="4"/>
  <c r="BW72" i="4"/>
  <c r="BW71" i="4"/>
  <c r="BW70" i="4"/>
  <c r="BW69" i="4"/>
  <c r="BW68" i="4"/>
  <c r="BQ68" i="4"/>
  <c r="BW67" i="4"/>
  <c r="BW66" i="4"/>
  <c r="BW65" i="4"/>
  <c r="BQ65" i="4"/>
  <c r="BW64" i="4"/>
  <c r="BW63" i="4"/>
  <c r="BW62" i="4"/>
  <c r="BW61" i="4"/>
  <c r="BW60" i="4"/>
  <c r="BQ60" i="4"/>
  <c r="BW59" i="4"/>
  <c r="BW58" i="4"/>
  <c r="BW57" i="4"/>
  <c r="BQ57" i="4"/>
  <c r="BW56" i="4"/>
  <c r="BW55" i="4"/>
  <c r="BW54" i="4"/>
  <c r="BW53" i="4"/>
  <c r="BW52" i="4"/>
  <c r="BQ52" i="4"/>
  <c r="BW51" i="4"/>
  <c r="BW50" i="4"/>
  <c r="BW49" i="4"/>
  <c r="BQ49" i="4"/>
  <c r="BW48" i="4"/>
  <c r="BW47" i="4"/>
  <c r="BW46" i="4"/>
  <c r="BW45" i="4"/>
  <c r="BW44" i="4"/>
  <c r="BW43" i="4"/>
  <c r="BW42" i="4"/>
  <c r="BW41" i="4"/>
  <c r="BQ41" i="4"/>
  <c r="BW40" i="4"/>
  <c r="BW39" i="4"/>
  <c r="BW38" i="4"/>
  <c r="BW37" i="4"/>
  <c r="BW36" i="4"/>
  <c r="BQ36" i="4"/>
  <c r="BW35" i="4"/>
  <c r="BW34" i="4"/>
  <c r="BW33" i="4"/>
  <c r="BQ33" i="4"/>
  <c r="BW32" i="4"/>
  <c r="BW31" i="4"/>
  <c r="BW30" i="4"/>
  <c r="BW29" i="4"/>
  <c r="BW28" i="4"/>
  <c r="BQ28" i="4"/>
  <c r="X28" i="4"/>
  <c r="BW27" i="4"/>
  <c r="BW26" i="4"/>
  <c r="BQ26" i="4"/>
  <c r="BW25" i="4"/>
  <c r="BW24" i="4"/>
  <c r="BQ24" i="4"/>
  <c r="BW23" i="4"/>
  <c r="BQ23" i="4"/>
  <c r="BW22" i="4"/>
  <c r="BQ22" i="4"/>
  <c r="BW21" i="4"/>
  <c r="BQ21" i="4"/>
  <c r="BW20" i="4"/>
  <c r="BQ20" i="4"/>
  <c r="BW19" i="4"/>
  <c r="BQ19" i="4"/>
  <c r="BW18" i="4"/>
  <c r="BQ18" i="4"/>
  <c r="BW17" i="4"/>
  <c r="BQ17" i="4"/>
  <c r="BW16" i="4"/>
  <c r="BQ16" i="4"/>
  <c r="BW15" i="4"/>
  <c r="BQ15" i="4"/>
  <c r="BW14" i="4"/>
  <c r="BQ14" i="4"/>
  <c r="BW13" i="4"/>
  <c r="BQ13" i="4"/>
  <c r="BW12" i="4"/>
  <c r="BQ12" i="4"/>
  <c r="BW11" i="4"/>
  <c r="BQ11" i="4"/>
  <c r="G11" i="4"/>
  <c r="F11" i="4"/>
  <c r="BW10" i="4"/>
  <c r="BQ10" i="4"/>
  <c r="BW9" i="4"/>
  <c r="BQ9" i="4"/>
  <c r="BW8" i="4"/>
  <c r="BQ8" i="4"/>
  <c r="BW7" i="4"/>
  <c r="BQ7" i="4"/>
  <c r="BW6" i="4"/>
  <c r="BQ6" i="4"/>
  <c r="BW5" i="4"/>
  <c r="BQ5" i="4"/>
  <c r="BW4" i="4"/>
  <c r="BQ4" i="4"/>
  <c r="BW3" i="4"/>
  <c r="BQ3" i="4"/>
  <c r="BW2" i="4"/>
  <c r="BQ2" i="4"/>
  <c r="BG151" i="4" a="1"/>
  <c r="BG151" i="4" s="1"/>
  <c r="BD152" i="1" a="1"/>
  <c r="BD152" i="1" s="1"/>
  <c r="CA138" i="1"/>
  <c r="BW137" i="1"/>
  <c r="BV137" i="1"/>
  <c r="BT137" i="1"/>
  <c r="BS137" i="1"/>
  <c r="BR137" i="1"/>
  <c r="BP137" i="1"/>
  <c r="BO137" i="1"/>
  <c r="BN137" i="1"/>
  <c r="BM137" i="1"/>
  <c r="BL137" i="1"/>
  <c r="BK137" i="1"/>
  <c r="BJ137" i="1"/>
  <c r="BI137" i="1"/>
  <c r="BH137" i="1"/>
  <c r="BG137" i="1"/>
  <c r="BW136" i="1"/>
  <c r="BV136" i="1"/>
  <c r="BT136" i="1"/>
  <c r="BS136" i="1"/>
  <c r="BR136" i="1"/>
  <c r="BP136" i="1"/>
  <c r="BO136" i="1"/>
  <c r="BN136" i="1"/>
  <c r="BM136" i="1"/>
  <c r="BL136" i="1"/>
  <c r="BK136" i="1"/>
  <c r="BJ136" i="1"/>
  <c r="BI136" i="1"/>
  <c r="BH136" i="1"/>
  <c r="BG136" i="1"/>
  <c r="BW135" i="1"/>
  <c r="BV135" i="1"/>
  <c r="BT135" i="1"/>
  <c r="BS135" i="1"/>
  <c r="BR135" i="1"/>
  <c r="BP135" i="1"/>
  <c r="BO135" i="1"/>
  <c r="BN135" i="1"/>
  <c r="BM135" i="1"/>
  <c r="BL135" i="1"/>
  <c r="BK135" i="1"/>
  <c r="BJ135" i="1"/>
  <c r="BI135" i="1"/>
  <c r="BH135" i="1"/>
  <c r="BG135" i="1"/>
  <c r="BW134" i="1"/>
  <c r="BV134" i="1"/>
  <c r="BT134" i="1"/>
  <c r="BS134" i="1"/>
  <c r="BR134" i="1"/>
  <c r="BP134" i="1"/>
  <c r="BO134" i="1"/>
  <c r="BN134" i="1"/>
  <c r="BM134" i="1"/>
  <c r="BL134" i="1"/>
  <c r="BK134" i="1"/>
  <c r="BJ134" i="1"/>
  <c r="BI134" i="1"/>
  <c r="BH134" i="1"/>
  <c r="BG134" i="1"/>
  <c r="BW133" i="1"/>
  <c r="BV133" i="1"/>
  <c r="BT133" i="1"/>
  <c r="BS133" i="1"/>
  <c r="BR133" i="1"/>
  <c r="BP133" i="1"/>
  <c r="BO133" i="1"/>
  <c r="BN133" i="1"/>
  <c r="BM133" i="1"/>
  <c r="BL133" i="1"/>
  <c r="BK133" i="1"/>
  <c r="BJ133" i="1"/>
  <c r="BI133" i="1"/>
  <c r="BH133" i="1"/>
  <c r="BG133" i="1"/>
  <c r="BW132" i="1"/>
  <c r="BV132" i="1"/>
  <c r="BT132" i="1"/>
  <c r="BS132" i="1"/>
  <c r="BR132" i="1"/>
  <c r="BP132" i="1"/>
  <c r="BO132" i="1"/>
  <c r="BN132" i="1"/>
  <c r="BM132" i="1"/>
  <c r="BL132" i="1"/>
  <c r="BK132" i="1"/>
  <c r="BJ132" i="1"/>
  <c r="BI132" i="1"/>
  <c r="BH132" i="1"/>
  <c r="BG132" i="1"/>
  <c r="BW131" i="1"/>
  <c r="BV131" i="1"/>
  <c r="BT131" i="1"/>
  <c r="BS131" i="1"/>
  <c r="BR131" i="1"/>
  <c r="BP131" i="1"/>
  <c r="BO131" i="1"/>
  <c r="BN131" i="1"/>
  <c r="BM131" i="1"/>
  <c r="BL131" i="1"/>
  <c r="BK131" i="1"/>
  <c r="BJ131" i="1"/>
  <c r="BI131" i="1"/>
  <c r="BH131" i="1"/>
  <c r="BG131" i="1"/>
  <c r="BW130" i="1"/>
  <c r="BV130" i="1"/>
  <c r="BT130" i="1"/>
  <c r="BS130" i="1"/>
  <c r="BR130" i="1"/>
  <c r="BP130" i="1"/>
  <c r="BO130" i="1"/>
  <c r="BN130" i="1"/>
  <c r="BM130" i="1"/>
  <c r="BL130" i="1"/>
  <c r="BK130" i="1"/>
  <c r="BJ130" i="1"/>
  <c r="BI130" i="1"/>
  <c r="BH130" i="1"/>
  <c r="BG130" i="1"/>
  <c r="BW129" i="1"/>
  <c r="BV129" i="1"/>
  <c r="BT129" i="1"/>
  <c r="BS129" i="1"/>
  <c r="BR129" i="1"/>
  <c r="BP129" i="1"/>
  <c r="BO129" i="1"/>
  <c r="BN129" i="1"/>
  <c r="BM129" i="1"/>
  <c r="BL129" i="1"/>
  <c r="BK129" i="1"/>
  <c r="BJ129" i="1"/>
  <c r="BI129" i="1"/>
  <c r="BH129" i="1"/>
  <c r="BG129" i="1"/>
  <c r="BW128" i="1"/>
  <c r="BV128" i="1"/>
  <c r="BT128" i="1"/>
  <c r="BS128" i="1"/>
  <c r="BR128" i="1"/>
  <c r="BP128" i="1"/>
  <c r="BO128" i="1"/>
  <c r="BN128" i="1"/>
  <c r="BM128" i="1"/>
  <c r="BL128" i="1"/>
  <c r="BK128" i="1"/>
  <c r="BJ128" i="1"/>
  <c r="BI128" i="1"/>
  <c r="BH128" i="1"/>
  <c r="BG128" i="1"/>
  <c r="BW127" i="1"/>
  <c r="BV127" i="1"/>
  <c r="BT127" i="1"/>
  <c r="BS127" i="1"/>
  <c r="BR127" i="1"/>
  <c r="BP127" i="1"/>
  <c r="BO127" i="1"/>
  <c r="BN127" i="1"/>
  <c r="BM127" i="1"/>
  <c r="BL127" i="1"/>
  <c r="BK127" i="1"/>
  <c r="BJ127" i="1"/>
  <c r="BI127" i="1"/>
  <c r="BH127" i="1"/>
  <c r="BG127" i="1"/>
  <c r="BW126" i="1"/>
  <c r="BV126" i="1"/>
  <c r="BT126" i="1"/>
  <c r="BS126" i="1"/>
  <c r="BR126" i="1"/>
  <c r="BP126" i="1"/>
  <c r="BO126" i="1"/>
  <c r="BN126" i="1"/>
  <c r="BM126" i="1"/>
  <c r="BL126" i="1"/>
  <c r="BK126" i="1"/>
  <c r="BJ126" i="1"/>
  <c r="BI126" i="1"/>
  <c r="BH126" i="1"/>
  <c r="BG126" i="1"/>
  <c r="BW125" i="1"/>
  <c r="BV125" i="1"/>
  <c r="BT125" i="1"/>
  <c r="BS125" i="1"/>
  <c r="BR125" i="1"/>
  <c r="BP125" i="1"/>
  <c r="BO125" i="1"/>
  <c r="BN125" i="1"/>
  <c r="BM125" i="1"/>
  <c r="BL125" i="1"/>
  <c r="BK125" i="1"/>
  <c r="BJ125" i="1"/>
  <c r="BI125" i="1"/>
  <c r="BH125" i="1"/>
  <c r="BG125" i="1"/>
  <c r="BW124" i="1"/>
  <c r="BV124" i="1"/>
  <c r="BT124" i="1"/>
  <c r="BS124" i="1"/>
  <c r="BR124" i="1"/>
  <c r="BP124" i="1"/>
  <c r="BO124" i="1"/>
  <c r="BN124" i="1"/>
  <c r="BM124" i="1"/>
  <c r="BL124" i="1"/>
  <c r="BK124" i="1"/>
  <c r="BJ124" i="1"/>
  <c r="BI124" i="1"/>
  <c r="BH124" i="1"/>
  <c r="BG124" i="1"/>
  <c r="BW123" i="1"/>
  <c r="BV123" i="1"/>
  <c r="BT123" i="1"/>
  <c r="BS123" i="1"/>
  <c r="BR123" i="1"/>
  <c r="BP123" i="1"/>
  <c r="BO123" i="1"/>
  <c r="BN123" i="1"/>
  <c r="BM123" i="1"/>
  <c r="BL123" i="1"/>
  <c r="BK123" i="1"/>
  <c r="BJ123" i="1"/>
  <c r="BI123" i="1"/>
  <c r="BH123" i="1"/>
  <c r="BG123" i="1"/>
  <c r="BW122" i="1"/>
  <c r="BV122" i="1"/>
  <c r="BT122" i="1"/>
  <c r="BS122" i="1"/>
  <c r="BR122" i="1"/>
  <c r="BP122" i="1"/>
  <c r="BO122" i="1"/>
  <c r="BN122" i="1"/>
  <c r="BM122" i="1"/>
  <c r="BL122" i="1"/>
  <c r="BK122" i="1"/>
  <c r="BJ122" i="1"/>
  <c r="BI122" i="1"/>
  <c r="BH122" i="1"/>
  <c r="BG122" i="1"/>
  <c r="BW121" i="1"/>
  <c r="BV121" i="1"/>
  <c r="BT121" i="1"/>
  <c r="BS121" i="1"/>
  <c r="BR121" i="1"/>
  <c r="BP121" i="1"/>
  <c r="BO121" i="1"/>
  <c r="BN121" i="1"/>
  <c r="BM121" i="1"/>
  <c r="BL121" i="1"/>
  <c r="BK121" i="1"/>
  <c r="BJ121" i="1"/>
  <c r="BI121" i="1"/>
  <c r="BH121" i="1"/>
  <c r="BG121" i="1"/>
  <c r="BW120" i="1"/>
  <c r="BV120" i="1"/>
  <c r="BT120" i="1"/>
  <c r="BS120" i="1"/>
  <c r="BR120" i="1"/>
  <c r="BP120" i="1"/>
  <c r="BO120" i="1"/>
  <c r="BN120" i="1"/>
  <c r="BM120" i="1"/>
  <c r="BL120" i="1"/>
  <c r="BK120" i="1"/>
  <c r="BJ120" i="1"/>
  <c r="BI120" i="1"/>
  <c r="BH120" i="1"/>
  <c r="BG120" i="1"/>
  <c r="BW119" i="1"/>
  <c r="BV119" i="1"/>
  <c r="BT119" i="1"/>
  <c r="BS119" i="1"/>
  <c r="BR119" i="1"/>
  <c r="BP119" i="1"/>
  <c r="BO119" i="1"/>
  <c r="BN119" i="1"/>
  <c r="BM119" i="1"/>
  <c r="BL119" i="1"/>
  <c r="BK119" i="1"/>
  <c r="BJ119" i="1"/>
  <c r="BI119" i="1"/>
  <c r="BH119" i="1"/>
  <c r="BG119" i="1"/>
  <c r="BW118" i="1"/>
  <c r="BV118" i="1"/>
  <c r="BT118" i="1"/>
  <c r="BS118" i="1"/>
  <c r="BR118" i="1"/>
  <c r="BP118" i="1"/>
  <c r="BO118" i="1"/>
  <c r="BN118" i="1"/>
  <c r="BM118" i="1"/>
  <c r="BL118" i="1"/>
  <c r="BK118" i="1"/>
  <c r="BJ118" i="1"/>
  <c r="BI118" i="1"/>
  <c r="BH118" i="1"/>
  <c r="BG118" i="1"/>
  <c r="BW117" i="1"/>
  <c r="BV117" i="1"/>
  <c r="BT117" i="1"/>
  <c r="BS117" i="1"/>
  <c r="BR117" i="1"/>
  <c r="BP117" i="1"/>
  <c r="BO117" i="1"/>
  <c r="BN117" i="1"/>
  <c r="BM117" i="1"/>
  <c r="BL117" i="1"/>
  <c r="BK117" i="1"/>
  <c r="BJ117" i="1"/>
  <c r="BI117" i="1"/>
  <c r="BH117" i="1"/>
  <c r="BG117" i="1"/>
  <c r="BW116" i="1"/>
  <c r="BV116" i="1"/>
  <c r="BT116" i="1"/>
  <c r="BS116" i="1"/>
  <c r="BR116" i="1"/>
  <c r="BP116" i="1"/>
  <c r="BO116" i="1"/>
  <c r="BN116" i="1"/>
  <c r="BM116" i="1"/>
  <c r="BL116" i="1"/>
  <c r="BK116" i="1"/>
  <c r="BJ116" i="1"/>
  <c r="BI116" i="1"/>
  <c r="BH116" i="1"/>
  <c r="BG116" i="1"/>
  <c r="BW115" i="1"/>
  <c r="BV115" i="1"/>
  <c r="BT115" i="1"/>
  <c r="BS115" i="1"/>
  <c r="BR115" i="1"/>
  <c r="BP115" i="1"/>
  <c r="BO115" i="1"/>
  <c r="BN115" i="1"/>
  <c r="BM115" i="1"/>
  <c r="BL115" i="1"/>
  <c r="BK115" i="1"/>
  <c r="BJ115" i="1"/>
  <c r="BI115" i="1"/>
  <c r="BH115" i="1"/>
  <c r="BG115" i="1"/>
  <c r="BW114" i="1"/>
  <c r="BV114" i="1"/>
  <c r="BT114" i="1"/>
  <c r="BS114" i="1"/>
  <c r="BR114" i="1"/>
  <c r="BP114" i="1"/>
  <c r="BO114" i="1"/>
  <c r="BN114" i="1"/>
  <c r="BM114" i="1"/>
  <c r="BL114" i="1"/>
  <c r="BK114" i="1"/>
  <c r="BJ114" i="1"/>
  <c r="BI114" i="1"/>
  <c r="BH114" i="1"/>
  <c r="BG114" i="1"/>
  <c r="BW113" i="1"/>
  <c r="BV113" i="1"/>
  <c r="BT113" i="1"/>
  <c r="BS113" i="1"/>
  <c r="BR113" i="1"/>
  <c r="BP113" i="1"/>
  <c r="BO113" i="1"/>
  <c r="BN113" i="1"/>
  <c r="BM113" i="1"/>
  <c r="BL113" i="1"/>
  <c r="BK113" i="1"/>
  <c r="BJ113" i="1"/>
  <c r="BI113" i="1"/>
  <c r="BH113" i="1"/>
  <c r="BG113" i="1"/>
  <c r="BW112" i="1"/>
  <c r="BV112" i="1"/>
  <c r="BT112" i="1"/>
  <c r="BS112" i="1"/>
  <c r="BR112" i="1"/>
  <c r="BP112" i="1"/>
  <c r="BO112" i="1"/>
  <c r="BN112" i="1"/>
  <c r="BM112" i="1"/>
  <c r="BL112" i="1"/>
  <c r="BK112" i="1"/>
  <c r="BJ112" i="1"/>
  <c r="BI112" i="1"/>
  <c r="BH112" i="1"/>
  <c r="BG112" i="1"/>
  <c r="BW111" i="1"/>
  <c r="BV111" i="1"/>
  <c r="BT111" i="1"/>
  <c r="BS111" i="1"/>
  <c r="BR111" i="1"/>
  <c r="BP111" i="1"/>
  <c r="BO111" i="1"/>
  <c r="BN111" i="1"/>
  <c r="BM111" i="1"/>
  <c r="BL111" i="1"/>
  <c r="BK111" i="1"/>
  <c r="BJ111" i="1"/>
  <c r="BI111" i="1"/>
  <c r="BH111" i="1"/>
  <c r="BG111" i="1"/>
  <c r="BW110" i="1"/>
  <c r="BV110" i="1"/>
  <c r="BT110" i="1"/>
  <c r="BS110" i="1"/>
  <c r="BR110" i="1"/>
  <c r="BP110" i="1"/>
  <c r="BO110" i="1"/>
  <c r="BN110" i="1"/>
  <c r="BM110" i="1"/>
  <c r="BL110" i="1"/>
  <c r="BK110" i="1"/>
  <c r="BJ110" i="1"/>
  <c r="BI110" i="1"/>
  <c r="BH110" i="1"/>
  <c r="BG110" i="1"/>
  <c r="BW109" i="1"/>
  <c r="BV109" i="1"/>
  <c r="BT109" i="1"/>
  <c r="BS109" i="1"/>
  <c r="BR109" i="1"/>
  <c r="BP109" i="1"/>
  <c r="BO109" i="1"/>
  <c r="BN109" i="1"/>
  <c r="BM109" i="1"/>
  <c r="BL109" i="1"/>
  <c r="BK109" i="1"/>
  <c r="BJ109" i="1"/>
  <c r="BI109" i="1"/>
  <c r="BH109" i="1"/>
  <c r="BG109" i="1"/>
  <c r="BW108" i="1"/>
  <c r="BV108" i="1"/>
  <c r="BT108" i="1"/>
  <c r="BS108" i="1"/>
  <c r="BR108" i="1"/>
  <c r="BP108" i="1"/>
  <c r="BO108" i="1"/>
  <c r="BN108" i="1"/>
  <c r="BM108" i="1"/>
  <c r="BL108" i="1"/>
  <c r="BK108" i="1"/>
  <c r="BJ108" i="1"/>
  <c r="BI108" i="1"/>
  <c r="BH108" i="1"/>
  <c r="BG108" i="1"/>
  <c r="BW107" i="1"/>
  <c r="BV107" i="1"/>
  <c r="BT107" i="1"/>
  <c r="BS107" i="1"/>
  <c r="BR107" i="1"/>
  <c r="BP107" i="1"/>
  <c r="BO107" i="1"/>
  <c r="BN107" i="1"/>
  <c r="BM107" i="1"/>
  <c r="BL107" i="1"/>
  <c r="BK107" i="1"/>
  <c r="BJ107" i="1"/>
  <c r="BI107" i="1"/>
  <c r="BH107" i="1"/>
  <c r="BG107" i="1"/>
  <c r="BW106" i="1"/>
  <c r="BV106" i="1"/>
  <c r="BT106" i="1"/>
  <c r="BS106" i="1"/>
  <c r="BR106" i="1"/>
  <c r="BP106" i="1"/>
  <c r="BO106" i="1"/>
  <c r="BN106" i="1"/>
  <c r="BM106" i="1"/>
  <c r="BL106" i="1"/>
  <c r="BK106" i="1"/>
  <c r="BJ106" i="1"/>
  <c r="BI106" i="1"/>
  <c r="BH106" i="1"/>
  <c r="BG106" i="1"/>
  <c r="BW105" i="1"/>
  <c r="BV105" i="1"/>
  <c r="BT105" i="1"/>
  <c r="BS105" i="1"/>
  <c r="BR105" i="1"/>
  <c r="BP105" i="1"/>
  <c r="BO105" i="1"/>
  <c r="BN105" i="1"/>
  <c r="BM105" i="1"/>
  <c r="BL105" i="1"/>
  <c r="BK105" i="1"/>
  <c r="BJ105" i="1"/>
  <c r="BI105" i="1"/>
  <c r="BH105" i="1"/>
  <c r="BG105" i="1"/>
  <c r="BW104" i="1"/>
  <c r="BV104" i="1"/>
  <c r="BT104" i="1"/>
  <c r="BS104" i="1"/>
  <c r="BR104" i="1"/>
  <c r="BP104" i="1"/>
  <c r="BO104" i="1"/>
  <c r="BN104" i="1"/>
  <c r="BM104" i="1"/>
  <c r="BL104" i="1"/>
  <c r="BK104" i="1"/>
  <c r="BJ104" i="1"/>
  <c r="BI104" i="1"/>
  <c r="BH104" i="1"/>
  <c r="BG104" i="1"/>
  <c r="BW103" i="1"/>
  <c r="BV103" i="1"/>
  <c r="BT103" i="1"/>
  <c r="BS103" i="1"/>
  <c r="BR103" i="1"/>
  <c r="BP103" i="1"/>
  <c r="BO103" i="1"/>
  <c r="BN103" i="1"/>
  <c r="BM103" i="1"/>
  <c r="BL103" i="1"/>
  <c r="BK103" i="1"/>
  <c r="BJ103" i="1"/>
  <c r="BI103" i="1"/>
  <c r="BH103" i="1"/>
  <c r="BG103" i="1"/>
  <c r="BW102" i="1"/>
  <c r="BV102" i="1"/>
  <c r="BT102" i="1"/>
  <c r="BS102" i="1"/>
  <c r="BR102" i="1"/>
  <c r="BP102" i="1"/>
  <c r="BO102" i="1"/>
  <c r="BN102" i="1"/>
  <c r="BM102" i="1"/>
  <c r="BL102" i="1"/>
  <c r="BK102" i="1"/>
  <c r="BJ102" i="1"/>
  <c r="BI102" i="1"/>
  <c r="BH102" i="1"/>
  <c r="BG102" i="1"/>
  <c r="BW101" i="1"/>
  <c r="BV101" i="1"/>
  <c r="BT101" i="1"/>
  <c r="BS101" i="1"/>
  <c r="BR101" i="1"/>
  <c r="BP101" i="1"/>
  <c r="BO101" i="1"/>
  <c r="BN101" i="1"/>
  <c r="BM101" i="1"/>
  <c r="BL101" i="1"/>
  <c r="BK101" i="1"/>
  <c r="BJ101" i="1"/>
  <c r="BI101" i="1"/>
  <c r="BH101" i="1"/>
  <c r="BG101" i="1"/>
  <c r="BW100" i="1"/>
  <c r="BV100" i="1"/>
  <c r="BT100" i="1"/>
  <c r="BS100" i="1"/>
  <c r="BR100" i="1"/>
  <c r="BP100" i="1"/>
  <c r="BO100" i="1"/>
  <c r="BN100" i="1"/>
  <c r="BM100" i="1"/>
  <c r="BL100" i="1"/>
  <c r="BK100" i="1"/>
  <c r="BJ100" i="1"/>
  <c r="BI100" i="1"/>
  <c r="BH100" i="1"/>
  <c r="BG100" i="1"/>
  <c r="BW99" i="1"/>
  <c r="BV99" i="1"/>
  <c r="BT99" i="1"/>
  <c r="BS99" i="1"/>
  <c r="BR99" i="1"/>
  <c r="BP99" i="1"/>
  <c r="BO99" i="1"/>
  <c r="BN99" i="1"/>
  <c r="BM99" i="1"/>
  <c r="BL99" i="1"/>
  <c r="BK99" i="1"/>
  <c r="BJ99" i="1"/>
  <c r="BI99" i="1"/>
  <c r="BH99" i="1"/>
  <c r="BG99" i="1"/>
  <c r="BW98" i="1"/>
  <c r="BV98" i="1"/>
  <c r="BT98" i="1"/>
  <c r="BS98" i="1"/>
  <c r="BR98" i="1"/>
  <c r="BP98" i="1"/>
  <c r="BO98" i="1"/>
  <c r="BN98" i="1"/>
  <c r="BM98" i="1"/>
  <c r="BL98" i="1"/>
  <c r="BK98" i="1"/>
  <c r="BJ98" i="1"/>
  <c r="BI98" i="1"/>
  <c r="BH98" i="1"/>
  <c r="BG98" i="1"/>
  <c r="BW97" i="1"/>
  <c r="BV97" i="1"/>
  <c r="BT97" i="1"/>
  <c r="BS97" i="1"/>
  <c r="BR97" i="1"/>
  <c r="BP97" i="1"/>
  <c r="BO97" i="1"/>
  <c r="BN97" i="1"/>
  <c r="BM97" i="1"/>
  <c r="BL97" i="1"/>
  <c r="BK97" i="1"/>
  <c r="BJ97" i="1"/>
  <c r="BI97" i="1"/>
  <c r="BH97" i="1"/>
  <c r="BG97" i="1"/>
  <c r="BW96" i="1"/>
  <c r="BV96" i="1"/>
  <c r="BT96" i="1"/>
  <c r="BS96" i="1"/>
  <c r="BR96" i="1"/>
  <c r="BP96" i="1"/>
  <c r="BO96" i="1"/>
  <c r="BN96" i="1"/>
  <c r="BM96" i="1"/>
  <c r="BL96" i="1"/>
  <c r="BK96" i="1"/>
  <c r="BJ96" i="1"/>
  <c r="BI96" i="1"/>
  <c r="BH96" i="1"/>
  <c r="BG96" i="1"/>
  <c r="BW95" i="1"/>
  <c r="BV95" i="1"/>
  <c r="BT95" i="1"/>
  <c r="BS95" i="1"/>
  <c r="BR95" i="1"/>
  <c r="BP95" i="1"/>
  <c r="BO95" i="1"/>
  <c r="BN95" i="1"/>
  <c r="BM95" i="1"/>
  <c r="BL95" i="1"/>
  <c r="BK95" i="1"/>
  <c r="BJ95" i="1"/>
  <c r="BI95" i="1"/>
  <c r="BH95" i="1"/>
  <c r="BG95" i="1"/>
  <c r="BW94" i="1"/>
  <c r="BV94" i="1"/>
  <c r="BT94" i="1"/>
  <c r="BS94" i="1"/>
  <c r="BR94" i="1"/>
  <c r="BP94" i="1"/>
  <c r="BO94" i="1"/>
  <c r="BN94" i="1"/>
  <c r="BM94" i="1"/>
  <c r="BL94" i="1"/>
  <c r="BK94" i="1"/>
  <c r="BJ94" i="1"/>
  <c r="BI94" i="1"/>
  <c r="BH94" i="1"/>
  <c r="BG94" i="1"/>
  <c r="BW93" i="1"/>
  <c r="BV93" i="1"/>
  <c r="BT93" i="1"/>
  <c r="BS93" i="1"/>
  <c r="BR93" i="1"/>
  <c r="BP93" i="1"/>
  <c r="BO93" i="1"/>
  <c r="BN93" i="1"/>
  <c r="BM93" i="1"/>
  <c r="BL93" i="1"/>
  <c r="BK93" i="1"/>
  <c r="BJ93" i="1"/>
  <c r="BI93" i="1"/>
  <c r="BH93" i="1"/>
  <c r="BG93" i="1"/>
  <c r="BW92" i="1"/>
  <c r="BV92" i="1"/>
  <c r="BT92" i="1"/>
  <c r="BS92" i="1"/>
  <c r="BR92" i="1"/>
  <c r="BP92" i="1"/>
  <c r="BO92" i="1"/>
  <c r="BN92" i="1"/>
  <c r="BM92" i="1"/>
  <c r="BL92" i="1"/>
  <c r="BK92" i="1"/>
  <c r="BJ92" i="1"/>
  <c r="BI92" i="1"/>
  <c r="BH92" i="1"/>
  <c r="BG92" i="1"/>
  <c r="BW91" i="1"/>
  <c r="BV91" i="1"/>
  <c r="BT91" i="1"/>
  <c r="BS91" i="1"/>
  <c r="BR91" i="1"/>
  <c r="BP91" i="1"/>
  <c r="BO91" i="1"/>
  <c r="BN91" i="1"/>
  <c r="BM91" i="1"/>
  <c r="BL91" i="1"/>
  <c r="BK91" i="1"/>
  <c r="BJ91" i="1"/>
  <c r="BI91" i="1"/>
  <c r="BH91" i="1"/>
  <c r="BG91" i="1"/>
  <c r="BW90" i="1"/>
  <c r="BV90" i="1"/>
  <c r="BT90" i="1"/>
  <c r="BS90" i="1"/>
  <c r="BR90" i="1"/>
  <c r="BP90" i="1"/>
  <c r="BO90" i="1"/>
  <c r="BN90" i="1"/>
  <c r="BM90" i="1"/>
  <c r="BL90" i="1"/>
  <c r="BK90" i="1"/>
  <c r="BJ90" i="1"/>
  <c r="BI90" i="1"/>
  <c r="BH90" i="1"/>
  <c r="BG90" i="1"/>
  <c r="BW89" i="1"/>
  <c r="BV89" i="1"/>
  <c r="BT89" i="1"/>
  <c r="BS89" i="1"/>
  <c r="BR89" i="1"/>
  <c r="BP89" i="1"/>
  <c r="BO89" i="1"/>
  <c r="BN89" i="1"/>
  <c r="BM89" i="1"/>
  <c r="BL89" i="1"/>
  <c r="BK89" i="1"/>
  <c r="BJ89" i="1"/>
  <c r="BI89" i="1"/>
  <c r="BH89" i="1"/>
  <c r="BG89" i="1"/>
  <c r="BW88" i="1"/>
  <c r="BV88" i="1"/>
  <c r="BT88" i="1"/>
  <c r="BS88" i="1"/>
  <c r="BR88" i="1"/>
  <c r="BP88" i="1"/>
  <c r="BO88" i="1"/>
  <c r="BN88" i="1"/>
  <c r="BM88" i="1"/>
  <c r="BL88" i="1"/>
  <c r="BK88" i="1"/>
  <c r="BJ88" i="1"/>
  <c r="BI88" i="1"/>
  <c r="BH88" i="1"/>
  <c r="BG88" i="1"/>
  <c r="BW87" i="1"/>
  <c r="BV87" i="1"/>
  <c r="BT87" i="1"/>
  <c r="BS87" i="1"/>
  <c r="BR87" i="1"/>
  <c r="BP87" i="1"/>
  <c r="BO87" i="1"/>
  <c r="BN87" i="1"/>
  <c r="BM87" i="1"/>
  <c r="BL87" i="1"/>
  <c r="BK87" i="1"/>
  <c r="BJ87" i="1"/>
  <c r="BI87" i="1"/>
  <c r="BH87" i="1"/>
  <c r="BG87" i="1"/>
  <c r="BW86" i="1"/>
  <c r="BV86" i="1"/>
  <c r="BT86" i="1"/>
  <c r="BS86" i="1"/>
  <c r="BR86" i="1"/>
  <c r="BP86" i="1"/>
  <c r="BO86" i="1"/>
  <c r="BN86" i="1"/>
  <c r="BM86" i="1"/>
  <c r="BL86" i="1"/>
  <c r="BK86" i="1"/>
  <c r="BJ86" i="1"/>
  <c r="BI86" i="1"/>
  <c r="BH86" i="1"/>
  <c r="BG86" i="1"/>
  <c r="BW85" i="1"/>
  <c r="BV85" i="1"/>
  <c r="BT85" i="1"/>
  <c r="BS85" i="1"/>
  <c r="BR85" i="1"/>
  <c r="BP85" i="1"/>
  <c r="BO85" i="1"/>
  <c r="BN85" i="1"/>
  <c r="BM85" i="1"/>
  <c r="BL85" i="1"/>
  <c r="BK85" i="1"/>
  <c r="BJ85" i="1"/>
  <c r="BI85" i="1"/>
  <c r="BH85" i="1"/>
  <c r="BG85" i="1"/>
  <c r="BW84" i="1"/>
  <c r="BV84" i="1"/>
  <c r="BT84" i="1"/>
  <c r="BS84" i="1"/>
  <c r="BR84" i="1"/>
  <c r="BP84" i="1"/>
  <c r="BO84" i="1"/>
  <c r="BN84" i="1"/>
  <c r="BM84" i="1"/>
  <c r="BL84" i="1"/>
  <c r="BK84" i="1"/>
  <c r="BJ84" i="1"/>
  <c r="BI84" i="1"/>
  <c r="BH84" i="1"/>
  <c r="BG84" i="1"/>
  <c r="BW83" i="1"/>
  <c r="BV83" i="1"/>
  <c r="BT83" i="1"/>
  <c r="BS83" i="1"/>
  <c r="BR83" i="1"/>
  <c r="BP83" i="1"/>
  <c r="BO83" i="1"/>
  <c r="BN83" i="1"/>
  <c r="BM83" i="1"/>
  <c r="BL83" i="1"/>
  <c r="BK83" i="1"/>
  <c r="BJ83" i="1"/>
  <c r="BI83" i="1"/>
  <c r="BH83" i="1"/>
  <c r="BG83" i="1"/>
  <c r="BW82" i="1"/>
  <c r="BV82" i="1"/>
  <c r="BT82" i="1"/>
  <c r="BS82" i="1"/>
  <c r="BR82" i="1"/>
  <c r="BP82" i="1"/>
  <c r="BO82" i="1"/>
  <c r="BN82" i="1"/>
  <c r="BM82" i="1"/>
  <c r="BL82" i="1"/>
  <c r="BK82" i="1"/>
  <c r="BJ82" i="1"/>
  <c r="BI82" i="1"/>
  <c r="BH82" i="1"/>
  <c r="BG82" i="1"/>
  <c r="BW81" i="1"/>
  <c r="BV81" i="1"/>
  <c r="BT81" i="1"/>
  <c r="BS81" i="1"/>
  <c r="BR81" i="1"/>
  <c r="BP81" i="1"/>
  <c r="BO81" i="1"/>
  <c r="BN81" i="1"/>
  <c r="BM81" i="1"/>
  <c r="BL81" i="1"/>
  <c r="BK81" i="1"/>
  <c r="BJ81" i="1"/>
  <c r="BI81" i="1"/>
  <c r="BH81" i="1"/>
  <c r="BG81" i="1"/>
  <c r="BW80" i="1"/>
  <c r="BV80" i="1"/>
  <c r="BT80" i="1"/>
  <c r="BS80" i="1"/>
  <c r="BR80" i="1"/>
  <c r="BP80" i="1"/>
  <c r="BO80" i="1"/>
  <c r="BN80" i="1"/>
  <c r="BM80" i="1"/>
  <c r="BL80" i="1"/>
  <c r="BK80" i="1"/>
  <c r="BJ80" i="1"/>
  <c r="BI80" i="1"/>
  <c r="BH80" i="1"/>
  <c r="BG80" i="1"/>
  <c r="BW79" i="1"/>
  <c r="BV79" i="1"/>
  <c r="BT79" i="1"/>
  <c r="BS79" i="1"/>
  <c r="BR79" i="1"/>
  <c r="BP79" i="1"/>
  <c r="BO79" i="1"/>
  <c r="BN79" i="1"/>
  <c r="BM79" i="1"/>
  <c r="BL79" i="1"/>
  <c r="BK79" i="1"/>
  <c r="BJ79" i="1"/>
  <c r="BI79" i="1"/>
  <c r="BH79" i="1"/>
  <c r="BG79" i="1"/>
  <c r="BW78" i="1"/>
  <c r="BV78" i="1"/>
  <c r="BT78" i="1"/>
  <c r="BS78" i="1"/>
  <c r="BR78" i="1"/>
  <c r="BP78" i="1"/>
  <c r="BO78" i="1"/>
  <c r="BN78" i="1"/>
  <c r="BM78" i="1"/>
  <c r="BL78" i="1"/>
  <c r="BK78" i="1"/>
  <c r="BJ78" i="1"/>
  <c r="BI78" i="1"/>
  <c r="BH78" i="1"/>
  <c r="BG78" i="1"/>
  <c r="BW77" i="1"/>
  <c r="BV77" i="1"/>
  <c r="BT77" i="1"/>
  <c r="BS77" i="1"/>
  <c r="BR77" i="1"/>
  <c r="BP77" i="1"/>
  <c r="BO77" i="1"/>
  <c r="BN77" i="1"/>
  <c r="BM77" i="1"/>
  <c r="BL77" i="1"/>
  <c r="BK77" i="1"/>
  <c r="BJ77" i="1"/>
  <c r="BI77" i="1"/>
  <c r="BH77" i="1"/>
  <c r="BG77" i="1"/>
  <c r="BW76" i="1"/>
  <c r="BV76" i="1"/>
  <c r="BT76" i="1"/>
  <c r="BS76" i="1"/>
  <c r="BR76" i="1"/>
  <c r="BP76" i="1"/>
  <c r="BO76" i="1"/>
  <c r="BN76" i="1"/>
  <c r="BM76" i="1"/>
  <c r="BL76" i="1"/>
  <c r="BK76" i="1"/>
  <c r="BJ76" i="1"/>
  <c r="BI76" i="1"/>
  <c r="BH76" i="1"/>
  <c r="BG76" i="1"/>
  <c r="BW75" i="1"/>
  <c r="BV75" i="1"/>
  <c r="BT75" i="1"/>
  <c r="BS75" i="1"/>
  <c r="BR75" i="1"/>
  <c r="BP75" i="1"/>
  <c r="BO75" i="1"/>
  <c r="BN75" i="1"/>
  <c r="BM75" i="1"/>
  <c r="BL75" i="1"/>
  <c r="BK75" i="1"/>
  <c r="BJ75" i="1"/>
  <c r="BI75" i="1"/>
  <c r="BH75" i="1"/>
  <c r="BG75" i="1"/>
  <c r="BW74" i="1"/>
  <c r="BV74" i="1"/>
  <c r="BT74" i="1"/>
  <c r="BS74" i="1"/>
  <c r="BR74" i="1"/>
  <c r="BP74" i="1"/>
  <c r="BO74" i="1"/>
  <c r="BN74" i="1"/>
  <c r="BM74" i="1"/>
  <c r="BL74" i="1"/>
  <c r="BK74" i="1"/>
  <c r="BJ74" i="1"/>
  <c r="BI74" i="1"/>
  <c r="BH74" i="1"/>
  <c r="BG74" i="1"/>
  <c r="BW73" i="1"/>
  <c r="BV73" i="1"/>
  <c r="BT73" i="1"/>
  <c r="BS73" i="1"/>
  <c r="BR73" i="1"/>
  <c r="BP73" i="1"/>
  <c r="BO73" i="1"/>
  <c r="BN73" i="1"/>
  <c r="BM73" i="1"/>
  <c r="BL73" i="1"/>
  <c r="BK73" i="1"/>
  <c r="BJ73" i="1"/>
  <c r="BI73" i="1"/>
  <c r="BH73" i="1"/>
  <c r="BG73" i="1"/>
  <c r="BW72" i="1"/>
  <c r="BV72" i="1"/>
  <c r="BT72" i="1"/>
  <c r="BS72" i="1"/>
  <c r="BR72" i="1"/>
  <c r="BP72" i="1"/>
  <c r="BO72" i="1"/>
  <c r="BN72" i="1"/>
  <c r="BM72" i="1"/>
  <c r="BL72" i="1"/>
  <c r="BK72" i="1"/>
  <c r="BJ72" i="1"/>
  <c r="BI72" i="1"/>
  <c r="BH72" i="1"/>
  <c r="BG72" i="1"/>
  <c r="BW71" i="1"/>
  <c r="BV71" i="1"/>
  <c r="BT71" i="1"/>
  <c r="BS71" i="1"/>
  <c r="BR71" i="1"/>
  <c r="BP71" i="1"/>
  <c r="BO71" i="1"/>
  <c r="BN71" i="1"/>
  <c r="BM71" i="1"/>
  <c r="BL71" i="1"/>
  <c r="BK71" i="1"/>
  <c r="BJ71" i="1"/>
  <c r="BI71" i="1"/>
  <c r="BH71" i="1"/>
  <c r="BG71" i="1"/>
  <c r="BW70" i="1"/>
  <c r="BV70" i="1"/>
  <c r="BT70" i="1"/>
  <c r="BS70" i="1"/>
  <c r="BR70" i="1"/>
  <c r="BP70" i="1"/>
  <c r="BO70" i="1"/>
  <c r="BN70" i="1"/>
  <c r="BM70" i="1"/>
  <c r="BL70" i="1"/>
  <c r="BK70" i="1"/>
  <c r="BJ70" i="1"/>
  <c r="BI70" i="1"/>
  <c r="BH70" i="1"/>
  <c r="BG70" i="1"/>
  <c r="BW69" i="1"/>
  <c r="BV69" i="1"/>
  <c r="BT69" i="1"/>
  <c r="BS69" i="1"/>
  <c r="BR69" i="1"/>
  <c r="BP69" i="1"/>
  <c r="BO69" i="1"/>
  <c r="BN69" i="1"/>
  <c r="BM69" i="1"/>
  <c r="BL69" i="1"/>
  <c r="BK69" i="1"/>
  <c r="BJ69" i="1"/>
  <c r="BI69" i="1"/>
  <c r="BH69" i="1"/>
  <c r="BG69" i="1"/>
  <c r="BW68" i="1"/>
  <c r="BV68" i="1"/>
  <c r="BT68" i="1"/>
  <c r="BS68" i="1"/>
  <c r="BR68" i="1"/>
  <c r="BP68" i="1"/>
  <c r="BO68" i="1"/>
  <c r="BN68" i="1"/>
  <c r="BM68" i="1"/>
  <c r="BL68" i="1"/>
  <c r="BK68" i="1"/>
  <c r="BJ68" i="1"/>
  <c r="BI68" i="1"/>
  <c r="BH68" i="1"/>
  <c r="BG68" i="1"/>
  <c r="BW67" i="1"/>
  <c r="BV67" i="1"/>
  <c r="BT67" i="1"/>
  <c r="BS67" i="1"/>
  <c r="BR67" i="1"/>
  <c r="BP67" i="1"/>
  <c r="BO67" i="1"/>
  <c r="BN67" i="1"/>
  <c r="BM67" i="1"/>
  <c r="BL67" i="1"/>
  <c r="BK67" i="1"/>
  <c r="BJ67" i="1"/>
  <c r="BI67" i="1"/>
  <c r="BH67" i="1"/>
  <c r="BG67" i="1"/>
  <c r="BW66" i="1"/>
  <c r="BV66" i="1"/>
  <c r="BT66" i="1"/>
  <c r="BS66" i="1"/>
  <c r="BR66" i="1"/>
  <c r="BP66" i="1"/>
  <c r="BO66" i="1"/>
  <c r="BN66" i="1"/>
  <c r="BM66" i="1"/>
  <c r="BL66" i="1"/>
  <c r="BK66" i="1"/>
  <c r="BJ66" i="1"/>
  <c r="BI66" i="1"/>
  <c r="BH66" i="1"/>
  <c r="BG66" i="1"/>
  <c r="BW65" i="1"/>
  <c r="BV65" i="1"/>
  <c r="BT65" i="1"/>
  <c r="BS65" i="1"/>
  <c r="BR65" i="1"/>
  <c r="BP65" i="1"/>
  <c r="BO65" i="1"/>
  <c r="BN65" i="1"/>
  <c r="BM65" i="1"/>
  <c r="BL65" i="1"/>
  <c r="BK65" i="1"/>
  <c r="BJ65" i="1"/>
  <c r="BI65" i="1"/>
  <c r="BH65" i="1"/>
  <c r="BG65" i="1"/>
  <c r="BW64" i="1"/>
  <c r="BV64" i="1"/>
  <c r="BT64" i="1"/>
  <c r="BS64" i="1"/>
  <c r="BR64" i="1"/>
  <c r="BP64" i="1"/>
  <c r="BO64" i="1"/>
  <c r="BN64" i="1"/>
  <c r="BM64" i="1"/>
  <c r="BL64" i="1"/>
  <c r="BK64" i="1"/>
  <c r="BJ64" i="1"/>
  <c r="BI64" i="1"/>
  <c r="BH64" i="1"/>
  <c r="BG64" i="1"/>
  <c r="BW63" i="1"/>
  <c r="BV63" i="1"/>
  <c r="BT63" i="1"/>
  <c r="BS63" i="1"/>
  <c r="BR63" i="1"/>
  <c r="BP63" i="1"/>
  <c r="BO63" i="1"/>
  <c r="BN63" i="1"/>
  <c r="BM63" i="1"/>
  <c r="BL63" i="1"/>
  <c r="BK63" i="1"/>
  <c r="BJ63" i="1"/>
  <c r="BI63" i="1"/>
  <c r="BH63" i="1"/>
  <c r="BG63" i="1"/>
  <c r="BW62" i="1"/>
  <c r="BV62" i="1"/>
  <c r="BT62" i="1"/>
  <c r="BS62" i="1"/>
  <c r="BR62" i="1"/>
  <c r="BP62" i="1"/>
  <c r="BO62" i="1"/>
  <c r="BN62" i="1"/>
  <c r="BM62" i="1"/>
  <c r="BL62" i="1"/>
  <c r="BK62" i="1"/>
  <c r="BJ62" i="1"/>
  <c r="BI62" i="1"/>
  <c r="BH62" i="1"/>
  <c r="BG62" i="1"/>
  <c r="BW61" i="1"/>
  <c r="BV61" i="1"/>
  <c r="BT61" i="1"/>
  <c r="BS61" i="1"/>
  <c r="BR61" i="1"/>
  <c r="BP61" i="1"/>
  <c r="BO61" i="1"/>
  <c r="BN61" i="1"/>
  <c r="BM61" i="1"/>
  <c r="BL61" i="1"/>
  <c r="BK61" i="1"/>
  <c r="BJ61" i="1"/>
  <c r="BI61" i="1"/>
  <c r="BH61" i="1"/>
  <c r="BG61" i="1"/>
  <c r="BW60" i="1"/>
  <c r="BV60" i="1"/>
  <c r="BT60" i="1"/>
  <c r="BS60" i="1"/>
  <c r="BR60" i="1"/>
  <c r="BP60" i="1"/>
  <c r="BO60" i="1"/>
  <c r="BN60" i="1"/>
  <c r="BM60" i="1"/>
  <c r="BL60" i="1"/>
  <c r="BK60" i="1"/>
  <c r="BJ60" i="1"/>
  <c r="BI60" i="1"/>
  <c r="BH60" i="1"/>
  <c r="BG60" i="1"/>
  <c r="BW59" i="1"/>
  <c r="BV59" i="1"/>
  <c r="BT59" i="1"/>
  <c r="BS59" i="1"/>
  <c r="BR59" i="1"/>
  <c r="BP59" i="1"/>
  <c r="BO59" i="1"/>
  <c r="BN59" i="1"/>
  <c r="BM59" i="1"/>
  <c r="BL59" i="1"/>
  <c r="BK59" i="1"/>
  <c r="BJ59" i="1"/>
  <c r="BI59" i="1"/>
  <c r="BH59" i="1"/>
  <c r="BG59" i="1"/>
  <c r="BW58" i="1"/>
  <c r="BV58" i="1"/>
  <c r="BT58" i="1"/>
  <c r="BS58" i="1"/>
  <c r="BR58" i="1"/>
  <c r="BP58" i="1"/>
  <c r="BO58" i="1"/>
  <c r="BN58" i="1"/>
  <c r="BM58" i="1"/>
  <c r="BL58" i="1"/>
  <c r="BK58" i="1"/>
  <c r="BJ58" i="1"/>
  <c r="BI58" i="1"/>
  <c r="BH58" i="1"/>
  <c r="BG58" i="1"/>
  <c r="BW57" i="1"/>
  <c r="BV57" i="1"/>
  <c r="BT57" i="1"/>
  <c r="BS57" i="1"/>
  <c r="BR57" i="1"/>
  <c r="BP57" i="1"/>
  <c r="BO57" i="1"/>
  <c r="BN57" i="1"/>
  <c r="BM57" i="1"/>
  <c r="BL57" i="1"/>
  <c r="BK57" i="1"/>
  <c r="BJ57" i="1"/>
  <c r="BI57" i="1"/>
  <c r="BH57" i="1"/>
  <c r="BG57" i="1"/>
  <c r="BW56" i="1"/>
  <c r="BV56" i="1"/>
  <c r="BT56" i="1"/>
  <c r="BS56" i="1"/>
  <c r="BR56" i="1"/>
  <c r="BP56" i="1"/>
  <c r="BO56" i="1"/>
  <c r="BN56" i="1"/>
  <c r="BM56" i="1"/>
  <c r="BL56" i="1"/>
  <c r="BK56" i="1"/>
  <c r="BJ56" i="1"/>
  <c r="BI56" i="1"/>
  <c r="BH56" i="1"/>
  <c r="BG56" i="1"/>
  <c r="BW55" i="1"/>
  <c r="BV55" i="1"/>
  <c r="BT55" i="1"/>
  <c r="BS55" i="1"/>
  <c r="BR55" i="1"/>
  <c r="BP55" i="1"/>
  <c r="BO55" i="1"/>
  <c r="BN55" i="1"/>
  <c r="BM55" i="1"/>
  <c r="BL55" i="1"/>
  <c r="BK55" i="1"/>
  <c r="BJ55" i="1"/>
  <c r="BI55" i="1"/>
  <c r="BH55" i="1"/>
  <c r="BG55" i="1"/>
  <c r="BW54" i="1"/>
  <c r="BV54" i="1"/>
  <c r="BT54" i="1"/>
  <c r="BS54" i="1"/>
  <c r="BR54" i="1"/>
  <c r="BP54" i="1"/>
  <c r="BO54" i="1"/>
  <c r="BN54" i="1"/>
  <c r="BM54" i="1"/>
  <c r="BL54" i="1"/>
  <c r="BK54" i="1"/>
  <c r="BJ54" i="1"/>
  <c r="BI54" i="1"/>
  <c r="BH54" i="1"/>
  <c r="BG54" i="1"/>
  <c r="BW53" i="1"/>
  <c r="BV53" i="1"/>
  <c r="BT53" i="1"/>
  <c r="BS53" i="1"/>
  <c r="BR53" i="1"/>
  <c r="BP53" i="1"/>
  <c r="BO53" i="1"/>
  <c r="BN53" i="1"/>
  <c r="BM53" i="1"/>
  <c r="BL53" i="1"/>
  <c r="BK53" i="1"/>
  <c r="BJ53" i="1"/>
  <c r="BI53" i="1"/>
  <c r="BH53" i="1"/>
  <c r="BG53" i="1"/>
  <c r="BW52" i="1"/>
  <c r="BV52" i="1"/>
  <c r="BT52" i="1"/>
  <c r="BS52" i="1"/>
  <c r="BR52" i="1"/>
  <c r="BP52" i="1"/>
  <c r="BO52" i="1"/>
  <c r="BN52" i="1"/>
  <c r="BM52" i="1"/>
  <c r="BL52" i="1"/>
  <c r="BK52" i="1"/>
  <c r="BJ52" i="1"/>
  <c r="BI52" i="1"/>
  <c r="BH52" i="1"/>
  <c r="BG52" i="1"/>
  <c r="BW51" i="1"/>
  <c r="BV51" i="1"/>
  <c r="BT51" i="1"/>
  <c r="BS51" i="1"/>
  <c r="BR51" i="1"/>
  <c r="BP51" i="1"/>
  <c r="BO51" i="1"/>
  <c r="BN51" i="1"/>
  <c r="BM51" i="1"/>
  <c r="BL51" i="1"/>
  <c r="BK51" i="1"/>
  <c r="BJ51" i="1"/>
  <c r="BI51" i="1"/>
  <c r="BH51" i="1"/>
  <c r="BG51" i="1"/>
  <c r="BW50" i="1"/>
  <c r="BV50" i="1"/>
  <c r="BT50" i="1"/>
  <c r="BS50" i="1"/>
  <c r="BR50" i="1"/>
  <c r="BP50" i="1"/>
  <c r="BO50" i="1"/>
  <c r="BN50" i="1"/>
  <c r="BM50" i="1"/>
  <c r="BL50" i="1"/>
  <c r="BK50" i="1"/>
  <c r="BJ50" i="1"/>
  <c r="BI50" i="1"/>
  <c r="BH50" i="1"/>
  <c r="BG50" i="1"/>
  <c r="BW49" i="1"/>
  <c r="BV49" i="1"/>
  <c r="BT49" i="1"/>
  <c r="BS49" i="1"/>
  <c r="BR49" i="1"/>
  <c r="BP49" i="1"/>
  <c r="BO49" i="1"/>
  <c r="BN49" i="1"/>
  <c r="BM49" i="1"/>
  <c r="BL49" i="1"/>
  <c r="BK49" i="1"/>
  <c r="BJ49" i="1"/>
  <c r="BI49" i="1"/>
  <c r="BH49" i="1"/>
  <c r="BG49" i="1"/>
  <c r="BW48" i="1"/>
  <c r="BV48" i="1"/>
  <c r="BT48" i="1"/>
  <c r="BS48" i="1"/>
  <c r="BR48" i="1"/>
  <c r="BP48" i="1"/>
  <c r="BO48" i="1"/>
  <c r="BN48" i="1"/>
  <c r="BM48" i="1"/>
  <c r="BL48" i="1"/>
  <c r="BK48" i="1"/>
  <c r="BJ48" i="1"/>
  <c r="BI48" i="1"/>
  <c r="BH48" i="1"/>
  <c r="BG48" i="1"/>
  <c r="BW47" i="1"/>
  <c r="BV47" i="1"/>
  <c r="BT47" i="1"/>
  <c r="BS47" i="1"/>
  <c r="BR47" i="1"/>
  <c r="BP47" i="1"/>
  <c r="BO47" i="1"/>
  <c r="BN47" i="1"/>
  <c r="BM47" i="1"/>
  <c r="BL47" i="1"/>
  <c r="BK47" i="1"/>
  <c r="BJ47" i="1"/>
  <c r="BI47" i="1"/>
  <c r="BH47" i="1"/>
  <c r="BG47" i="1"/>
  <c r="BW46" i="1"/>
  <c r="BV46" i="1"/>
  <c r="BT46" i="1"/>
  <c r="BS46" i="1"/>
  <c r="BR46" i="1"/>
  <c r="BP46" i="1"/>
  <c r="BO46" i="1"/>
  <c r="BN46" i="1"/>
  <c r="BM46" i="1"/>
  <c r="BL46" i="1"/>
  <c r="BK46" i="1"/>
  <c r="BJ46" i="1"/>
  <c r="BI46" i="1"/>
  <c r="BH46" i="1"/>
  <c r="BG46" i="1"/>
  <c r="BW45" i="1"/>
  <c r="BV45" i="1"/>
  <c r="BT45" i="1"/>
  <c r="BS45" i="1"/>
  <c r="BR45" i="1"/>
  <c r="BP45" i="1"/>
  <c r="BO45" i="1"/>
  <c r="BN45" i="1"/>
  <c r="BM45" i="1"/>
  <c r="BL45" i="1"/>
  <c r="BK45" i="1"/>
  <c r="BJ45" i="1"/>
  <c r="BI45" i="1"/>
  <c r="BH45" i="1"/>
  <c r="BG45" i="1"/>
  <c r="BW44" i="1"/>
  <c r="BV44" i="1"/>
  <c r="BT44" i="1"/>
  <c r="BS44" i="1"/>
  <c r="BR44" i="1"/>
  <c r="BP44" i="1"/>
  <c r="BO44" i="1"/>
  <c r="BN44" i="1"/>
  <c r="BM44" i="1"/>
  <c r="BL44" i="1"/>
  <c r="BK44" i="1"/>
  <c r="BJ44" i="1"/>
  <c r="BI44" i="1"/>
  <c r="BH44" i="1"/>
  <c r="BG44" i="1"/>
  <c r="BW43" i="1"/>
  <c r="BV43" i="1"/>
  <c r="BT43" i="1"/>
  <c r="BS43" i="1"/>
  <c r="BR43" i="1"/>
  <c r="BP43" i="1"/>
  <c r="BO43" i="1"/>
  <c r="BN43" i="1"/>
  <c r="BM43" i="1"/>
  <c r="BL43" i="1"/>
  <c r="BK43" i="1"/>
  <c r="BJ43" i="1"/>
  <c r="BI43" i="1"/>
  <c r="BH43" i="1"/>
  <c r="BG43" i="1"/>
  <c r="BW42" i="1"/>
  <c r="BV42" i="1"/>
  <c r="BT42" i="1"/>
  <c r="BS42" i="1"/>
  <c r="BR42" i="1"/>
  <c r="BP42" i="1"/>
  <c r="BO42" i="1"/>
  <c r="BN42" i="1"/>
  <c r="BM42" i="1"/>
  <c r="BL42" i="1"/>
  <c r="BK42" i="1"/>
  <c r="BJ42" i="1"/>
  <c r="BI42" i="1"/>
  <c r="BH42" i="1"/>
  <c r="BG42" i="1"/>
  <c r="BW41" i="1"/>
  <c r="BV41" i="1"/>
  <c r="BT41" i="1"/>
  <c r="BS41" i="1"/>
  <c r="BR41" i="1"/>
  <c r="BP41" i="1"/>
  <c r="BO41" i="1"/>
  <c r="BN41" i="1"/>
  <c r="BM41" i="1"/>
  <c r="BL41" i="1"/>
  <c r="BK41" i="1"/>
  <c r="BJ41" i="1"/>
  <c r="BI41" i="1"/>
  <c r="BH41" i="1"/>
  <c r="BG41" i="1"/>
  <c r="BW40" i="1"/>
  <c r="BV40" i="1"/>
  <c r="BT40" i="1"/>
  <c r="BS40" i="1"/>
  <c r="BR40" i="1"/>
  <c r="BP40" i="1"/>
  <c r="BO40" i="1"/>
  <c r="BN40" i="1"/>
  <c r="BM40" i="1"/>
  <c r="BL40" i="1"/>
  <c r="BK40" i="1"/>
  <c r="BJ40" i="1"/>
  <c r="BI40" i="1"/>
  <c r="BH40" i="1"/>
  <c r="BG40" i="1"/>
  <c r="BW39" i="1"/>
  <c r="BV39" i="1"/>
  <c r="BT39" i="1"/>
  <c r="BS39" i="1"/>
  <c r="BR39" i="1"/>
  <c r="BP39" i="1"/>
  <c r="BO39" i="1"/>
  <c r="BN39" i="1"/>
  <c r="BM39" i="1"/>
  <c r="BL39" i="1"/>
  <c r="BK39" i="1"/>
  <c r="BJ39" i="1"/>
  <c r="BI39" i="1"/>
  <c r="BH39" i="1"/>
  <c r="BG39" i="1"/>
  <c r="BW38" i="1"/>
  <c r="BV38" i="1"/>
  <c r="BT38" i="1"/>
  <c r="BS38" i="1"/>
  <c r="BR38" i="1"/>
  <c r="BP38" i="1"/>
  <c r="BO38" i="1"/>
  <c r="BN38" i="1"/>
  <c r="BM38" i="1"/>
  <c r="BL38" i="1"/>
  <c r="BK38" i="1"/>
  <c r="BJ38" i="1"/>
  <c r="BI38" i="1"/>
  <c r="BH38" i="1"/>
  <c r="BG38" i="1"/>
  <c r="BW37" i="1"/>
  <c r="BV37" i="1"/>
  <c r="BT37" i="1"/>
  <c r="BS37" i="1"/>
  <c r="BR37" i="1"/>
  <c r="BP37" i="1"/>
  <c r="BO37" i="1"/>
  <c r="BN37" i="1"/>
  <c r="BM37" i="1"/>
  <c r="BL37" i="1"/>
  <c r="BK37" i="1"/>
  <c r="BJ37" i="1"/>
  <c r="BI37" i="1"/>
  <c r="BH37" i="1"/>
  <c r="BG37" i="1"/>
  <c r="BW36" i="1"/>
  <c r="BV36" i="1"/>
  <c r="BT36" i="1"/>
  <c r="BS36" i="1"/>
  <c r="BR36" i="1"/>
  <c r="BP36" i="1"/>
  <c r="BO36" i="1"/>
  <c r="BN36" i="1"/>
  <c r="BM36" i="1"/>
  <c r="BL36" i="1"/>
  <c r="BK36" i="1"/>
  <c r="BJ36" i="1"/>
  <c r="BI36" i="1"/>
  <c r="BH36" i="1"/>
  <c r="BG36" i="1"/>
  <c r="BW35" i="1"/>
  <c r="BV35" i="1"/>
  <c r="BT35" i="1"/>
  <c r="BS35" i="1"/>
  <c r="BR35" i="1"/>
  <c r="BP35" i="1"/>
  <c r="BO35" i="1"/>
  <c r="BN35" i="1"/>
  <c r="BM35" i="1"/>
  <c r="BL35" i="1"/>
  <c r="BK35" i="1"/>
  <c r="BJ35" i="1"/>
  <c r="BI35" i="1"/>
  <c r="BH35" i="1"/>
  <c r="BG35" i="1"/>
  <c r="BW34" i="1"/>
  <c r="BV34" i="1"/>
  <c r="BT34" i="1"/>
  <c r="BS34" i="1"/>
  <c r="BR34" i="1"/>
  <c r="BP34" i="1"/>
  <c r="BO34" i="1"/>
  <c r="BN34" i="1"/>
  <c r="BM34" i="1"/>
  <c r="BL34" i="1"/>
  <c r="BK34" i="1"/>
  <c r="BJ34" i="1"/>
  <c r="BI34" i="1"/>
  <c r="BH34" i="1"/>
  <c r="BG34" i="1"/>
  <c r="BW33" i="1"/>
  <c r="BV33" i="1"/>
  <c r="BT33" i="1"/>
  <c r="BS33" i="1"/>
  <c r="BR33" i="1"/>
  <c r="BP33" i="1"/>
  <c r="BO33" i="1"/>
  <c r="BN33" i="1"/>
  <c r="BM33" i="1"/>
  <c r="BL33" i="1"/>
  <c r="BK33" i="1"/>
  <c r="BJ33" i="1"/>
  <c r="BI33" i="1"/>
  <c r="BH33" i="1"/>
  <c r="BG33" i="1"/>
  <c r="BW32" i="1"/>
  <c r="BV32" i="1"/>
  <c r="BT32" i="1"/>
  <c r="BS32" i="1"/>
  <c r="BR32" i="1"/>
  <c r="BP32" i="1"/>
  <c r="BO32" i="1"/>
  <c r="BN32" i="1"/>
  <c r="BM32" i="1"/>
  <c r="BL32" i="1"/>
  <c r="BK32" i="1"/>
  <c r="BJ32" i="1"/>
  <c r="BI32" i="1"/>
  <c r="BH32" i="1"/>
  <c r="BG32" i="1"/>
  <c r="BW31" i="1"/>
  <c r="BV31" i="1"/>
  <c r="BT31" i="1"/>
  <c r="BS31" i="1"/>
  <c r="BR31" i="1"/>
  <c r="BP31" i="1"/>
  <c r="BO31" i="1"/>
  <c r="BN31" i="1"/>
  <c r="BM31" i="1"/>
  <c r="BL31" i="1"/>
  <c r="BK31" i="1"/>
  <c r="BJ31" i="1"/>
  <c r="BI31" i="1"/>
  <c r="BH31" i="1"/>
  <c r="BG31" i="1"/>
  <c r="BW30" i="1"/>
  <c r="BV30" i="1"/>
  <c r="BT30" i="1"/>
  <c r="BS30" i="1"/>
  <c r="BR30" i="1"/>
  <c r="BP30" i="1"/>
  <c r="BO30" i="1"/>
  <c r="BN30" i="1"/>
  <c r="BM30" i="1"/>
  <c r="BL30" i="1"/>
  <c r="BK30" i="1"/>
  <c r="BJ30" i="1"/>
  <c r="BI30" i="1"/>
  <c r="BH30" i="1"/>
  <c r="BG30" i="1"/>
  <c r="BW29" i="1"/>
  <c r="BV29" i="1"/>
  <c r="BT29" i="1"/>
  <c r="BS29" i="1"/>
  <c r="BR29" i="1"/>
  <c r="BP29" i="1"/>
  <c r="BO29" i="1"/>
  <c r="BN29" i="1"/>
  <c r="BM29" i="1"/>
  <c r="BL29" i="1"/>
  <c r="BK29" i="1"/>
  <c r="BJ29" i="1"/>
  <c r="BI29" i="1"/>
  <c r="BH29" i="1"/>
  <c r="BG29" i="1"/>
  <c r="BW28" i="1"/>
  <c r="BV28" i="1"/>
  <c r="BT28" i="1"/>
  <c r="BS28" i="1"/>
  <c r="BR28" i="1"/>
  <c r="BP28" i="1"/>
  <c r="BO28" i="1"/>
  <c r="BN28" i="1"/>
  <c r="BM28" i="1"/>
  <c r="BL28" i="1"/>
  <c r="BK28" i="1"/>
  <c r="BJ28" i="1"/>
  <c r="BI28" i="1"/>
  <c r="BH28" i="1"/>
  <c r="BG28" i="1"/>
  <c r="X28" i="1"/>
  <c r="BW27" i="1"/>
  <c r="BV27" i="1"/>
  <c r="BT27" i="1"/>
  <c r="BS27" i="1"/>
  <c r="BR27" i="1"/>
  <c r="BP27" i="1"/>
  <c r="BO27" i="1"/>
  <c r="BN27" i="1"/>
  <c r="BM27" i="1"/>
  <c r="BL27" i="1"/>
  <c r="BK27" i="1"/>
  <c r="BJ27" i="1"/>
  <c r="BI27" i="1"/>
  <c r="BH27" i="1"/>
  <c r="BG27" i="1"/>
  <c r="BW26" i="1"/>
  <c r="BV26" i="1"/>
  <c r="BT26" i="1"/>
  <c r="BS26" i="1"/>
  <c r="BR26" i="1"/>
  <c r="BP26" i="1"/>
  <c r="BO26" i="1"/>
  <c r="BN26" i="1"/>
  <c r="BM26" i="1"/>
  <c r="BL26" i="1"/>
  <c r="BK26" i="1"/>
  <c r="BJ26" i="1"/>
  <c r="BI26" i="1"/>
  <c r="BH26" i="1"/>
  <c r="BG26" i="1"/>
  <c r="BW25" i="1"/>
  <c r="BV25" i="1"/>
  <c r="BT25" i="1"/>
  <c r="BS25" i="1"/>
  <c r="BR25" i="1"/>
  <c r="BP25" i="1"/>
  <c r="BO25" i="1"/>
  <c r="BN25" i="1"/>
  <c r="BM25" i="1"/>
  <c r="BL25" i="1"/>
  <c r="BK25" i="1"/>
  <c r="BJ25" i="1"/>
  <c r="BI25" i="1"/>
  <c r="BH25" i="1"/>
  <c r="BG25" i="1"/>
  <c r="BW24" i="1"/>
  <c r="BV24" i="1"/>
  <c r="BT24" i="1"/>
  <c r="BS24" i="1"/>
  <c r="BR24" i="1"/>
  <c r="BP24" i="1"/>
  <c r="BO24" i="1"/>
  <c r="BN24" i="1"/>
  <c r="BM24" i="1"/>
  <c r="BL24" i="1"/>
  <c r="BK24" i="1"/>
  <c r="BJ24" i="1"/>
  <c r="BI24" i="1"/>
  <c r="BH24" i="1"/>
  <c r="BG24" i="1"/>
  <c r="BW23" i="1"/>
  <c r="BV23" i="1"/>
  <c r="BT23" i="1"/>
  <c r="BS23" i="1"/>
  <c r="BR23" i="1"/>
  <c r="BP23" i="1"/>
  <c r="BO23" i="1"/>
  <c r="BN23" i="1"/>
  <c r="BM23" i="1"/>
  <c r="BL23" i="1"/>
  <c r="BK23" i="1"/>
  <c r="BJ23" i="1"/>
  <c r="BI23" i="1"/>
  <c r="BH23" i="1"/>
  <c r="BG23" i="1"/>
  <c r="BW22" i="1"/>
  <c r="BV22" i="1"/>
  <c r="BT22" i="1"/>
  <c r="BS22" i="1"/>
  <c r="BR22" i="1"/>
  <c r="BP22" i="1"/>
  <c r="BO22" i="1"/>
  <c r="BN22" i="1"/>
  <c r="BM22" i="1"/>
  <c r="BL22" i="1"/>
  <c r="BK22" i="1"/>
  <c r="BJ22" i="1"/>
  <c r="BI22" i="1"/>
  <c r="BH22" i="1"/>
  <c r="BG22" i="1"/>
  <c r="BW21" i="1"/>
  <c r="BV21" i="1"/>
  <c r="BT21" i="1"/>
  <c r="BS21" i="1"/>
  <c r="BR21" i="1"/>
  <c r="BP21" i="1"/>
  <c r="BO21" i="1"/>
  <c r="BN21" i="1"/>
  <c r="BM21" i="1"/>
  <c r="BL21" i="1"/>
  <c r="BK21" i="1"/>
  <c r="BJ21" i="1"/>
  <c r="BI21" i="1"/>
  <c r="BH21" i="1"/>
  <c r="BG21" i="1"/>
  <c r="BW20" i="1"/>
  <c r="BV20" i="1"/>
  <c r="BT20" i="1"/>
  <c r="BS20" i="1"/>
  <c r="BR20" i="1"/>
  <c r="BP20" i="1"/>
  <c r="BO20" i="1"/>
  <c r="BN20" i="1"/>
  <c r="BM20" i="1"/>
  <c r="BL20" i="1"/>
  <c r="BK20" i="1"/>
  <c r="BJ20" i="1"/>
  <c r="BI20" i="1"/>
  <c r="BH20" i="1"/>
  <c r="BG20" i="1"/>
  <c r="BW19" i="1"/>
  <c r="BV19" i="1"/>
  <c r="BT19" i="1"/>
  <c r="BS19" i="1"/>
  <c r="BR19" i="1"/>
  <c r="BP19" i="1"/>
  <c r="BO19" i="1"/>
  <c r="BN19" i="1"/>
  <c r="BM19" i="1"/>
  <c r="BL19" i="1"/>
  <c r="BK19" i="1"/>
  <c r="BJ19" i="1"/>
  <c r="BI19" i="1"/>
  <c r="BH19" i="1"/>
  <c r="BG19" i="1"/>
  <c r="BW18" i="1"/>
  <c r="BV18" i="1"/>
  <c r="BT18" i="1"/>
  <c r="BS18" i="1"/>
  <c r="BR18" i="1"/>
  <c r="BP18" i="1"/>
  <c r="BO18" i="1"/>
  <c r="BN18" i="1"/>
  <c r="BM18" i="1"/>
  <c r="BL18" i="1"/>
  <c r="BK18" i="1"/>
  <c r="BJ18" i="1"/>
  <c r="BI18" i="1"/>
  <c r="BH18" i="1"/>
  <c r="BG18" i="1"/>
  <c r="BW17" i="1"/>
  <c r="BV17" i="1"/>
  <c r="BT17" i="1"/>
  <c r="BS17" i="1"/>
  <c r="BR17" i="1"/>
  <c r="BP17" i="1"/>
  <c r="BO17" i="1"/>
  <c r="BN17" i="1"/>
  <c r="BM17" i="1"/>
  <c r="BL17" i="1"/>
  <c r="BK17" i="1"/>
  <c r="BJ17" i="1"/>
  <c r="BI17" i="1"/>
  <c r="BH17" i="1"/>
  <c r="BG17" i="1"/>
  <c r="BW16" i="1"/>
  <c r="BV16" i="1"/>
  <c r="BT16" i="1"/>
  <c r="BS16" i="1"/>
  <c r="BR16" i="1"/>
  <c r="BP16" i="1"/>
  <c r="BO16" i="1"/>
  <c r="BN16" i="1"/>
  <c r="BM16" i="1"/>
  <c r="BL16" i="1"/>
  <c r="BK16" i="1"/>
  <c r="BJ16" i="1"/>
  <c r="BI16" i="1"/>
  <c r="BH16" i="1"/>
  <c r="BG16" i="1"/>
  <c r="BW15" i="1"/>
  <c r="BV15" i="1"/>
  <c r="BT15" i="1"/>
  <c r="BS15" i="1"/>
  <c r="BR15" i="1"/>
  <c r="BP15" i="1"/>
  <c r="BO15" i="1"/>
  <c r="BN15" i="1"/>
  <c r="BM15" i="1"/>
  <c r="BL15" i="1"/>
  <c r="BK15" i="1"/>
  <c r="BJ15" i="1"/>
  <c r="BI15" i="1"/>
  <c r="BH15" i="1"/>
  <c r="BG15" i="1"/>
  <c r="BW14" i="1"/>
  <c r="BV14" i="1"/>
  <c r="BT14" i="1"/>
  <c r="BS14" i="1"/>
  <c r="BR14" i="1"/>
  <c r="BP14" i="1"/>
  <c r="BO14" i="1"/>
  <c r="BN14" i="1"/>
  <c r="BM14" i="1"/>
  <c r="BL14" i="1"/>
  <c r="BK14" i="1"/>
  <c r="BJ14" i="1"/>
  <c r="BI14" i="1"/>
  <c r="BH14" i="1"/>
  <c r="BG14" i="1"/>
  <c r="BW13" i="1"/>
  <c r="BV13" i="1"/>
  <c r="BT13" i="1"/>
  <c r="BS13" i="1"/>
  <c r="BR13" i="1"/>
  <c r="BP13" i="1"/>
  <c r="BO13" i="1"/>
  <c r="BN13" i="1"/>
  <c r="BM13" i="1"/>
  <c r="BL13" i="1"/>
  <c r="BK13" i="1"/>
  <c r="BJ13" i="1"/>
  <c r="BI13" i="1"/>
  <c r="BH13" i="1"/>
  <c r="BG13" i="1"/>
  <c r="BW12" i="1"/>
  <c r="BV12" i="1"/>
  <c r="BT12" i="1"/>
  <c r="BS12" i="1"/>
  <c r="BR12" i="1"/>
  <c r="BP12" i="1"/>
  <c r="BO12" i="1"/>
  <c r="BN12" i="1"/>
  <c r="BM12" i="1"/>
  <c r="BL12" i="1"/>
  <c r="BK12" i="1"/>
  <c r="BJ12" i="1"/>
  <c r="BI12" i="1"/>
  <c r="BH12" i="1"/>
  <c r="BG12" i="1"/>
  <c r="BW11" i="1"/>
  <c r="BV11" i="1"/>
  <c r="BT11" i="1"/>
  <c r="BS11" i="1"/>
  <c r="BR11" i="1"/>
  <c r="BP11" i="1"/>
  <c r="BO11" i="1"/>
  <c r="BN11" i="1"/>
  <c r="BM11" i="1"/>
  <c r="BL11" i="1"/>
  <c r="BK11" i="1"/>
  <c r="BJ11" i="1"/>
  <c r="BI11" i="1"/>
  <c r="BH11" i="1"/>
  <c r="BG11" i="1"/>
  <c r="G11" i="1"/>
  <c r="F11" i="1"/>
  <c r="BW10" i="1"/>
  <c r="BV10" i="1"/>
  <c r="BT10" i="1"/>
  <c r="BS10" i="1"/>
  <c r="BR10" i="1"/>
  <c r="BP10" i="1"/>
  <c r="BO10" i="1"/>
  <c r="BN10" i="1"/>
  <c r="BM10" i="1"/>
  <c r="BL10" i="1"/>
  <c r="BK10" i="1"/>
  <c r="BJ10" i="1"/>
  <c r="BI10" i="1"/>
  <c r="BH10" i="1"/>
  <c r="BG10" i="1"/>
  <c r="BW9" i="1"/>
  <c r="BV9" i="1"/>
  <c r="BT9" i="1"/>
  <c r="BS9" i="1"/>
  <c r="BR9" i="1"/>
  <c r="BP9" i="1"/>
  <c r="BO9" i="1"/>
  <c r="BN9" i="1"/>
  <c r="BM9" i="1"/>
  <c r="BL9" i="1"/>
  <c r="BK9" i="1"/>
  <c r="BJ9" i="1"/>
  <c r="BI9" i="1"/>
  <c r="BH9" i="1"/>
  <c r="BG9" i="1"/>
  <c r="BW8" i="1"/>
  <c r="BV8" i="1"/>
  <c r="BT8" i="1"/>
  <c r="BS8" i="1"/>
  <c r="BR8" i="1"/>
  <c r="BP8" i="1"/>
  <c r="BO8" i="1"/>
  <c r="BN8" i="1"/>
  <c r="BM8" i="1"/>
  <c r="BL8" i="1"/>
  <c r="BK8" i="1"/>
  <c r="BJ8" i="1"/>
  <c r="BI8" i="1"/>
  <c r="BH8" i="1"/>
  <c r="BG8" i="1"/>
  <c r="BW7" i="1"/>
  <c r="BV7" i="1"/>
  <c r="BT7" i="1"/>
  <c r="BS7" i="1"/>
  <c r="BR7" i="1"/>
  <c r="BP7" i="1"/>
  <c r="BO7" i="1"/>
  <c r="BN7" i="1"/>
  <c r="BM7" i="1"/>
  <c r="BL7" i="1"/>
  <c r="BK7" i="1"/>
  <c r="BJ7" i="1"/>
  <c r="BI7" i="1"/>
  <c r="BH7" i="1"/>
  <c r="BG7" i="1"/>
  <c r="BW6" i="1"/>
  <c r="BV6" i="1"/>
  <c r="BT6" i="1"/>
  <c r="BS6" i="1"/>
  <c r="BR6" i="1"/>
  <c r="BP6" i="1"/>
  <c r="BO6" i="1"/>
  <c r="BN6" i="1"/>
  <c r="BM6" i="1"/>
  <c r="BL6" i="1"/>
  <c r="BK6" i="1"/>
  <c r="BJ6" i="1"/>
  <c r="BI6" i="1"/>
  <c r="BH6" i="1"/>
  <c r="BG6" i="1"/>
  <c r="BW5" i="1"/>
  <c r="BV5" i="1"/>
  <c r="BT5" i="1"/>
  <c r="BS5" i="1"/>
  <c r="BR5" i="1"/>
  <c r="BP5" i="1"/>
  <c r="BO5" i="1"/>
  <c r="BN5" i="1"/>
  <c r="BM5" i="1"/>
  <c r="BL5" i="1"/>
  <c r="BK5" i="1"/>
  <c r="BJ5" i="1"/>
  <c r="BI5" i="1"/>
  <c r="BH5" i="1"/>
  <c r="BG5" i="1"/>
  <c r="BW4" i="1"/>
  <c r="BV4" i="1"/>
  <c r="BT4" i="1"/>
  <c r="BS4" i="1"/>
  <c r="BR4" i="1"/>
  <c r="BP4" i="1"/>
  <c r="BO4" i="1"/>
  <c r="BN4" i="1"/>
  <c r="BM4" i="1"/>
  <c r="BL4" i="1"/>
  <c r="BK4" i="1"/>
  <c r="BJ4" i="1"/>
  <c r="BI4" i="1"/>
  <c r="BH4" i="1"/>
  <c r="BG4" i="1"/>
  <c r="BW3" i="1"/>
  <c r="BV3" i="1"/>
  <c r="BT3" i="1"/>
  <c r="BS3" i="1"/>
  <c r="BR3" i="1"/>
  <c r="BP3" i="1"/>
  <c r="BO3" i="1"/>
  <c r="BN3" i="1"/>
  <c r="BM3" i="1"/>
  <c r="BL3" i="1"/>
  <c r="BK3" i="1"/>
  <c r="BJ3" i="1"/>
  <c r="BI3" i="1"/>
  <c r="BH3" i="1"/>
  <c r="BG3" i="1"/>
  <c r="BW2" i="1"/>
  <c r="BV2" i="1"/>
  <c r="BT2" i="1"/>
  <c r="BS2" i="1"/>
  <c r="BR2" i="1"/>
  <c r="BP2" i="1"/>
  <c r="BO2" i="1"/>
  <c r="BN2" i="1"/>
  <c r="BM2" i="1"/>
  <c r="BL2" i="1"/>
  <c r="BK2" i="1"/>
  <c r="BJ2" i="1"/>
  <c r="BI2" i="1"/>
  <c r="BH2" i="1"/>
  <c r="BG2" i="1"/>
  <c r="AJ9" i="1" l="1"/>
  <c r="BG152" i="1" a="1"/>
  <c r="BG152" i="1" s="1"/>
  <c r="BG160" i="1" a="1"/>
  <c r="BG160" i="1" s="1"/>
  <c r="BG156" i="1" a="1"/>
  <c r="BG156" i="1" s="1"/>
  <c r="BG161" i="1" a="1"/>
  <c r="BG161" i="1" s="1"/>
  <c r="BG151" i="1" a="1"/>
  <c r="BG151" i="1" s="1"/>
  <c r="BG153" i="1" a="1"/>
  <c r="BG153" i="1" s="1"/>
  <c r="BG154" i="1" a="1"/>
  <c r="BG154" i="1" s="1"/>
  <c r="BG155" i="1" a="1"/>
  <c r="BG155" i="1" s="1"/>
  <c r="BG157" i="1" a="1"/>
  <c r="BG157" i="1" s="1"/>
  <c r="BG158" i="1" a="1"/>
  <c r="BG158" i="1" s="1"/>
  <c r="BG159" i="1" a="1"/>
  <c r="BG159" i="1" s="1"/>
  <c r="AJ13" i="1"/>
  <c r="BZ26" i="4"/>
  <c r="AJ11" i="1"/>
  <c r="O17" i="1" a="1"/>
  <c r="O17" i="1" s="1"/>
  <c r="BZ33" i="8"/>
  <c r="AJ10" i="1"/>
  <c r="AJ12" i="1"/>
  <c r="O18" i="1" a="1"/>
  <c r="O18" i="1" s="1"/>
  <c r="BZ49" i="8"/>
  <c r="AJ6" i="1"/>
  <c r="O19" i="1" a="1"/>
  <c r="O19" i="1" s="1"/>
  <c r="AJ14" i="1"/>
  <c r="AJ7" i="1"/>
  <c r="C8" i="8" a="1"/>
  <c r="C8" i="8" s="1"/>
  <c r="K25" i="8" a="1"/>
  <c r="AJ8" i="1"/>
  <c r="AJ15" i="1"/>
  <c r="K25" i="4" a="1"/>
  <c r="C8" i="4" a="1"/>
  <c r="C8" i="4" s="1"/>
  <c r="BZ10" i="8"/>
  <c r="BZ6" i="8"/>
  <c r="BZ44" i="10"/>
  <c r="BZ52" i="10"/>
  <c r="BZ18" i="4"/>
  <c r="BZ35" i="8"/>
  <c r="BZ83" i="8"/>
  <c r="BZ11" i="8"/>
  <c r="E63" i="13"/>
  <c r="E61" i="12"/>
  <c r="BU7" i="1"/>
  <c r="BZ116" i="8"/>
  <c r="BZ68" i="8"/>
  <c r="G19" i="13"/>
  <c r="BZ76" i="4"/>
  <c r="BZ42" i="10"/>
  <c r="BZ94" i="10"/>
  <c r="BZ119" i="10"/>
  <c r="G37" i="13"/>
  <c r="BZ16" i="4"/>
  <c r="BZ44" i="8"/>
  <c r="F63" i="13"/>
  <c r="G55" i="13"/>
  <c r="BZ78" i="10"/>
  <c r="BZ104" i="10"/>
  <c r="G37" i="12"/>
  <c r="BZ13" i="10"/>
  <c r="BZ124" i="10"/>
  <c r="BZ47" i="10"/>
  <c r="BZ82" i="10"/>
  <c r="BZ32" i="10"/>
  <c r="BZ58" i="10"/>
  <c r="BZ118" i="10"/>
  <c r="F61" i="12"/>
  <c r="BZ138" i="14"/>
  <c r="BZ10" i="14"/>
  <c r="BZ81" i="14"/>
  <c r="BZ13" i="14"/>
  <c r="BZ17" i="14"/>
  <c r="BZ121" i="14"/>
  <c r="BZ109" i="14"/>
  <c r="BZ9" i="14"/>
  <c r="BZ24" i="14"/>
  <c r="BZ125" i="14"/>
  <c r="BZ37" i="14"/>
  <c r="BZ15" i="14"/>
  <c r="BZ23" i="14"/>
  <c r="BZ117" i="14"/>
  <c r="BZ56" i="14"/>
  <c r="BZ21" i="14"/>
  <c r="BZ113" i="14"/>
  <c r="BZ53" i="14"/>
  <c r="BZ28" i="14"/>
  <c r="BZ29" i="14"/>
  <c r="BZ101" i="14"/>
  <c r="BZ7" i="14"/>
  <c r="BZ93" i="14"/>
  <c r="BZ45" i="14"/>
  <c r="BZ97" i="14"/>
  <c r="BZ137" i="14"/>
  <c r="BZ89" i="14"/>
  <c r="BZ65" i="14"/>
  <c r="BZ41" i="14"/>
  <c r="BZ18" i="14"/>
  <c r="BZ16" i="14"/>
  <c r="BZ77" i="14"/>
  <c r="BZ4" i="14"/>
  <c r="BZ20" i="14"/>
  <c r="BZ8" i="14"/>
  <c r="BZ25" i="14"/>
  <c r="BZ85" i="14"/>
  <c r="BZ11" i="14"/>
  <c r="BZ69" i="14"/>
  <c r="BZ73" i="14"/>
  <c r="BZ57" i="14"/>
  <c r="BZ129" i="14"/>
  <c r="BZ22" i="14"/>
  <c r="BZ61" i="14"/>
  <c r="BZ133" i="14"/>
  <c r="BZ49" i="14"/>
  <c r="BZ33" i="14"/>
  <c r="BZ105" i="14"/>
  <c r="BZ14" i="14"/>
  <c r="BZ5" i="14"/>
  <c r="BZ19" i="14"/>
  <c r="BZ12" i="14"/>
  <c r="BZ3" i="14"/>
  <c r="BQ30" i="14"/>
  <c r="BZ30" i="14" s="1"/>
  <c r="BU35" i="14"/>
  <c r="BZ35" i="14" s="1"/>
  <c r="BQ42" i="14"/>
  <c r="BZ42" i="14" s="1"/>
  <c r="BU47" i="14"/>
  <c r="BZ47" i="14" s="1"/>
  <c r="BQ54" i="14"/>
  <c r="BZ54" i="14" s="1"/>
  <c r="BU59" i="14"/>
  <c r="BZ59" i="14" s="1"/>
  <c r="BQ66" i="14"/>
  <c r="BZ66" i="14" s="1"/>
  <c r="BU71" i="14"/>
  <c r="BZ71" i="14" s="1"/>
  <c r="BU83" i="14"/>
  <c r="BZ83" i="14" s="1"/>
  <c r="BQ90" i="14"/>
  <c r="BZ90" i="14" s="1"/>
  <c r="BU95" i="14"/>
  <c r="BZ95" i="14" s="1"/>
  <c r="BQ102" i="14"/>
  <c r="BZ102" i="14" s="1"/>
  <c r="BU107" i="14"/>
  <c r="BZ107" i="14" s="1"/>
  <c r="BQ114" i="14"/>
  <c r="BZ114" i="14" s="1"/>
  <c r="BU119" i="14"/>
  <c r="BZ119" i="14" s="1"/>
  <c r="BQ126" i="14"/>
  <c r="BZ126" i="14" s="1"/>
  <c r="BU131" i="14"/>
  <c r="BZ131" i="14" s="1"/>
  <c r="BQ78" i="14"/>
  <c r="BZ78" i="14" s="1"/>
  <c r="BQ52" i="14"/>
  <c r="BZ52" i="14" s="1"/>
  <c r="BQ64" i="14"/>
  <c r="BZ64" i="14" s="1"/>
  <c r="BQ88" i="14"/>
  <c r="BZ88" i="14" s="1"/>
  <c r="BQ100" i="14"/>
  <c r="BZ100" i="14" s="1"/>
  <c r="BQ112" i="14"/>
  <c r="BZ112" i="14" s="1"/>
  <c r="BQ124" i="14"/>
  <c r="BZ124" i="14" s="1"/>
  <c r="BQ136" i="14"/>
  <c r="BZ136" i="14" s="1"/>
  <c r="BQ2" i="14"/>
  <c r="BQ27" i="14"/>
  <c r="BZ27" i="14" s="1"/>
  <c r="BQ40" i="14"/>
  <c r="BZ40" i="14" s="1"/>
  <c r="BQ76" i="14"/>
  <c r="BZ76" i="14" s="1"/>
  <c r="BU31" i="14"/>
  <c r="BZ31" i="14" s="1"/>
  <c r="BQ38" i="14"/>
  <c r="BZ38" i="14" s="1"/>
  <c r="BU43" i="14"/>
  <c r="BZ43" i="14" s="1"/>
  <c r="BQ50" i="14"/>
  <c r="BZ50" i="14" s="1"/>
  <c r="BU55" i="14"/>
  <c r="BZ55" i="14" s="1"/>
  <c r="BQ62" i="14"/>
  <c r="BZ62" i="14" s="1"/>
  <c r="BU67" i="14"/>
  <c r="BZ67" i="14" s="1"/>
  <c r="BU79" i="14"/>
  <c r="BZ79" i="14" s="1"/>
  <c r="BQ86" i="14"/>
  <c r="BZ86" i="14" s="1"/>
  <c r="BU91" i="14"/>
  <c r="BZ91" i="14" s="1"/>
  <c r="BQ98" i="14"/>
  <c r="BZ98" i="14" s="1"/>
  <c r="BU103" i="14"/>
  <c r="BZ103" i="14" s="1"/>
  <c r="BQ110" i="14"/>
  <c r="BZ110" i="14" s="1"/>
  <c r="BU115" i="14"/>
  <c r="BZ115" i="14" s="1"/>
  <c r="BQ122" i="14"/>
  <c r="BZ122" i="14" s="1"/>
  <c r="BU127" i="14"/>
  <c r="BZ127" i="14" s="1"/>
  <c r="BQ134" i="14"/>
  <c r="BZ134" i="14" s="1"/>
  <c r="P17" i="14"/>
  <c r="BQ36" i="14"/>
  <c r="BZ36" i="14" s="1"/>
  <c r="BQ60" i="14"/>
  <c r="BZ60" i="14" s="1"/>
  <c r="BQ84" i="14"/>
  <c r="BZ84" i="14" s="1"/>
  <c r="BQ96" i="14"/>
  <c r="BZ96" i="14" s="1"/>
  <c r="BQ108" i="14"/>
  <c r="BZ108" i="14" s="1"/>
  <c r="BQ120" i="14"/>
  <c r="BZ120" i="14" s="1"/>
  <c r="BQ132" i="14"/>
  <c r="BZ132" i="14" s="1"/>
  <c r="BQ72" i="14"/>
  <c r="BZ72" i="14" s="1"/>
  <c r="BQ74" i="14"/>
  <c r="BZ74" i="14" s="1"/>
  <c r="BU6" i="14"/>
  <c r="BQ34" i="14"/>
  <c r="BZ34" i="14" s="1"/>
  <c r="BU39" i="14"/>
  <c r="BZ39" i="14" s="1"/>
  <c r="BQ46" i="14"/>
  <c r="BZ46" i="14" s="1"/>
  <c r="BU51" i="14"/>
  <c r="BZ51" i="14" s="1"/>
  <c r="BQ58" i="14"/>
  <c r="BZ58" i="14" s="1"/>
  <c r="BU63" i="14"/>
  <c r="BZ63" i="14" s="1"/>
  <c r="BU75" i="14"/>
  <c r="BZ75" i="14" s="1"/>
  <c r="BQ82" i="14"/>
  <c r="BZ82" i="14" s="1"/>
  <c r="BU87" i="14"/>
  <c r="BZ87" i="14" s="1"/>
  <c r="BQ94" i="14"/>
  <c r="BZ94" i="14" s="1"/>
  <c r="BU99" i="14"/>
  <c r="BZ99" i="14" s="1"/>
  <c r="BQ106" i="14"/>
  <c r="BZ106" i="14" s="1"/>
  <c r="BU111" i="14"/>
  <c r="BZ111" i="14" s="1"/>
  <c r="BQ118" i="14"/>
  <c r="BZ118" i="14" s="1"/>
  <c r="BU123" i="14"/>
  <c r="BZ123" i="14" s="1"/>
  <c r="BQ130" i="14"/>
  <c r="BZ130" i="14" s="1"/>
  <c r="BU135" i="14"/>
  <c r="BZ135" i="14" s="1"/>
  <c r="BQ70" i="14"/>
  <c r="BZ70" i="14" s="1"/>
  <c r="BU26" i="14"/>
  <c r="BZ26" i="14" s="1"/>
  <c r="BQ32" i="14"/>
  <c r="BZ32" i="14" s="1"/>
  <c r="BQ44" i="14"/>
  <c r="BZ44" i="14" s="1"/>
  <c r="BQ68" i="14"/>
  <c r="BZ68" i="14" s="1"/>
  <c r="BQ80" i="14"/>
  <c r="BZ80" i="14" s="1"/>
  <c r="BQ92" i="14"/>
  <c r="BZ92" i="14" s="1"/>
  <c r="BQ104" i="14"/>
  <c r="BZ104" i="14" s="1"/>
  <c r="BQ116" i="14"/>
  <c r="BZ116" i="14" s="1"/>
  <c r="BQ128" i="14"/>
  <c r="BZ128" i="14" s="1"/>
  <c r="BU21" i="1"/>
  <c r="BU59" i="1"/>
  <c r="BU71" i="1"/>
  <c r="BU79" i="1"/>
  <c r="BU28" i="1"/>
  <c r="BU32" i="1"/>
  <c r="BU36" i="1"/>
  <c r="BU44" i="1"/>
  <c r="BU48" i="1"/>
  <c r="BU52" i="1"/>
  <c r="BU56" i="1"/>
  <c r="BU80" i="1"/>
  <c r="BU108" i="1"/>
  <c r="BU116" i="1"/>
  <c r="BU124" i="1"/>
  <c r="BU128" i="1"/>
  <c r="BU94" i="1"/>
  <c r="BU106" i="1"/>
  <c r="BU118" i="1"/>
  <c r="BU122" i="1"/>
  <c r="BU134" i="1"/>
  <c r="BZ9" i="4"/>
  <c r="BU83" i="1"/>
  <c r="BU12" i="1"/>
  <c r="BU16" i="1"/>
  <c r="BU20" i="1"/>
  <c r="BZ10" i="4"/>
  <c r="BZ21" i="4"/>
  <c r="BZ12" i="10"/>
  <c r="BQ64" i="1"/>
  <c r="BU92" i="1"/>
  <c r="BQ100" i="1"/>
  <c r="BZ22" i="4"/>
  <c r="BU96" i="1"/>
  <c r="BQ136" i="1"/>
  <c r="BQ8" i="1"/>
  <c r="BU34" i="1"/>
  <c r="BU46" i="1"/>
  <c r="BZ10" i="10"/>
  <c r="G55" i="11"/>
  <c r="BU9" i="1"/>
  <c r="BQ60" i="1"/>
  <c r="BQ74" i="1"/>
  <c r="BQ110" i="1"/>
  <c r="BQ112" i="1"/>
  <c r="BU126" i="1"/>
  <c r="BQ18" i="1"/>
  <c r="BU3" i="1"/>
  <c r="BU60" i="1"/>
  <c r="BU68" i="1"/>
  <c r="BU72" i="1"/>
  <c r="BU107" i="1"/>
  <c r="BQ108" i="1"/>
  <c r="BU115" i="1"/>
  <c r="BU130" i="1"/>
  <c r="BQ13" i="1"/>
  <c r="BQ40" i="1"/>
  <c r="BU88" i="1"/>
  <c r="BU119" i="1"/>
  <c r="BU18" i="1"/>
  <c r="BU22" i="1"/>
  <c r="BQ52" i="1"/>
  <c r="BU84" i="1"/>
  <c r="BU131" i="1"/>
  <c r="BQ132" i="1"/>
  <c r="BQ3" i="1"/>
  <c r="BU11" i="1"/>
  <c r="BQ38" i="1"/>
  <c r="BQ42" i="1"/>
  <c r="BU58" i="1"/>
  <c r="BQ88" i="1"/>
  <c r="BU104" i="1"/>
  <c r="BU120" i="1"/>
  <c r="BU132" i="1"/>
  <c r="BU5" i="1"/>
  <c r="BU70" i="1"/>
  <c r="BU136" i="1"/>
  <c r="BU4" i="1"/>
  <c r="BU42" i="1"/>
  <c r="BQ76" i="1"/>
  <c r="BU8" i="1"/>
  <c r="BU35" i="1"/>
  <c r="BU47" i="1"/>
  <c r="BU78" i="1"/>
  <c r="BU82" i="1"/>
  <c r="BQ124" i="1"/>
  <c r="BQ11" i="1"/>
  <c r="BQ72" i="1"/>
  <c r="BU24" i="1"/>
  <c r="BU114" i="1"/>
  <c r="E64" i="11"/>
  <c r="G19" i="11"/>
  <c r="G37" i="11"/>
  <c r="F64" i="11"/>
  <c r="G55" i="12"/>
  <c r="G19" i="12"/>
  <c r="BQ4" i="1"/>
  <c r="BQ15" i="1"/>
  <c r="BQ49" i="1"/>
  <c r="BU64" i="1"/>
  <c r="BQ78" i="1"/>
  <c r="BQ85" i="1"/>
  <c r="BU100" i="1"/>
  <c r="BQ114" i="1"/>
  <c r="BQ121" i="1"/>
  <c r="BQ12" i="1"/>
  <c r="BU14" i="1"/>
  <c r="BQ17" i="1"/>
  <c r="BU17" i="1"/>
  <c r="BU25" i="1"/>
  <c r="BQ28" i="1"/>
  <c r="BU43" i="1"/>
  <c r="BQ46" i="1"/>
  <c r="BU50" i="1"/>
  <c r="BQ82" i="1"/>
  <c r="BU86" i="1"/>
  <c r="BQ118" i="1"/>
  <c r="BQ21" i="1"/>
  <c r="BQ32" i="1"/>
  <c r="BQ39" i="1"/>
  <c r="BQ48" i="1"/>
  <c r="BQ68" i="1"/>
  <c r="BQ75" i="1"/>
  <c r="BQ104" i="1"/>
  <c r="BQ111" i="1"/>
  <c r="BQ14" i="1"/>
  <c r="BQ20" i="1"/>
  <c r="BQ24" i="1"/>
  <c r="BQ50" i="1"/>
  <c r="BU54" i="1"/>
  <c r="BQ84" i="1"/>
  <c r="BQ86" i="1"/>
  <c r="BU90" i="1"/>
  <c r="BQ120" i="1"/>
  <c r="BQ122" i="1"/>
  <c r="BQ10" i="1"/>
  <c r="BU15" i="1"/>
  <c r="BQ27" i="1"/>
  <c r="BU40" i="1"/>
  <c r="BQ54" i="1"/>
  <c r="BQ61" i="1"/>
  <c r="BU76" i="1"/>
  <c r="BQ90" i="1"/>
  <c r="BQ97" i="1"/>
  <c r="BU112" i="1"/>
  <c r="BQ126" i="1"/>
  <c r="BQ133" i="1"/>
  <c r="BU6" i="1"/>
  <c r="BU19" i="1"/>
  <c r="BU55" i="1"/>
  <c r="BQ58" i="1"/>
  <c r="BU62" i="1"/>
  <c r="BU91" i="1"/>
  <c r="BQ94" i="1"/>
  <c r="BU98" i="1"/>
  <c r="BU127" i="1"/>
  <c r="BQ130" i="1"/>
  <c r="BQ44" i="1"/>
  <c r="BQ51" i="1"/>
  <c r="BQ80" i="1"/>
  <c r="BQ87" i="1"/>
  <c r="BQ116" i="1"/>
  <c r="BQ123" i="1"/>
  <c r="BZ12" i="4"/>
  <c r="BQ6" i="1"/>
  <c r="BQ9" i="1"/>
  <c r="BU23" i="1"/>
  <c r="BU27" i="1"/>
  <c r="BU30" i="1"/>
  <c r="BQ62" i="1"/>
  <c r="BU66" i="1"/>
  <c r="BU95" i="1"/>
  <c r="BQ96" i="1"/>
  <c r="BQ98" i="1"/>
  <c r="BU102" i="1"/>
  <c r="BQ134" i="1"/>
  <c r="BQ19" i="1"/>
  <c r="BQ22" i="1"/>
  <c r="BQ23" i="1"/>
  <c r="BQ25" i="1"/>
  <c r="BQ30" i="1"/>
  <c r="BQ37" i="1"/>
  <c r="BQ66" i="1"/>
  <c r="BQ73" i="1"/>
  <c r="BQ102" i="1"/>
  <c r="BQ109" i="1"/>
  <c r="BQ2" i="1"/>
  <c r="BQ5" i="1"/>
  <c r="BU10" i="1"/>
  <c r="BQ16" i="1"/>
  <c r="BU31" i="1"/>
  <c r="BQ34" i="1"/>
  <c r="BU38" i="1"/>
  <c r="BU67" i="1"/>
  <c r="BQ70" i="1"/>
  <c r="BU74" i="1"/>
  <c r="BU103" i="1"/>
  <c r="BQ106" i="1"/>
  <c r="BU110" i="1"/>
  <c r="BQ7" i="1"/>
  <c r="BU13" i="1"/>
  <c r="BQ36" i="1"/>
  <c r="BQ56" i="1"/>
  <c r="BQ63" i="1"/>
  <c r="BQ92" i="1"/>
  <c r="BQ99" i="1"/>
  <c r="BQ128" i="1"/>
  <c r="BQ135" i="1"/>
  <c r="BZ9" i="10"/>
  <c r="BZ24" i="10"/>
  <c r="BZ11" i="10"/>
  <c r="BZ34" i="10"/>
  <c r="BZ46" i="10"/>
  <c r="BZ114" i="10"/>
  <c r="BZ136" i="10"/>
  <c r="BZ80" i="10"/>
  <c r="BZ122" i="10"/>
  <c r="BZ116" i="10"/>
  <c r="BZ106" i="10"/>
  <c r="BZ96" i="10"/>
  <c r="BZ15" i="10"/>
  <c r="BZ36" i="10"/>
  <c r="BZ50" i="10"/>
  <c r="BZ100" i="10"/>
  <c r="BZ83" i="10"/>
  <c r="BZ90" i="10"/>
  <c r="BZ88" i="10"/>
  <c r="BZ86" i="10"/>
  <c r="BZ68" i="10"/>
  <c r="BZ70" i="10"/>
  <c r="BZ130" i="10"/>
  <c r="BZ64" i="10"/>
  <c r="BZ126" i="10"/>
  <c r="BZ25" i="10"/>
  <c r="BZ60" i="10"/>
  <c r="BQ5" i="10"/>
  <c r="BZ5" i="10" s="1"/>
  <c r="BQ16" i="10"/>
  <c r="BZ16" i="10" s="1"/>
  <c r="BQ22" i="10"/>
  <c r="BZ22" i="10" s="1"/>
  <c r="BZ30" i="10"/>
  <c r="BZ38" i="10"/>
  <c r="BZ66" i="10"/>
  <c r="BZ74" i="10"/>
  <c r="BZ102" i="10"/>
  <c r="BZ110" i="10"/>
  <c r="BQ8" i="10"/>
  <c r="BZ8" i="10" s="1"/>
  <c r="BQ27" i="10"/>
  <c r="BZ27" i="10" s="1"/>
  <c r="BZ59" i="10"/>
  <c r="BZ95" i="10"/>
  <c r="BZ131" i="10"/>
  <c r="BZ132" i="10"/>
  <c r="BQ56" i="10"/>
  <c r="BZ56" i="10" s="1"/>
  <c r="BQ92" i="10"/>
  <c r="BZ92" i="10" s="1"/>
  <c r="BQ128" i="10"/>
  <c r="BZ128" i="10" s="1"/>
  <c r="BZ23" i="10"/>
  <c r="BQ7" i="10"/>
  <c r="BZ7" i="10" s="1"/>
  <c r="BZ4" i="10"/>
  <c r="BQ17" i="10"/>
  <c r="BZ17" i="10" s="1"/>
  <c r="BU6" i="10"/>
  <c r="BZ6" i="10" s="1"/>
  <c r="BQ3" i="10"/>
  <c r="BZ28" i="10"/>
  <c r="BZ35" i="10"/>
  <c r="BZ71" i="10"/>
  <c r="BZ72" i="10"/>
  <c r="BZ107" i="10"/>
  <c r="BZ108" i="10"/>
  <c r="BZ48" i="10"/>
  <c r="BZ40" i="10"/>
  <c r="BZ76" i="10"/>
  <c r="BZ112" i="10"/>
  <c r="BQ14" i="10"/>
  <c r="BZ14" i="10" s="1"/>
  <c r="BZ21" i="10"/>
  <c r="BQ18" i="10"/>
  <c r="BZ18" i="10" s="1"/>
  <c r="BZ54" i="10"/>
  <c r="BZ62" i="10"/>
  <c r="BZ98" i="10"/>
  <c r="BZ134" i="10"/>
  <c r="BQ2" i="10"/>
  <c r="BG151" i="10" a="1"/>
  <c r="BG151" i="10" s="1"/>
  <c r="BU19" i="10"/>
  <c r="BZ19" i="10" s="1"/>
  <c r="BQ20" i="10"/>
  <c r="BZ20" i="10" s="1"/>
  <c r="BZ84" i="10"/>
  <c r="BZ120" i="10"/>
  <c r="BQ33" i="10"/>
  <c r="BZ33" i="10" s="1"/>
  <c r="BQ45" i="10"/>
  <c r="BZ45" i="10" s="1"/>
  <c r="BQ57" i="10"/>
  <c r="BZ57" i="10" s="1"/>
  <c r="BQ69" i="10"/>
  <c r="BZ69" i="10" s="1"/>
  <c r="BQ81" i="10"/>
  <c r="BZ81" i="10" s="1"/>
  <c r="BQ93" i="10"/>
  <c r="BZ93" i="10" s="1"/>
  <c r="BQ105" i="10"/>
  <c r="BZ105" i="10" s="1"/>
  <c r="BQ117" i="10"/>
  <c r="BZ117" i="10" s="1"/>
  <c r="BQ129" i="10"/>
  <c r="BZ129" i="10" s="1"/>
  <c r="BU29" i="10"/>
  <c r="BQ31" i="10"/>
  <c r="BZ31" i="10" s="1"/>
  <c r="BU41" i="10"/>
  <c r="BQ43" i="10"/>
  <c r="BZ43" i="10" s="1"/>
  <c r="BU53" i="10"/>
  <c r="BQ55" i="10"/>
  <c r="BZ55" i="10" s="1"/>
  <c r="BU65" i="10"/>
  <c r="BQ67" i="10"/>
  <c r="BZ67" i="10" s="1"/>
  <c r="BU77" i="10"/>
  <c r="BQ79" i="10"/>
  <c r="BZ79" i="10" s="1"/>
  <c r="BU89" i="10"/>
  <c r="BQ91" i="10"/>
  <c r="BZ91" i="10" s="1"/>
  <c r="BU101" i="10"/>
  <c r="BQ103" i="10"/>
  <c r="BZ103" i="10" s="1"/>
  <c r="BU113" i="10"/>
  <c r="BQ115" i="10"/>
  <c r="BZ115" i="10" s="1"/>
  <c r="BU125" i="10"/>
  <c r="BQ127" i="10"/>
  <c r="BZ127" i="10" s="1"/>
  <c r="BU137" i="10"/>
  <c r="BU3" i="10"/>
  <c r="BQ29" i="10"/>
  <c r="BU39" i="10"/>
  <c r="BQ41" i="10"/>
  <c r="BU51" i="10"/>
  <c r="BQ53" i="10"/>
  <c r="BU63" i="10"/>
  <c r="BQ65" i="10"/>
  <c r="BU75" i="10"/>
  <c r="BQ77" i="10"/>
  <c r="BU87" i="10"/>
  <c r="BQ89" i="10"/>
  <c r="BU99" i="10"/>
  <c r="BQ101" i="10"/>
  <c r="BU111" i="10"/>
  <c r="BQ113" i="10"/>
  <c r="BU123" i="10"/>
  <c r="BQ125" i="10"/>
  <c r="BU135" i="10"/>
  <c r="BQ137" i="10"/>
  <c r="BU26" i="10"/>
  <c r="BU37" i="10"/>
  <c r="BZ37" i="10" s="1"/>
  <c r="BQ39" i="10"/>
  <c r="BU49" i="10"/>
  <c r="BZ49" i="10" s="1"/>
  <c r="BQ51" i="10"/>
  <c r="BU61" i="10"/>
  <c r="BZ61" i="10" s="1"/>
  <c r="BQ63" i="10"/>
  <c r="BU73" i="10"/>
  <c r="BZ73" i="10" s="1"/>
  <c r="BQ75" i="10"/>
  <c r="BU85" i="10"/>
  <c r="BZ85" i="10" s="1"/>
  <c r="BQ87" i="10"/>
  <c r="BU97" i="10"/>
  <c r="BZ97" i="10" s="1"/>
  <c r="BQ99" i="10"/>
  <c r="BU109" i="10"/>
  <c r="BZ109" i="10" s="1"/>
  <c r="BQ111" i="10"/>
  <c r="BU121" i="10"/>
  <c r="BZ121" i="10" s="1"/>
  <c r="BQ123" i="10"/>
  <c r="BU133" i="10"/>
  <c r="BZ133" i="10" s="1"/>
  <c r="BQ135" i="10"/>
  <c r="BQ26" i="10"/>
  <c r="BZ60" i="8"/>
  <c r="BZ108" i="8"/>
  <c r="BZ36" i="8"/>
  <c r="BZ84" i="8"/>
  <c r="BZ59" i="8"/>
  <c r="BZ107" i="8"/>
  <c r="BZ104" i="8"/>
  <c r="BZ132" i="8"/>
  <c r="BZ25" i="8"/>
  <c r="BZ47" i="8"/>
  <c r="BZ72" i="8"/>
  <c r="BZ97" i="8"/>
  <c r="BZ95" i="8"/>
  <c r="BZ120" i="8"/>
  <c r="BZ131" i="8"/>
  <c r="BZ21" i="8"/>
  <c r="BZ56" i="8"/>
  <c r="BZ81" i="8"/>
  <c r="BZ92" i="8"/>
  <c r="BZ3" i="8"/>
  <c r="BZ52" i="8"/>
  <c r="BZ100" i="8"/>
  <c r="BZ13" i="8"/>
  <c r="BZ48" i="8"/>
  <c r="BZ71" i="8"/>
  <c r="BZ73" i="8"/>
  <c r="BZ96" i="8"/>
  <c r="BZ119" i="8"/>
  <c r="BZ121" i="8"/>
  <c r="BZ20" i="8"/>
  <c r="BZ22" i="8"/>
  <c r="BZ26" i="8"/>
  <c r="BZ32" i="8"/>
  <c r="BZ57" i="8"/>
  <c r="BZ80" i="8"/>
  <c r="BZ105" i="8"/>
  <c r="BZ128" i="8"/>
  <c r="BZ12" i="8"/>
  <c r="BZ28" i="8"/>
  <c r="BZ76" i="8"/>
  <c r="BZ124" i="8"/>
  <c r="BZ137" i="8"/>
  <c r="BZ90" i="8"/>
  <c r="BZ102" i="8"/>
  <c r="BZ54" i="8"/>
  <c r="BZ5" i="8"/>
  <c r="BZ16" i="8"/>
  <c r="BZ4" i="8"/>
  <c r="BZ14" i="8"/>
  <c r="BZ15" i="8"/>
  <c r="BZ9" i="8"/>
  <c r="BZ23" i="8"/>
  <c r="BQ43" i="8"/>
  <c r="BZ43" i="8" s="1"/>
  <c r="BQ17" i="8"/>
  <c r="BZ17" i="8" s="1"/>
  <c r="BZ30" i="8"/>
  <c r="BZ78" i="8"/>
  <c r="BZ126" i="8"/>
  <c r="BQ51" i="8"/>
  <c r="BZ51" i="8" s="1"/>
  <c r="BQ67" i="8"/>
  <c r="BZ67" i="8" s="1"/>
  <c r="BQ75" i="8"/>
  <c r="BZ75" i="8" s="1"/>
  <c r="BQ91" i="8"/>
  <c r="BZ91" i="8" s="1"/>
  <c r="BQ99" i="8"/>
  <c r="BZ99" i="8" s="1"/>
  <c r="BQ115" i="8"/>
  <c r="BZ115" i="8" s="1"/>
  <c r="BQ123" i="8"/>
  <c r="BZ123" i="8" s="1"/>
  <c r="BZ7" i="8"/>
  <c r="BQ46" i="8"/>
  <c r="BQ70" i="8"/>
  <c r="BQ94" i="8"/>
  <c r="BZ94" i="8" s="1"/>
  <c r="BQ118" i="8"/>
  <c r="BZ129" i="8"/>
  <c r="BQ2" i="8"/>
  <c r="BQ8" i="8"/>
  <c r="BZ8" i="8" s="1"/>
  <c r="BQ18" i="8"/>
  <c r="BZ18" i="8" s="1"/>
  <c r="BQ31" i="8"/>
  <c r="BZ31" i="8" s="1"/>
  <c r="BQ39" i="8"/>
  <c r="BZ39" i="8" s="1"/>
  <c r="BZ42" i="8"/>
  <c r="BZ66" i="8"/>
  <c r="BZ114" i="8"/>
  <c r="BQ55" i="8"/>
  <c r="BZ55" i="8" s="1"/>
  <c r="BQ63" i="8"/>
  <c r="BZ63" i="8" s="1"/>
  <c r="BQ79" i="8"/>
  <c r="BZ79" i="8" s="1"/>
  <c r="BQ87" i="8"/>
  <c r="BZ87" i="8" s="1"/>
  <c r="BQ103" i="8"/>
  <c r="BZ103" i="8" s="1"/>
  <c r="BQ111" i="8"/>
  <c r="BZ111" i="8" s="1"/>
  <c r="BQ127" i="8"/>
  <c r="BZ127" i="8" s="1"/>
  <c r="BQ135" i="8"/>
  <c r="BZ135" i="8" s="1"/>
  <c r="BQ34" i="8"/>
  <c r="BZ37" i="8"/>
  <c r="BZ40" i="8"/>
  <c r="BZ45" i="8"/>
  <c r="BQ58" i="8"/>
  <c r="BZ61" i="8"/>
  <c r="BZ64" i="8"/>
  <c r="BZ69" i="8"/>
  <c r="BQ82" i="8"/>
  <c r="BZ85" i="8"/>
  <c r="BZ88" i="8"/>
  <c r="BZ93" i="8"/>
  <c r="BQ106" i="8"/>
  <c r="BZ109" i="8"/>
  <c r="BZ112" i="8"/>
  <c r="BZ117" i="8"/>
  <c r="BQ130" i="8"/>
  <c r="BZ133" i="8"/>
  <c r="BZ136" i="8"/>
  <c r="BZ27" i="8"/>
  <c r="BZ38" i="8"/>
  <c r="BZ50" i="8"/>
  <c r="BZ62" i="8"/>
  <c r="BZ74" i="8"/>
  <c r="BZ86" i="8"/>
  <c r="BZ98" i="8"/>
  <c r="BZ110" i="8"/>
  <c r="BZ122" i="8"/>
  <c r="BZ134" i="8"/>
  <c r="BZ29" i="8"/>
  <c r="BZ41" i="8"/>
  <c r="BZ53" i="8"/>
  <c r="BZ65" i="8"/>
  <c r="BZ77" i="8"/>
  <c r="BZ89" i="8"/>
  <c r="BZ101" i="8"/>
  <c r="BZ113" i="8"/>
  <c r="BZ125" i="8"/>
  <c r="BZ24" i="8"/>
  <c r="BZ8" i="4"/>
  <c r="BZ24" i="4"/>
  <c r="BZ36" i="4"/>
  <c r="BZ6" i="4"/>
  <c r="BZ23" i="4"/>
  <c r="BZ68" i="4"/>
  <c r="BZ84" i="4"/>
  <c r="BZ7" i="4"/>
  <c r="BZ20" i="4"/>
  <c r="BZ60" i="4"/>
  <c r="BZ3" i="4"/>
  <c r="BZ13" i="4"/>
  <c r="BZ2" i="4"/>
  <c r="BZ14" i="4"/>
  <c r="BZ52" i="4"/>
  <c r="BZ121" i="4"/>
  <c r="BZ28" i="4"/>
  <c r="BZ5" i="4"/>
  <c r="P17" i="4"/>
  <c r="BZ11" i="4"/>
  <c r="BZ15" i="4"/>
  <c r="BZ4" i="4"/>
  <c r="BZ19" i="4"/>
  <c r="BZ65" i="4"/>
  <c r="BZ17" i="4"/>
  <c r="BQ44" i="4"/>
  <c r="BZ44" i="4" s="1"/>
  <c r="BQ92" i="4"/>
  <c r="BZ92" i="4" s="1"/>
  <c r="BQ100" i="4"/>
  <c r="BZ100" i="4" s="1"/>
  <c r="BQ108" i="4"/>
  <c r="BZ108" i="4" s="1"/>
  <c r="BQ116" i="4"/>
  <c r="BZ116" i="4" s="1"/>
  <c r="BQ124" i="4"/>
  <c r="BZ124" i="4" s="1"/>
  <c r="BQ132" i="4"/>
  <c r="BZ132" i="4" s="1"/>
  <c r="BQ27" i="4"/>
  <c r="BZ27" i="4" s="1"/>
  <c r="BQ39" i="4"/>
  <c r="BZ39" i="4" s="1"/>
  <c r="BQ47" i="4"/>
  <c r="BZ47" i="4" s="1"/>
  <c r="BQ55" i="4"/>
  <c r="BZ55" i="4" s="1"/>
  <c r="BQ63" i="4"/>
  <c r="BZ63" i="4" s="1"/>
  <c r="BQ71" i="4"/>
  <c r="BZ71" i="4" s="1"/>
  <c r="BQ79" i="4"/>
  <c r="BZ79" i="4" s="1"/>
  <c r="BQ87" i="4"/>
  <c r="BZ87" i="4" s="1"/>
  <c r="BQ95" i="4"/>
  <c r="BZ95" i="4" s="1"/>
  <c r="BQ111" i="4"/>
  <c r="BZ111" i="4" s="1"/>
  <c r="BQ127" i="4"/>
  <c r="BZ127" i="4" s="1"/>
  <c r="BQ31" i="4"/>
  <c r="BZ31" i="4" s="1"/>
  <c r="BQ42" i="4"/>
  <c r="BZ42" i="4" s="1"/>
  <c r="BQ66" i="4"/>
  <c r="BZ66" i="4" s="1"/>
  <c r="BQ82" i="4"/>
  <c r="BZ82" i="4" s="1"/>
  <c r="BQ90" i="4"/>
  <c r="BZ90" i="4" s="1"/>
  <c r="BQ98" i="4"/>
  <c r="BZ98" i="4" s="1"/>
  <c r="BQ103" i="4"/>
  <c r="BZ103" i="4" s="1"/>
  <c r="BQ119" i="4"/>
  <c r="BZ119" i="4" s="1"/>
  <c r="BQ135" i="4"/>
  <c r="BZ135" i="4" s="1"/>
  <c r="BQ25" i="4"/>
  <c r="BZ25" i="4" s="1"/>
  <c r="BQ29" i="4"/>
  <c r="BQ37" i="4"/>
  <c r="BZ37" i="4" s="1"/>
  <c r="BQ45" i="4"/>
  <c r="BQ53" i="4"/>
  <c r="BZ53" i="4" s="1"/>
  <c r="BQ61" i="4"/>
  <c r="BQ77" i="4"/>
  <c r="BZ77" i="4" s="1"/>
  <c r="BQ85" i="4"/>
  <c r="BZ85" i="4" s="1"/>
  <c r="BQ93" i="4"/>
  <c r="BQ117" i="4"/>
  <c r="BQ125" i="4"/>
  <c r="BZ125" i="4" s="1"/>
  <c r="BQ32" i="4"/>
  <c r="BZ32" i="4" s="1"/>
  <c r="BQ48" i="4"/>
  <c r="BZ48" i="4" s="1"/>
  <c r="BQ56" i="4"/>
  <c r="BZ56" i="4" s="1"/>
  <c r="BQ64" i="4"/>
  <c r="BZ64" i="4" s="1"/>
  <c r="BQ69" i="4"/>
  <c r="BZ69" i="4" s="1"/>
  <c r="BQ72" i="4"/>
  <c r="BZ72" i="4" s="1"/>
  <c r="BQ80" i="4"/>
  <c r="BZ80" i="4" s="1"/>
  <c r="BQ88" i="4"/>
  <c r="BZ88" i="4" s="1"/>
  <c r="BQ96" i="4"/>
  <c r="BZ96" i="4" s="1"/>
  <c r="BQ101" i="4"/>
  <c r="BZ101" i="4" s="1"/>
  <c r="BQ109" i="4"/>
  <c r="BQ133" i="4"/>
  <c r="BZ133" i="4" s="1"/>
  <c r="BQ40" i="4"/>
  <c r="BZ40" i="4" s="1"/>
  <c r="BQ104" i="4"/>
  <c r="BZ104" i="4" s="1"/>
  <c r="BQ112" i="4"/>
  <c r="BZ112" i="4" s="1"/>
  <c r="BQ120" i="4"/>
  <c r="BZ120" i="4" s="1"/>
  <c r="BQ128" i="4"/>
  <c r="BZ128" i="4" s="1"/>
  <c r="BQ34" i="4"/>
  <c r="BZ34" i="4" s="1"/>
  <c r="BQ58" i="4"/>
  <c r="BZ58" i="4" s="1"/>
  <c r="BQ106" i="4"/>
  <c r="BZ106" i="4" s="1"/>
  <c r="BQ136" i="4"/>
  <c r="BZ136" i="4" s="1"/>
  <c r="BQ35" i="4"/>
  <c r="BZ35" i="4" s="1"/>
  <c r="BQ43" i="4"/>
  <c r="BZ43" i="4" s="1"/>
  <c r="BQ51" i="4"/>
  <c r="BZ51" i="4" s="1"/>
  <c r="BQ59" i="4"/>
  <c r="BZ59" i="4" s="1"/>
  <c r="BQ67" i="4"/>
  <c r="BZ67" i="4" s="1"/>
  <c r="BQ75" i="4"/>
  <c r="BZ75" i="4" s="1"/>
  <c r="BQ83" i="4"/>
  <c r="BZ83" i="4" s="1"/>
  <c r="BQ91" i="4"/>
  <c r="BZ91" i="4" s="1"/>
  <c r="BQ115" i="4"/>
  <c r="BZ115" i="4" s="1"/>
  <c r="BQ123" i="4"/>
  <c r="BZ123" i="4" s="1"/>
  <c r="BQ131" i="4"/>
  <c r="BZ131" i="4" s="1"/>
  <c r="BQ50" i="4"/>
  <c r="BZ50" i="4" s="1"/>
  <c r="BQ122" i="4"/>
  <c r="BZ122" i="4" s="1"/>
  <c r="BZ33" i="4"/>
  <c r="BZ41" i="4"/>
  <c r="BQ46" i="4"/>
  <c r="BZ46" i="4" s="1"/>
  <c r="BZ49" i="4"/>
  <c r="BZ57" i="4"/>
  <c r="BQ62" i="4"/>
  <c r="BZ62" i="4" s="1"/>
  <c r="BQ70" i="4"/>
  <c r="BZ70" i="4" s="1"/>
  <c r="BZ73" i="4"/>
  <c r="BQ78" i="4"/>
  <c r="BZ78" i="4" s="1"/>
  <c r="BZ81" i="4"/>
  <c r="BQ86" i="4"/>
  <c r="BZ86" i="4" s="1"/>
  <c r="BZ89" i="4"/>
  <c r="BZ97" i="4"/>
  <c r="BQ99" i="4"/>
  <c r="BZ99" i="4" s="1"/>
  <c r="BZ105" i="4"/>
  <c r="BQ107" i="4"/>
  <c r="BZ107" i="4" s="1"/>
  <c r="BZ113" i="4"/>
  <c r="BZ129" i="4"/>
  <c r="BZ137" i="4"/>
  <c r="BQ74" i="4"/>
  <c r="BZ74" i="4" s="1"/>
  <c r="BQ114" i="4"/>
  <c r="BZ114" i="4" s="1"/>
  <c r="BQ130" i="4"/>
  <c r="BZ130" i="4" s="1"/>
  <c r="BQ30" i="4"/>
  <c r="BZ30" i="4" s="1"/>
  <c r="BQ38" i="4"/>
  <c r="BQ54" i="4"/>
  <c r="BZ54" i="4" s="1"/>
  <c r="BQ94" i="4"/>
  <c r="BZ94" i="4" s="1"/>
  <c r="BQ102" i="4"/>
  <c r="BZ102" i="4" s="1"/>
  <c r="BQ110" i="4"/>
  <c r="BZ110" i="4" s="1"/>
  <c r="BQ118" i="4"/>
  <c r="BZ118" i="4" s="1"/>
  <c r="BQ126" i="4"/>
  <c r="BZ126" i="4" s="1"/>
  <c r="BQ134" i="4"/>
  <c r="BZ134" i="4" s="1"/>
  <c r="BU33" i="1"/>
  <c r="BQ35" i="1"/>
  <c r="BU45" i="1"/>
  <c r="BQ47" i="1"/>
  <c r="BU57" i="1"/>
  <c r="BQ59" i="1"/>
  <c r="BU69" i="1"/>
  <c r="BQ71" i="1"/>
  <c r="BU81" i="1"/>
  <c r="BQ83" i="1"/>
  <c r="BU93" i="1"/>
  <c r="BQ95" i="1"/>
  <c r="BU105" i="1"/>
  <c r="BQ107" i="1"/>
  <c r="BU117" i="1"/>
  <c r="BQ119" i="1"/>
  <c r="BU129" i="1"/>
  <c r="BQ131" i="1"/>
  <c r="BQ93" i="1"/>
  <c r="BQ57" i="1"/>
  <c r="BQ69" i="1"/>
  <c r="BQ81" i="1"/>
  <c r="BQ117" i="1"/>
  <c r="BQ129" i="1"/>
  <c r="BU2" i="1"/>
  <c r="BQ33" i="1"/>
  <c r="BQ45" i="1"/>
  <c r="BQ105" i="1"/>
  <c r="BU29" i="1"/>
  <c r="BQ31" i="1"/>
  <c r="BU41" i="1"/>
  <c r="BQ43" i="1"/>
  <c r="BU53" i="1"/>
  <c r="BQ55" i="1"/>
  <c r="BU65" i="1"/>
  <c r="BQ67" i="1"/>
  <c r="BU77" i="1"/>
  <c r="BQ79" i="1"/>
  <c r="BU89" i="1"/>
  <c r="BQ91" i="1"/>
  <c r="BU101" i="1"/>
  <c r="BQ103" i="1"/>
  <c r="BU113" i="1"/>
  <c r="BQ115" i="1"/>
  <c r="BU125" i="1"/>
  <c r="BQ127" i="1"/>
  <c r="BU137" i="1"/>
  <c r="BQ29" i="1"/>
  <c r="BU39" i="1"/>
  <c r="BQ41" i="1"/>
  <c r="BU51" i="1"/>
  <c r="BQ53" i="1"/>
  <c r="BU63" i="1"/>
  <c r="BQ65" i="1"/>
  <c r="BU75" i="1"/>
  <c r="BQ77" i="1"/>
  <c r="BU87" i="1"/>
  <c r="BQ89" i="1"/>
  <c r="BU99" i="1"/>
  <c r="BQ101" i="1"/>
  <c r="BU111" i="1"/>
  <c r="BQ113" i="1"/>
  <c r="BU123" i="1"/>
  <c r="BQ125" i="1"/>
  <c r="BU135" i="1"/>
  <c r="BQ137" i="1"/>
  <c r="BU26" i="1"/>
  <c r="BU37" i="1"/>
  <c r="BU49" i="1"/>
  <c r="BU61" i="1"/>
  <c r="BU73" i="1"/>
  <c r="BU85" i="1"/>
  <c r="BU97" i="1"/>
  <c r="BU109" i="1"/>
  <c r="BU121" i="1"/>
  <c r="BU133" i="1"/>
  <c r="BQ26" i="1"/>
  <c r="B12" i="14" l="1" a="1"/>
  <c r="B12" i="14" s="1"/>
  <c r="J12" i="1" a="1"/>
  <c r="K25" i="10" a="1"/>
  <c r="K25" i="10" s="1"/>
  <c r="M25" i="10" s="1" a="1"/>
  <c r="M25" i="10" s="1"/>
  <c r="A8" i="10" a="1"/>
  <c r="A8" i="10" s="1"/>
  <c r="O13" i="10" a="1"/>
  <c r="O13" i="10" s="1"/>
  <c r="O12" i="10" a="1"/>
  <c r="O12" i="10" s="1"/>
  <c r="B12" i="10" a="1"/>
  <c r="B12" i="10" s="1"/>
  <c r="L8" i="10" a="1"/>
  <c r="L8" i="10" s="1"/>
  <c r="Q25" i="10" a="1"/>
  <c r="J8" i="10" a="1"/>
  <c r="J8" i="10" s="1"/>
  <c r="C8" i="10" a="1"/>
  <c r="C8" i="10" s="1"/>
  <c r="BZ52" i="1"/>
  <c r="BZ59" i="1"/>
  <c r="BZ79" i="1"/>
  <c r="BZ22" i="1"/>
  <c r="G61" i="12"/>
  <c r="BZ39" i="1"/>
  <c r="BZ134" i="1"/>
  <c r="BZ127" i="1"/>
  <c r="BZ116" i="1"/>
  <c r="BZ14" i="1"/>
  <c r="BZ124" i="1"/>
  <c r="B12" i="8" a="1"/>
  <c r="B12" i="8" s="1"/>
  <c r="A8" i="1" a="1"/>
  <c r="A8" i="1" s="1"/>
  <c r="J8" i="1" a="1"/>
  <c r="J8" i="1" s="1"/>
  <c r="O13" i="1" a="1"/>
  <c r="O13" i="1" s="1"/>
  <c r="Q25" i="1" a="1"/>
  <c r="P25" i="1" s="1" a="1"/>
  <c r="P25" i="1" s="1"/>
  <c r="O12" i="1" a="1"/>
  <c r="O12" i="1" s="1"/>
  <c r="L8" i="1" a="1"/>
  <c r="L8" i="1" s="1"/>
  <c r="BZ115" i="1"/>
  <c r="Q25" i="4" a="1"/>
  <c r="A8" i="4" a="1"/>
  <c r="A8" i="4" s="1"/>
  <c r="BZ2" i="8"/>
  <c r="J8" i="8" a="1"/>
  <c r="J8" i="8" s="1"/>
  <c r="O13" i="8" a="1"/>
  <c r="O13" i="8" s="1"/>
  <c r="O12" i="8" a="1"/>
  <c r="O12" i="8" s="1"/>
  <c r="Q25" i="8" a="1"/>
  <c r="A8" i="8" a="1"/>
  <c r="A8" i="8" s="1"/>
  <c r="L8" i="8" a="1"/>
  <c r="L8" i="8" s="1"/>
  <c r="BZ15" i="1"/>
  <c r="K25" i="8"/>
  <c r="M25" i="8" s="1" a="1"/>
  <c r="M25" i="8" s="1"/>
  <c r="L25" i="8" a="1"/>
  <c r="L25" i="8" s="1"/>
  <c r="O12" i="4" a="1"/>
  <c r="O12" i="4" s="1"/>
  <c r="BZ64" i="1"/>
  <c r="BZ38" i="4"/>
  <c r="B12" i="4" a="1"/>
  <c r="B12" i="4" s="1"/>
  <c r="J8" i="4" a="1"/>
  <c r="J8" i="4" s="1"/>
  <c r="K25" i="4"/>
  <c r="L25" i="4" s="1" a="1"/>
  <c r="L25" i="4" s="1"/>
  <c r="L8" i="4" a="1"/>
  <c r="L8" i="4" s="1"/>
  <c r="B12" i="1" a="1"/>
  <c r="B12" i="1" s="1"/>
  <c r="K25" i="1" a="1"/>
  <c r="C8" i="1" a="1"/>
  <c r="C8" i="1" s="1"/>
  <c r="O13" i="4" a="1"/>
  <c r="O13" i="4" s="1"/>
  <c r="BZ28" i="1"/>
  <c r="G63" i="13"/>
  <c r="BZ91" i="1"/>
  <c r="BZ7" i="1"/>
  <c r="BZ76" i="1"/>
  <c r="BZ126" i="1"/>
  <c r="BZ85" i="1"/>
  <c r="BZ99" i="1"/>
  <c r="BZ109" i="1"/>
  <c r="BZ44" i="1"/>
  <c r="BZ47" i="1"/>
  <c r="BZ56" i="1"/>
  <c r="BZ35" i="1"/>
  <c r="BZ128" i="1"/>
  <c r="BZ3" i="1"/>
  <c r="BZ74" i="1"/>
  <c r="BZ38" i="1"/>
  <c r="BZ108" i="1"/>
  <c r="BZ61" i="1"/>
  <c r="BZ49" i="1"/>
  <c r="BZ20" i="1"/>
  <c r="BZ110" i="1"/>
  <c r="BZ5" i="1"/>
  <c r="BZ6" i="1"/>
  <c r="BZ123" i="1"/>
  <c r="BZ132" i="1"/>
  <c r="Q25" i="14" a="1"/>
  <c r="O13" i="14" a="1"/>
  <c r="O13" i="14" s="1"/>
  <c r="J8" i="14" a="1"/>
  <c r="J8" i="14" s="1"/>
  <c r="O12" i="14" a="1"/>
  <c r="O12" i="14" s="1"/>
  <c r="L8" i="14" a="1"/>
  <c r="L8" i="14" s="1"/>
  <c r="A8" i="14" a="1"/>
  <c r="A8" i="14" s="1"/>
  <c r="BZ26" i="10"/>
  <c r="BZ130" i="1"/>
  <c r="BZ19" i="1"/>
  <c r="BZ9" i="1"/>
  <c r="BZ88" i="1"/>
  <c r="BZ106" i="1"/>
  <c r="BZ73" i="1"/>
  <c r="BZ70" i="1"/>
  <c r="BZ102" i="1"/>
  <c r="K25" i="14" a="1"/>
  <c r="C8" i="14" a="1"/>
  <c r="C8" i="14" s="1"/>
  <c r="BZ118" i="1"/>
  <c r="BZ71" i="1"/>
  <c r="BZ94" i="1"/>
  <c r="BZ36" i="1"/>
  <c r="BZ40" i="1"/>
  <c r="BZ48" i="1"/>
  <c r="BZ16" i="1"/>
  <c r="BZ25" i="1"/>
  <c r="BZ32" i="1"/>
  <c r="J12" i="14" a="1"/>
  <c r="BZ2" i="14"/>
  <c r="BZ6" i="14"/>
  <c r="BZ87" i="1"/>
  <c r="BZ55" i="1"/>
  <c r="BZ18" i="1"/>
  <c r="BZ114" i="1"/>
  <c r="BZ8" i="1"/>
  <c r="BZ42" i="1"/>
  <c r="BZ122" i="1"/>
  <c r="BZ75" i="1"/>
  <c r="BZ92" i="1"/>
  <c r="BZ104" i="1"/>
  <c r="BZ100" i="1"/>
  <c r="BZ54" i="1"/>
  <c r="BZ13" i="1"/>
  <c r="BZ80" i="1"/>
  <c r="BZ11" i="1"/>
  <c r="BZ21" i="1"/>
  <c r="BZ4" i="1"/>
  <c r="BZ12" i="1"/>
  <c r="BZ60" i="1"/>
  <c r="BZ135" i="1"/>
  <c r="BZ83" i="1"/>
  <c r="BZ111" i="1"/>
  <c r="BZ33" i="1"/>
  <c r="BZ131" i="1"/>
  <c r="BZ66" i="1"/>
  <c r="BZ96" i="1"/>
  <c r="BZ46" i="1"/>
  <c r="BZ112" i="1"/>
  <c r="BZ34" i="1"/>
  <c r="BZ84" i="1"/>
  <c r="BZ68" i="1"/>
  <c r="BZ78" i="1"/>
  <c r="BZ119" i="1"/>
  <c r="BZ136" i="1"/>
  <c r="BZ24" i="1"/>
  <c r="BZ72" i="1"/>
  <c r="BZ97" i="1"/>
  <c r="P17" i="1"/>
  <c r="BZ121" i="1"/>
  <c r="BZ107" i="1"/>
  <c r="BZ90" i="1"/>
  <c r="BZ120" i="1"/>
  <c r="BZ82" i="1"/>
  <c r="BZ58" i="1"/>
  <c r="BZ63" i="1"/>
  <c r="BZ30" i="1"/>
  <c r="BZ26" i="1"/>
  <c r="BZ133" i="1"/>
  <c r="BZ51" i="1"/>
  <c r="BZ113" i="1"/>
  <c r="BZ41" i="1"/>
  <c r="BZ101" i="1"/>
  <c r="BZ29" i="1"/>
  <c r="BZ98" i="1"/>
  <c r="BZ86" i="1"/>
  <c r="BZ62" i="1"/>
  <c r="BZ27" i="1"/>
  <c r="BZ50" i="1"/>
  <c r="BZ67" i="1"/>
  <c r="BZ89" i="1"/>
  <c r="BZ129" i="1"/>
  <c r="BZ37" i="1"/>
  <c r="BZ43" i="1"/>
  <c r="BZ81" i="1"/>
  <c r="BZ95" i="1"/>
  <c r="BZ23" i="1"/>
  <c r="BZ10" i="1"/>
  <c r="BZ17" i="1"/>
  <c r="BZ2" i="1"/>
  <c r="BZ103" i="1"/>
  <c r="BZ31" i="1"/>
  <c r="BZ57" i="1"/>
  <c r="BZ123" i="10"/>
  <c r="BZ51" i="10"/>
  <c r="BZ89" i="10"/>
  <c r="P17" i="10"/>
  <c r="BZ135" i="10"/>
  <c r="BZ63" i="10"/>
  <c r="BZ101" i="10"/>
  <c r="BZ29" i="10"/>
  <c r="BZ113" i="10"/>
  <c r="BZ41" i="10"/>
  <c r="BZ111" i="10"/>
  <c r="BZ39" i="10"/>
  <c r="BZ2" i="10"/>
  <c r="BQ140" i="10"/>
  <c r="BZ77" i="10"/>
  <c r="BZ99" i="10"/>
  <c r="BU140" i="10"/>
  <c r="BZ137" i="10"/>
  <c r="BZ65" i="10"/>
  <c r="BZ87" i="10"/>
  <c r="BZ3" i="10"/>
  <c r="BZ125" i="10"/>
  <c r="BZ53" i="10"/>
  <c r="BZ75" i="10"/>
  <c r="P17" i="8"/>
  <c r="BU140" i="8"/>
  <c r="BZ106" i="8"/>
  <c r="BZ34" i="8"/>
  <c r="BZ118" i="8"/>
  <c r="BZ46" i="8"/>
  <c r="BZ130" i="8"/>
  <c r="BZ58" i="8"/>
  <c r="BZ19" i="8"/>
  <c r="BQ140" i="8"/>
  <c r="BZ70" i="8"/>
  <c r="BZ82" i="8"/>
  <c r="BZ93" i="4"/>
  <c r="J25" i="4" a="1"/>
  <c r="J25" i="4" s="1"/>
  <c r="BZ109" i="4"/>
  <c r="BQ140" i="4"/>
  <c r="BZ117" i="4"/>
  <c r="BU140" i="4"/>
  <c r="BZ61" i="4"/>
  <c r="BZ45" i="4"/>
  <c r="BZ29" i="4"/>
  <c r="BZ77" i="1"/>
  <c r="BZ117" i="1"/>
  <c r="BZ137" i="1"/>
  <c r="BZ65" i="1"/>
  <c r="BZ69" i="1"/>
  <c r="BQ140" i="1"/>
  <c r="BZ125" i="1"/>
  <c r="BZ53" i="1"/>
  <c r="BZ93" i="1"/>
  <c r="BZ105" i="1"/>
  <c r="BZ45" i="1"/>
  <c r="BU140" i="1"/>
  <c r="J12" i="1" l="1"/>
  <c r="L22" i="1"/>
  <c r="L25" i="10" a="1"/>
  <c r="L25" i="10" s="1"/>
  <c r="Q25" i="10"/>
  <c r="R25" i="10" s="1" a="1"/>
  <c r="G12" i="14" a="1"/>
  <c r="G12" i="14" s="1"/>
  <c r="M25" i="4" a="1"/>
  <c r="M25" i="4" s="1"/>
  <c r="Q25" i="4"/>
  <c r="R25" i="4" s="1" a="1"/>
  <c r="K25" i="1"/>
  <c r="L25" i="1" s="1" a="1"/>
  <c r="L25" i="1" s="1"/>
  <c r="Q25" i="1"/>
  <c r="S25" i="1" s="1" a="1"/>
  <c r="Q25" i="8"/>
  <c r="S25" i="8" s="1" a="1"/>
  <c r="S25" i="8" s="1"/>
  <c r="K25" i="14"/>
  <c r="M25" i="14" s="1" a="1"/>
  <c r="M25" i="14" s="1"/>
  <c r="Q25" i="14"/>
  <c r="R25" i="14" s="1" a="1"/>
  <c r="R25" i="14" s="1"/>
  <c r="T25" i="14" s="1" a="1"/>
  <c r="T25" i="14" s="1"/>
  <c r="J25" i="14" a="1"/>
  <c r="J25" i="14" s="1"/>
  <c r="O14" i="14"/>
  <c r="J12" i="14"/>
  <c r="L22" i="14"/>
  <c r="A12" i="14" a="1"/>
  <c r="A12" i="14" s="1"/>
  <c r="F12" i="14" a="1"/>
  <c r="F12" i="14" s="1"/>
  <c r="H12" i="14" a="1"/>
  <c r="H12" i="14" s="1"/>
  <c r="C12" i="14" a="1"/>
  <c r="C12" i="14" s="1"/>
  <c r="E12" i="14" a="1"/>
  <c r="E12" i="14" s="1"/>
  <c r="P25" i="14" a="1"/>
  <c r="P25" i="14" s="1"/>
  <c r="D12" i="14" a="1"/>
  <c r="D12" i="14" s="1"/>
  <c r="G8" i="14"/>
  <c r="G8" i="10"/>
  <c r="P25" i="10" a="1"/>
  <c r="P25" i="10" s="1"/>
  <c r="H12" i="10" a="1"/>
  <c r="H12" i="10" s="1"/>
  <c r="A12" i="10" a="1"/>
  <c r="A12" i="10" s="1"/>
  <c r="J25" i="10" a="1"/>
  <c r="J25" i="10" s="1"/>
  <c r="A12" i="8" a="1"/>
  <c r="A12" i="8" s="1"/>
  <c r="H12" i="8" a="1"/>
  <c r="H12" i="8" s="1"/>
  <c r="P25" i="8" a="1"/>
  <c r="P25" i="8" s="1"/>
  <c r="J25" i="8" a="1"/>
  <c r="J25" i="8" s="1"/>
  <c r="G8" i="8"/>
  <c r="G8" i="1"/>
  <c r="G8" i="4"/>
  <c r="C12" i="4" a="1"/>
  <c r="C12" i="4" s="1"/>
  <c r="A12" i="4" a="1"/>
  <c r="A12" i="4" s="1"/>
  <c r="P25" i="4" a="1"/>
  <c r="P25" i="4" s="1"/>
  <c r="L29" i="4"/>
  <c r="H12" i="1" a="1"/>
  <c r="H12" i="1" s="1"/>
  <c r="A12" i="1" a="1"/>
  <c r="A12" i="1" s="1"/>
  <c r="J25" i="1" a="1"/>
  <c r="J25" i="1" s="1"/>
  <c r="R25" i="8" l="1" a="1"/>
  <c r="R25" i="8" s="1"/>
  <c r="T25" i="8" s="1" a="1"/>
  <c r="T25" i="8" s="1"/>
  <c r="S25" i="10" a="1"/>
  <c r="S25" i="10" s="1"/>
  <c r="R25" i="10"/>
  <c r="T25" i="10" s="1" a="1"/>
  <c r="T25" i="10" s="1"/>
  <c r="R25" i="1" a="1"/>
  <c r="R25" i="1" s="1"/>
  <c r="T25" i="1" s="1" a="1"/>
  <c r="T25" i="1" s="1"/>
  <c r="M25" i="1" a="1"/>
  <c r="M25" i="1" s="1"/>
  <c r="M29" i="4"/>
  <c r="S25" i="4" a="1"/>
  <c r="S25" i="4" s="1"/>
  <c r="S25" i="1"/>
  <c r="S29" i="1" s="1"/>
  <c r="R25" i="4"/>
  <c r="T25" i="4" s="1" a="1"/>
  <c r="T25" i="4" s="1"/>
  <c r="L25" i="14" a="1"/>
  <c r="L25" i="14" s="1"/>
  <c r="S25" i="14" a="1"/>
  <c r="S25" i="14" s="1"/>
  <c r="C12" i="10" a="1"/>
  <c r="C12" i="10" s="1"/>
  <c r="M29" i="10"/>
  <c r="D12" i="10" a="1"/>
  <c r="D12" i="10" s="1"/>
  <c r="E12" i="10" a="1"/>
  <c r="E12" i="10" s="1"/>
  <c r="F12" i="10" a="1"/>
  <c r="F12" i="10" s="1"/>
  <c r="G12" i="10" a="1"/>
  <c r="G12" i="10" s="1"/>
  <c r="E12" i="8" a="1"/>
  <c r="E12" i="8" s="1"/>
  <c r="D12" i="8" a="1"/>
  <c r="D12" i="8" s="1"/>
  <c r="M29" i="8"/>
  <c r="S29" i="8"/>
  <c r="C12" i="8" a="1"/>
  <c r="C12" i="8" s="1"/>
  <c r="F12" i="8" a="1"/>
  <c r="F12" i="8" s="1"/>
  <c r="G12" i="8" a="1"/>
  <c r="G12" i="8" s="1"/>
  <c r="L29" i="8"/>
  <c r="C12" i="1" a="1"/>
  <c r="C12" i="1" s="1"/>
  <c r="G12" i="4" a="1"/>
  <c r="G12" i="4" s="1"/>
  <c r="N25" i="4" a="1"/>
  <c r="N25" i="4" s="1"/>
  <c r="D12" i="4" a="1"/>
  <c r="D12" i="4" s="1"/>
  <c r="F12" i="4" a="1"/>
  <c r="F12" i="4" s="1"/>
  <c r="E12" i="4" a="1"/>
  <c r="E12" i="4" s="1"/>
  <c r="H12" i="4" a="1"/>
  <c r="H12" i="4" s="1"/>
  <c r="E12" i="1" a="1"/>
  <c r="E12" i="1" s="1"/>
  <c r="F12" i="1" a="1"/>
  <c r="F12" i="1" s="1"/>
  <c r="D12" i="1" a="1"/>
  <c r="D12" i="1" s="1"/>
  <c r="G12" i="1" a="1"/>
  <c r="G12" i="1" s="1"/>
  <c r="M29" i="1" l="1"/>
  <c r="S29" i="10"/>
  <c r="R29" i="4"/>
  <c r="S29" i="4"/>
  <c r="R29" i="1"/>
  <c r="N25" i="14" a="1"/>
  <c r="N25" i="14" s="1"/>
  <c r="N29" i="14" s="1"/>
  <c r="L29" i="14"/>
  <c r="S29" i="14"/>
  <c r="M29" i="14"/>
  <c r="R29" i="14"/>
  <c r="N25" i="10" a="1"/>
  <c r="N25" i="10" s="1"/>
  <c r="N29" i="10" s="1"/>
  <c r="L29" i="10"/>
  <c r="R29" i="10"/>
  <c r="N25" i="8" a="1"/>
  <c r="N25" i="8" s="1"/>
  <c r="N29" i="8" s="1"/>
  <c r="R29" i="8"/>
  <c r="N29" i="4"/>
  <c r="N25" i="1" a="1"/>
  <c r="L29" i="1" l="1"/>
  <c r="N25" i="1"/>
  <c r="N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<sst xmlns="http://schemas.openxmlformats.org/spreadsheetml/2006/main" count="4587" uniqueCount="230">
  <si>
    <t xml:space="preserve">QCNM EXPENSE DASHBOARD </t>
  </si>
  <si>
    <t>Budget Heads</t>
  </si>
  <si>
    <t>Patient Rank</t>
  </si>
  <si>
    <t>Sr No</t>
  </si>
  <si>
    <t>QCNM Name</t>
  </si>
  <si>
    <t>Code</t>
  </si>
  <si>
    <t>Act</t>
  </si>
  <si>
    <t>Region</t>
  </si>
  <si>
    <t>Section</t>
  </si>
  <si>
    <t>Convayance</t>
  </si>
  <si>
    <t>Purchasing</t>
  </si>
  <si>
    <t>Freight</t>
  </si>
  <si>
    <t>Packing</t>
  </si>
  <si>
    <t>Postage</t>
  </si>
  <si>
    <t>Printing</t>
  </si>
  <si>
    <t>Repair</t>
  </si>
  <si>
    <t>Stationary</t>
  </si>
  <si>
    <t>Utilities</t>
  </si>
  <si>
    <t>Misc</t>
  </si>
  <si>
    <t>Total Expense</t>
  </si>
  <si>
    <t>Male</t>
  </si>
  <si>
    <t>Female</t>
  </si>
  <si>
    <t>Child</t>
  </si>
  <si>
    <t>Total Patients</t>
  </si>
  <si>
    <t>Daily Average</t>
  </si>
  <si>
    <t>Dispense Days</t>
  </si>
  <si>
    <t>Last Month Patient</t>
  </si>
  <si>
    <t>Performance over Last Month</t>
  </si>
  <si>
    <t>Expense Per Patient</t>
  </si>
  <si>
    <t>Monthly Performance</t>
  </si>
  <si>
    <t>Use Region/Clinic menus, or type/select one clinic in D3 to search directly. Dashboard below updates automatically.</t>
  </si>
  <si>
    <t>Expense Rank</t>
  </si>
  <si>
    <t>QCNM Hattar</t>
  </si>
  <si>
    <t>Trust Act</t>
  </si>
  <si>
    <t>Capital Region</t>
  </si>
  <si>
    <t>Public</t>
  </si>
  <si>
    <t>REGION MENU</t>
  </si>
  <si>
    <t>CLINIC MENU</t>
  </si>
  <si>
    <t>BUDGET HEAD</t>
  </si>
  <si>
    <t>PATIENT RANK</t>
  </si>
  <si>
    <t>Total</t>
  </si>
  <si>
    <t>QCNM Islamabad, Police line</t>
  </si>
  <si>
    <t>All Regions</t>
  </si>
  <si>
    <t>All Clinics</t>
  </si>
  <si>
    <t>QCNM PTC Gilgit</t>
  </si>
  <si>
    <t>Budget Head Helper</t>
  </si>
  <si>
    <t>Amount</t>
  </si>
  <si>
    <t>QCNM FUUAST Islamabad</t>
  </si>
  <si>
    <t>QCNM Bannu, USTB University</t>
  </si>
  <si>
    <t>Clinics</t>
  </si>
  <si>
    <t>Expense / Patient</t>
  </si>
  <si>
    <t>Public Expense</t>
  </si>
  <si>
    <t>Prison Expense</t>
  </si>
  <si>
    <t>Selected View</t>
  </si>
  <si>
    <t>QCNM RHQ Chillas</t>
  </si>
  <si>
    <t>QCNM PHQ Gilgit</t>
  </si>
  <si>
    <t>QCNM RHQ- Hospital Skardu</t>
  </si>
  <si>
    <t>QCNM SSGT Gilgit</t>
  </si>
  <si>
    <t>Rank</t>
  </si>
  <si>
    <t>Clinic</t>
  </si>
  <si>
    <t>Expense / Pt</t>
  </si>
  <si>
    <t>Budget Head</t>
  </si>
  <si>
    <t>Expense</t>
  </si>
  <si>
    <t>QCNM Abottabad, District Jail</t>
  </si>
  <si>
    <t>Prison</t>
  </si>
  <si>
    <t>QCNM Bannu, Central Prison</t>
  </si>
  <si>
    <t>QCNM D.I Khan, Central Jail</t>
  </si>
  <si>
    <t>QCNM Gilgit, Central Jail</t>
  </si>
  <si>
    <t>U/S 42</t>
  </si>
  <si>
    <t>QCNM Ghizer, District Jail</t>
  </si>
  <si>
    <t>Patient Type</t>
  </si>
  <si>
    <t>Patients</t>
  </si>
  <si>
    <t>QCNM Haripur, Central Jail</t>
  </si>
  <si>
    <t>QCNM Kohat, District Jail</t>
  </si>
  <si>
    <t>QCNM Karak, Central Jail</t>
  </si>
  <si>
    <t>QCNM Mansehra, District Jail</t>
  </si>
  <si>
    <t>QCNM Mardan, Central Jail</t>
  </si>
  <si>
    <t>QCNM Peshawar, Central Prison</t>
  </si>
  <si>
    <t>QCNM Swat, District Jail</t>
  </si>
  <si>
    <t>REGION-WISE PATIENT RANK</t>
  </si>
  <si>
    <t>REGION-WISE EXPENSE RANK</t>
  </si>
  <si>
    <t>ACT Wise</t>
  </si>
  <si>
    <t>QCNM Lakki Marwat District Jail</t>
  </si>
  <si>
    <t>Patients / Clinic</t>
  </si>
  <si>
    <t>ACT</t>
  </si>
  <si>
    <t>QCNM Skardu District Jail</t>
  </si>
  <si>
    <t>QCNM Chillas District Jail</t>
  </si>
  <si>
    <t>US-42</t>
  </si>
  <si>
    <t>QCNM Swabi, Sub Jail</t>
  </si>
  <si>
    <t>Society Act</t>
  </si>
  <si>
    <t>QCNM Timergara, District Jail</t>
  </si>
  <si>
    <t>QCNM Hangu, District Jail</t>
  </si>
  <si>
    <t>QCNM Sadda, Sub Jail</t>
  </si>
  <si>
    <t>QCNM Nowshera, Sub Jail</t>
  </si>
  <si>
    <t>QCNM Charsadda, Sub Jail</t>
  </si>
  <si>
    <t>QCNM Tank, Sub Jail</t>
  </si>
  <si>
    <t>QCNM Buner Central Prison</t>
  </si>
  <si>
    <t>QCNM Chitral District Jail</t>
  </si>
  <si>
    <t>QCNM Subjail Parachinar</t>
  </si>
  <si>
    <t>QCNM Mamukanjan</t>
  </si>
  <si>
    <t>Central Punjab Region</t>
  </si>
  <si>
    <t>QCNM Lahore, Chauburji</t>
  </si>
  <si>
    <t>QCNM Lahore, Nonarian</t>
  </si>
  <si>
    <t>QCNM Lahore, Molvi Najjar Ashiana Housing</t>
  </si>
  <si>
    <t>Lahore, QCNM Saggian</t>
  </si>
  <si>
    <t>QCNM Lahore, Al Mustafa Trust</t>
  </si>
  <si>
    <t>QCNM Lahore, Binnat School (Model Town)</t>
  </si>
  <si>
    <t>Lahore, Jamia Ashrafia</t>
  </si>
  <si>
    <t>QCNM Muridke, Disp</t>
  </si>
  <si>
    <t>QCNM Faisalabad, GCU (New Campus)</t>
  </si>
  <si>
    <t>QCNM Faisalabad, GCU (Old Campus)</t>
  </si>
  <si>
    <t>QCNM Hadi Free Hospital</t>
  </si>
  <si>
    <t>QCNM Kisan Centre</t>
  </si>
  <si>
    <t>QCNM Aas Rehabilitation Centre</t>
  </si>
  <si>
    <t>QCNM Gift University Gujranwala</t>
  </si>
  <si>
    <t>QCNM Gift University Gujranwala (Women Campus)</t>
  </si>
  <si>
    <t>QCNM, ZCD Hospital Toba tek Singh</t>
  </si>
  <si>
    <t xml:space="preserve">QCNM Gujrat, HK Sardar Ali </t>
  </si>
  <si>
    <t xml:space="preserve">QCNM QCNM Lums </t>
  </si>
  <si>
    <t>QCNM Faisalabad, Central Jail</t>
  </si>
  <si>
    <t>QCNM Faisalabad, District Jail</t>
  </si>
  <si>
    <t>QCNM Faisalabad, Borstal Jail</t>
  </si>
  <si>
    <t>QCNM Gujranwala, Central Jail</t>
  </si>
  <si>
    <t>QCNM Jhang, District Jail</t>
  </si>
  <si>
    <t>QCNM Kasur, District Jail</t>
  </si>
  <si>
    <t>QCNM Lahore, District (Camp) Jail</t>
  </si>
  <si>
    <t>QCNM Lahore, Kot Lakhpat Jail</t>
  </si>
  <si>
    <t>QCNM Narowal, Disst Jail</t>
  </si>
  <si>
    <t>QCNM Sheikhupura, District Jail</t>
  </si>
  <si>
    <t>QCNM Sialkot, District Jail</t>
  </si>
  <si>
    <t>QCNM Toba Tek singh,District Jail</t>
  </si>
  <si>
    <t>QCNM Lahore, Women Central Jail</t>
  </si>
  <si>
    <t>QCNM Faisalabad, Women District Jail</t>
  </si>
  <si>
    <t>QCNM Gujrat, District Jail</t>
  </si>
  <si>
    <t>QCNM Burhan, Doke Mughalan</t>
  </si>
  <si>
    <t>South &amp; North Punjab Region</t>
  </si>
  <si>
    <t>QCNM Bahawalnagar, Zainab Rafique</t>
  </si>
  <si>
    <t>QCNM Bahawalpur EMH</t>
  </si>
  <si>
    <t>QCNM Minchinabad Jamia</t>
  </si>
  <si>
    <t>QCNM RAHMA Hospital Janpur</t>
  </si>
  <si>
    <t>QCNM University of Okara</t>
  </si>
  <si>
    <t>QCNM The Islamia Uni of Bahawalpur</t>
  </si>
  <si>
    <t>QCNM Attock, District Jail</t>
  </si>
  <si>
    <t>QCNM Jehlum, District Jail</t>
  </si>
  <si>
    <t>QCNM Hafizabad, Dist Jail</t>
  </si>
  <si>
    <t>QCNM Sub Jail, Chakwal</t>
  </si>
  <si>
    <t>QCNM Mandibhaudin, District Jail</t>
  </si>
  <si>
    <t>QCNM Mianwali, Central Jail</t>
  </si>
  <si>
    <t>QCNM Rawalpindi Adayala Jail</t>
  </si>
  <si>
    <t>QCNM Sargodha, District Jail</t>
  </si>
  <si>
    <t>QCNM Shahpur, Dist Jail</t>
  </si>
  <si>
    <t>QCNM High Security Prison Mianwali</t>
  </si>
  <si>
    <t>QCNM Bahawalpur, Central Jail</t>
  </si>
  <si>
    <t>QCNM Bahawalpur, Borstal Jail</t>
  </si>
  <si>
    <t>QCNM Bahawalnagar, District Jail</t>
  </si>
  <si>
    <t>QCNM Bhakkar, District Jail</t>
  </si>
  <si>
    <t>QCNM D.G Khan, Central Jail</t>
  </si>
  <si>
    <t>QCNM Khanewal, District Jail</t>
  </si>
  <si>
    <t>QCNM Layyah, District Jail</t>
  </si>
  <si>
    <t>QCNM Lodhran, District Jail</t>
  </si>
  <si>
    <t>QCNM Multan, Central Jail</t>
  </si>
  <si>
    <t>QCNM Multan, District Jail</t>
  </si>
  <si>
    <t>QCNM Muzaffargarh, District Jail</t>
  </si>
  <si>
    <t>QCNM Woman Jail, Multan</t>
  </si>
  <si>
    <t>QCNM Okara, District Jail</t>
  </si>
  <si>
    <t>QCNM Pak Pattan, District Jail</t>
  </si>
  <si>
    <t>QCNM Rajanpur, Distrit jail</t>
  </si>
  <si>
    <t>QCNM Rahim Yar Khan, District Jail</t>
  </si>
  <si>
    <t>QCNM Sahiwal, Central Jail</t>
  </si>
  <si>
    <t>QCNM Vehari, District Jail</t>
  </si>
  <si>
    <t>QCNM Sahiwal, High Security Prison</t>
  </si>
  <si>
    <t>QCNM Loralai</t>
  </si>
  <si>
    <t>Sindh, Balochistan &amp; AJK Region</t>
  </si>
  <si>
    <t>QCNM, Fedral Urdu University</t>
  </si>
  <si>
    <t>QCNM University of Karachi</t>
  </si>
  <si>
    <t xml:space="preserve">QCNM University of Balochistan </t>
  </si>
  <si>
    <t>QCNM Sardar Bahdur Khan University</t>
  </si>
  <si>
    <t>QCNM Lasbela (LUWAMS) University</t>
  </si>
  <si>
    <t>QCNM Khuzdar(BUET) University</t>
  </si>
  <si>
    <t>OCNM SIBI ( MCKRU) University</t>
  </si>
  <si>
    <t>QCNM University of Sindh</t>
  </si>
  <si>
    <t>QCNM University of Loralai</t>
  </si>
  <si>
    <t>QCNM FUUAST ( Abdul Haq Campus)</t>
  </si>
  <si>
    <t>QCNM Rawalakot, University of Poonch</t>
  </si>
  <si>
    <t>QCNM University of AJK, MZD</t>
  </si>
  <si>
    <t>QCNM University of Kotli</t>
  </si>
  <si>
    <t>QCNM RHC Washbood</t>
  </si>
  <si>
    <t>QCNM Hyderabad, Central Prison</t>
  </si>
  <si>
    <t>QCNM Loralai, District Jail</t>
  </si>
  <si>
    <t>QCNM Larkana, Central Prison</t>
  </si>
  <si>
    <t>QCNM Karachi, Central Prison</t>
  </si>
  <si>
    <t>QCNM Quetta, District Jail</t>
  </si>
  <si>
    <t>QCNM Sukkur, Central Jail</t>
  </si>
  <si>
    <t>QCNM Central Jail Zohb</t>
  </si>
  <si>
    <t>QCNM Women Jail Karachi</t>
  </si>
  <si>
    <t>QCNM Mirpur khas CJ Jail</t>
  </si>
  <si>
    <t>QCNM Central Jail Mach</t>
  </si>
  <si>
    <t>QCNM Khairpur, Central Jail</t>
  </si>
  <si>
    <t>QCNM Khuzdar, Central Jail</t>
  </si>
  <si>
    <t>QCNM Larkana, District Jail</t>
  </si>
  <si>
    <t>QCNM Muzaffarabad Central Jail</t>
  </si>
  <si>
    <t>QCNM Mirpur Central Jail</t>
  </si>
  <si>
    <t>QCNM Kotli District Jail</t>
  </si>
  <si>
    <t>QCNM Rawalakot District Jail</t>
  </si>
  <si>
    <t>Region Options</t>
  </si>
  <si>
    <t>All Clinic Options</t>
  </si>
  <si>
    <t>Dependent Clinic List</t>
  </si>
  <si>
    <t>Budget Amount</t>
  </si>
  <si>
    <t>QCNM Gujrat, HK Sardar Ali</t>
  </si>
  <si>
    <t>QCNM Mianwali HSP</t>
  </si>
  <si>
    <t>QCNM QCNM Lums</t>
  </si>
  <si>
    <t>QCNM University of Balochistan</t>
  </si>
  <si>
    <t>June</t>
  </si>
  <si>
    <t>July</t>
  </si>
  <si>
    <t>Aug</t>
  </si>
  <si>
    <t>Expense wise Rank 3 Months</t>
  </si>
  <si>
    <t>Packing wise Rank 3 Months</t>
  </si>
  <si>
    <t>Patient wise Rank 3 Months</t>
  </si>
  <si>
    <t>Per/pt. cost</t>
  </si>
  <si>
    <t>3 Months Exp wise cost</t>
  </si>
  <si>
    <t>3 Months Packing wise cost</t>
  </si>
  <si>
    <t>3 Months patient wise cost</t>
  </si>
  <si>
    <t>QCNM DP &amp; CF Malir, Karachi</t>
  </si>
  <si>
    <t>QCNM Police Line QGS</t>
  </si>
  <si>
    <t>All Sections</t>
  </si>
  <si>
    <t>Public/Prision</t>
  </si>
  <si>
    <t xml:space="preserve">QCNM </t>
  </si>
  <si>
    <t>Public/Prison</t>
  </si>
  <si>
    <t>Use Region/Clinic menus, or type/select one clinic in D4 to search directly. Dashboard below updates automatically.</t>
  </si>
  <si>
    <t>Cost/Pt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</si>
</sst>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_(* #,##0_);_(* \(#,##0\);_(* &quot;-&quot;??_);_(@_)"/>
    <numFmt numFmtId="167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color rgb="FF17365D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9EAF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 style="medium">
        <color indexed="64"/>
      </left>
      <right/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/>
      <right style="thick">
        <color theme="0"/>
      </right>
      <top style="thick">
        <color theme="0"/>
      </top>
      <bottom style="medium">
        <color indexed="64"/>
      </bottom>
      <diagonal/>
    </border>
    <border>
      <left/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9">
    <xf numFmtId="0" fontId="0" fillId="0" borderId="0"/>
    <xf numFmtId="0" fontId="6" fillId="0" borderId="0"/>
    <xf numFmtId="0" fontId="6" fillId="0" borderId="0"/>
    <xf numFmtId="43" fontId="12" fillId="0" borderId="0" applyFont="0" applyFill="0" applyBorder="0" applyAlignment="0" applyProtection="0"/>
    <xf numFmtId="0" fontId="6" fillId="0" borderId="0"/>
    <xf numFmtId="167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" fillId="0" borderId="0"/>
    <xf numFmtId="0" fontId="19" fillId="0" borderId="0"/>
  </cellStyleXfs>
  <cellXfs count="99">
    <xf numFmtId="0" fontId="0" fillId="0" borderId="0" xfId="0"/>
    <xf numFmtId="0" fontId="5" fillId="0" borderId="0" xfId="0" applyFont="1" applyAlignment="1">
      <alignment wrapText="1"/>
    </xf>
    <xf numFmtId="3" fontId="0" fillId="0" borderId="0" xfId="0" applyNumberFormat="1"/>
    <xf numFmtId="0" fontId="1" fillId="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3" fontId="0" fillId="6" borderId="4" xfId="0" applyNumberFormat="1" applyFill="1" applyBorder="1" applyAlignment="1">
      <alignment horizontal="center"/>
    </xf>
    <xf numFmtId="3" fontId="0" fillId="7" borderId="0" xfId="0" applyNumberFormat="1" applyFill="1" applyAlignment="1">
      <alignment horizontal="center"/>
    </xf>
    <xf numFmtId="4" fontId="0" fillId="6" borderId="4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/>
    <xf numFmtId="0" fontId="3" fillId="2" borderId="0" xfId="0" applyFont="1" applyFill="1"/>
    <xf numFmtId="0" fontId="3" fillId="2" borderId="1" xfId="0" applyFont="1" applyFill="1" applyBorder="1"/>
    <xf numFmtId="0" fontId="7" fillId="8" borderId="5" xfId="1" applyFont="1" applyFill="1" applyBorder="1" applyAlignment="1">
      <alignment horizontal="left" vertical="center" wrapText="1"/>
    </xf>
    <xf numFmtId="2" fontId="0" fillId="0" borderId="0" xfId="0" applyNumberFormat="1"/>
    <xf numFmtId="0" fontId="0" fillId="0" borderId="1" xfId="0" applyBorder="1"/>
    <xf numFmtId="3" fontId="0" fillId="0" borderId="1" xfId="0" applyNumberFormat="1" applyBorder="1"/>
    <xf numFmtId="3" fontId="3" fillId="2" borderId="1" xfId="0" applyNumberFormat="1" applyFont="1" applyFill="1" applyBorder="1"/>
    <xf numFmtId="3" fontId="0" fillId="9" borderId="1" xfId="0" applyNumberFormat="1" applyFill="1" applyBorder="1"/>
    <xf numFmtId="0" fontId="8" fillId="4" borderId="1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/>
    </xf>
    <xf numFmtId="3" fontId="0" fillId="9" borderId="0" xfId="0" applyNumberFormat="1" applyFill="1"/>
    <xf numFmtId="0" fontId="7" fillId="8" borderId="5" xfId="2" applyFont="1" applyFill="1" applyBorder="1" applyAlignment="1">
      <alignment horizontal="left" vertical="center" wrapText="1"/>
    </xf>
    <xf numFmtId="0" fontId="11" fillId="8" borderId="5" xfId="2" applyFont="1" applyFill="1" applyBorder="1" applyAlignment="1">
      <alignment horizontal="left" vertical="center" wrapText="1"/>
    </xf>
    <xf numFmtId="0" fontId="7" fillId="8" borderId="0" xfId="1" applyFont="1" applyFill="1" applyAlignment="1">
      <alignment horizontal="left" vertical="center" wrapText="1"/>
    </xf>
    <xf numFmtId="0" fontId="7" fillId="8" borderId="8" xfId="1" applyFont="1" applyFill="1" applyBorder="1" applyAlignment="1">
      <alignment horizontal="left" vertical="center" wrapText="1"/>
    </xf>
    <xf numFmtId="4" fontId="0" fillId="0" borderId="0" xfId="0" applyNumberFormat="1"/>
    <xf numFmtId="165" fontId="0" fillId="0" borderId="0" xfId="3" applyNumberFormat="1" applyFont="1"/>
    <xf numFmtId="166" fontId="0" fillId="0" borderId="0" xfId="3" applyNumberFormat="1" applyFont="1"/>
    <xf numFmtId="0" fontId="13" fillId="11" borderId="0" xfId="0" applyFont="1" applyFill="1"/>
    <xf numFmtId="166" fontId="13" fillId="11" borderId="0" xfId="3" applyNumberFormat="1" applyFont="1" applyFill="1"/>
    <xf numFmtId="0" fontId="13" fillId="13" borderId="0" xfId="0" applyFont="1" applyFill="1"/>
    <xf numFmtId="165" fontId="13" fillId="13" borderId="0" xfId="3" applyNumberFormat="1" applyFont="1" applyFill="1"/>
    <xf numFmtId="166" fontId="13" fillId="13" borderId="0" xfId="3" applyNumberFormat="1" applyFont="1" applyFill="1"/>
    <xf numFmtId="166" fontId="16" fillId="11" borderId="0" xfId="3" applyNumberFormat="1" applyFont="1" applyFill="1"/>
    <xf numFmtId="165" fontId="16" fillId="11" borderId="0" xfId="3" applyNumberFormat="1" applyFont="1" applyFill="1"/>
    <xf numFmtId="166" fontId="17" fillId="14" borderId="1" xfId="3" applyNumberFormat="1" applyFont="1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9" xfId="0" applyFont="1" applyBorder="1"/>
    <xf numFmtId="0" fontId="20" fillId="8" borderId="18" xfId="1" applyFont="1" applyFill="1" applyBorder="1" applyAlignment="1">
      <alignment horizontal="left" vertical="center" wrapText="1"/>
    </xf>
    <xf numFmtId="166" fontId="0" fillId="0" borderId="0" xfId="0" applyNumberFormat="1"/>
    <xf numFmtId="3" fontId="1" fillId="0" borderId="7" xfId="0" applyNumberFormat="1" applyFont="1" applyBorder="1"/>
    <xf numFmtId="3" fontId="0" fillId="5" borderId="0" xfId="0" applyNumberFormat="1" applyFill="1"/>
    <xf numFmtId="3" fontId="9" fillId="5" borderId="1" xfId="0" applyNumberFormat="1" applyFont="1" applyFill="1" applyBorder="1" applyAlignment="1">
      <alignment horizontal="center" vertical="center"/>
    </xf>
    <xf numFmtId="0" fontId="13" fillId="15" borderId="25" xfId="0" applyFont="1" applyFill="1" applyBorder="1" applyAlignment="1">
      <alignment horizontal="center" vertical="center"/>
    </xf>
    <xf numFmtId="0" fontId="13" fillId="16" borderId="26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0" fontId="13" fillId="16" borderId="13" xfId="0" applyFont="1" applyFill="1" applyBorder="1" applyAlignment="1">
      <alignment horizontal="center" vertical="center" wrapText="1"/>
    </xf>
    <xf numFmtId="0" fontId="21" fillId="16" borderId="30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13" fillId="16" borderId="31" xfId="0" applyFont="1" applyFill="1" applyBorder="1" applyAlignment="1">
      <alignment horizontal="center" vertical="center" wrapText="1"/>
    </xf>
    <xf numFmtId="0" fontId="13" fillId="15" borderId="31" xfId="0" applyFont="1" applyFill="1" applyBorder="1" applyAlignment="1">
      <alignment horizontal="center" vertical="center"/>
    </xf>
    <xf numFmtId="0" fontId="13" fillId="16" borderId="3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2" fillId="18" borderId="0" xfId="0" applyFont="1" applyFill="1" applyAlignment="1">
      <alignment horizontal="right"/>
    </xf>
    <xf numFmtId="0" fontId="0" fillId="18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3" fillId="16" borderId="23" xfId="0" applyFont="1" applyFill="1" applyBorder="1" applyAlignment="1">
      <alignment horizontal="left" vertical="center"/>
    </xf>
    <xf numFmtId="0" fontId="21" fillId="16" borderId="27" xfId="0" applyFont="1" applyFill="1" applyBorder="1" applyAlignment="1">
      <alignment horizontal="center" vertical="center"/>
    </xf>
    <xf numFmtId="0" fontId="21" fillId="16" borderId="28" xfId="0" applyFont="1" applyFill="1" applyBorder="1" applyAlignment="1">
      <alignment horizontal="center" vertical="center"/>
    </xf>
    <xf numFmtId="0" fontId="16" fillId="16" borderId="20" xfId="0" applyFont="1" applyFill="1" applyBorder="1" applyAlignment="1">
      <alignment horizontal="center" vertical="center"/>
    </xf>
    <xf numFmtId="0" fontId="16" fillId="16" borderId="29" xfId="0" applyFont="1" applyFill="1" applyBorder="1" applyAlignment="1">
      <alignment horizontal="center" vertical="center"/>
    </xf>
    <xf numFmtId="0" fontId="16" fillId="16" borderId="21" xfId="0" applyFont="1" applyFill="1" applyBorder="1" applyAlignment="1">
      <alignment horizontal="center" vertical="center"/>
    </xf>
    <xf numFmtId="0" fontId="13" fillId="15" borderId="24" xfId="0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left"/>
    </xf>
    <xf numFmtId="0" fontId="13" fillId="16" borderId="2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 vertical="center"/>
    </xf>
    <xf numFmtId="0" fontId="13" fillId="15" borderId="31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13" fillId="16" borderId="31" xfId="0" applyFont="1" applyFill="1" applyBorder="1" applyAlignment="1">
      <alignment horizontal="left"/>
    </xf>
    <xf numFmtId="0" fontId="13" fillId="16" borderId="31" xfId="0" applyFont="1" applyFill="1" applyBorder="1" applyAlignment="1">
      <alignment horizontal="center"/>
    </xf>
    <xf numFmtId="0" fontId="21" fillId="16" borderId="31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166" fontId="14" fillId="9" borderId="10" xfId="3" applyNumberFormat="1" applyFont="1" applyFill="1" applyBorder="1" applyAlignment="1">
      <alignment horizontal="center" vertical="center"/>
    </xf>
    <xf numFmtId="166" fontId="14" fillId="9" borderId="11" xfId="3" applyNumberFormat="1" applyFont="1" applyFill="1" applyBorder="1" applyAlignment="1">
      <alignment horizontal="center" vertical="center"/>
    </xf>
    <xf numFmtId="166" fontId="14" fillId="9" borderId="12" xfId="3" applyNumberFormat="1" applyFont="1" applyFill="1" applyBorder="1" applyAlignment="1">
      <alignment horizontal="center" vertical="center"/>
    </xf>
    <xf numFmtId="166" fontId="14" fillId="9" borderId="13" xfId="3" applyNumberFormat="1" applyFont="1" applyFill="1" applyBorder="1" applyAlignment="1">
      <alignment horizontal="center" vertical="center"/>
    </xf>
    <xf numFmtId="166" fontId="14" fillId="9" borderId="14" xfId="3" applyNumberFormat="1" applyFont="1" applyFill="1" applyBorder="1" applyAlignment="1">
      <alignment horizontal="center" vertical="center"/>
    </xf>
    <xf numFmtId="166" fontId="14" fillId="9" borderId="15" xfId="3" applyNumberFormat="1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9" xfId="0" applyFont="1" applyFill="1" applyBorder="1" applyAlignment="1">
      <alignment horizontal="center"/>
    </xf>
  </cellXfs>
  <cellStyles count="9">
    <cellStyle name="Comma" xfId="3" builtinId="3"/>
    <cellStyle name="Comma 2" xfId="6" xr:uid="{ACFFD9F2-B191-4319-9260-52ACE849FB43}"/>
    <cellStyle name="Comma 3" xfId="5" xr:uid="{B1681A8C-C94A-424B-8FC8-E213ADA16944}"/>
    <cellStyle name="Normal" xfId="0" builtinId="0"/>
    <cellStyle name="Normal 2" xfId="4" xr:uid="{03288728-10CC-434C-BC00-4B77FA211CD7}"/>
    <cellStyle name="Normal 3" xfId="1" xr:uid="{CEA1EAB6-AE78-4A19-8C63-EDC8281CB465}"/>
    <cellStyle name="Normal 3 2" xfId="2" xr:uid="{F881FBFF-BD33-4263-A79E-15ABE8644B20}"/>
    <cellStyle name="Normal 4" xfId="7" xr:uid="{599168A1-AF46-4A0C-AFC0-F1F0FB52FEF3}"/>
    <cellStyle name="Normal 69" xfId="8" xr:uid="{AFD01D7E-549B-4703-A63A-7D94FB58B490}"/>
  </cellStyles>
  <dxfs count="42">
    <dxf>
      <numFmt numFmtId="166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Clinics by Selected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47584248105585"/>
          <c:y val="0.2209573083040407"/>
          <c:w val="0.80737847383013406"/>
          <c:h val="0.7300757969447137"/>
        </c:manualLayout>
      </c:layout>
      <c:barChart>
        <c:barDir val="bar"/>
        <c:grouping val="clustered"/>
        <c:varyColors val="0"/>
        <c:ser>
          <c:idx val="0"/>
          <c:order val="0"/>
          <c:tx>
            <c:v>Selected Metric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Menu Dashboard-May'!$B$12:$B$26</c:f>
              <c:strCache>
                <c:ptCount val="15"/>
                <c:pt idx="0">
                  <c:v>QCNM Rawalakot, University of Poonch</c:v>
                </c:pt>
                <c:pt idx="1">
                  <c:v>QCNM Khairpur, Central Jail</c:v>
                </c:pt>
                <c:pt idx="2">
                  <c:v>QCNM Mamukanjan</c:v>
                </c:pt>
                <c:pt idx="3">
                  <c:v>QCNM Bahawalnagar, Zainab Rafique</c:v>
                </c:pt>
                <c:pt idx="4">
                  <c:v>QCNM Lahore, Nonarian</c:v>
                </c:pt>
                <c:pt idx="5">
                  <c:v>QCNM Lahore, Molvi Najjar Ashiana Housing</c:v>
                </c:pt>
                <c:pt idx="6">
                  <c:v>QCNM Sialkot, District Jail</c:v>
                </c:pt>
                <c:pt idx="7">
                  <c:v>QCNM Lahore, District (Camp) Jail</c:v>
                </c:pt>
                <c:pt idx="8">
                  <c:v>QCNM Lahore, Chauburji</c:v>
                </c:pt>
                <c:pt idx="9">
                  <c:v>QCNM Hafizabad, Dist Jail</c:v>
                </c:pt>
                <c:pt idx="10">
                  <c:v>QCNM Lahore, Kot Lakhpat Jail</c:v>
                </c:pt>
                <c:pt idx="11">
                  <c:v>QCNM Bahawalpur, Borstal Jail</c:v>
                </c:pt>
                <c:pt idx="12">
                  <c:v>QCNM Gujranwala, Central Jail</c:v>
                </c:pt>
                <c:pt idx="13">
                  <c:v>QCNM Hattar</c:v>
                </c:pt>
                <c:pt idx="14">
                  <c:v>QCNM Burhan, Doke Mughalan</c:v>
                </c:pt>
              </c:strCache>
            </c:strRef>
          </c:cat>
          <c:val>
            <c:numRef>
              <c:f>'Simple Menu Dashboard-May'!$F$12:$F$26</c:f>
              <c:numCache>
                <c:formatCode>#,##0</c:formatCode>
                <c:ptCount val="15"/>
                <c:pt idx="0">
                  <c:v>33420</c:v>
                </c:pt>
                <c:pt idx="1">
                  <c:v>30530</c:v>
                </c:pt>
                <c:pt idx="2">
                  <c:v>23510</c:v>
                </c:pt>
                <c:pt idx="3">
                  <c:v>21690</c:v>
                </c:pt>
                <c:pt idx="4">
                  <c:v>21675</c:v>
                </c:pt>
                <c:pt idx="5">
                  <c:v>19164</c:v>
                </c:pt>
                <c:pt idx="6">
                  <c:v>16830</c:v>
                </c:pt>
                <c:pt idx="7">
                  <c:v>16415</c:v>
                </c:pt>
                <c:pt idx="8">
                  <c:v>16198</c:v>
                </c:pt>
                <c:pt idx="9">
                  <c:v>16130</c:v>
                </c:pt>
                <c:pt idx="10">
                  <c:v>15825</c:v>
                </c:pt>
                <c:pt idx="11">
                  <c:v>15110</c:v>
                </c:pt>
                <c:pt idx="12">
                  <c:v>15000</c:v>
                </c:pt>
                <c:pt idx="13">
                  <c:v>14900</c:v>
                </c:pt>
                <c:pt idx="14">
                  <c:v>14350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3-4F15-A944-A6B0E9F8A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77392223"/>
        <c:axId val="1473672047"/>
      </c:barChart>
      <c:catAx>
        <c:axId val="15773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2047"/>
        <c:crosses val="autoZero"/>
        <c:auto val="1"/>
        <c:lblAlgn val="ctr"/>
        <c:lblOffset val="100"/>
        <c:noMultiLvlLbl val="0"/>
      </c:catAx>
      <c:valAx>
        <c:axId val="147367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Head 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'Simple Menu Dashboard-May'!$J$12:$K$21</c:f>
              <c:multiLvlStrCache>
                <c:ptCount val="10"/>
                <c:lvl>
                  <c:pt idx="0">
                    <c:v>Packing</c:v>
                  </c:pt>
                  <c:pt idx="1">
                    <c:v>Convayance</c:v>
                  </c:pt>
                  <c:pt idx="2">
                    <c:v>Purchasing</c:v>
                  </c:pt>
                  <c:pt idx="3">
                    <c:v>Freight</c:v>
                  </c:pt>
                  <c:pt idx="4">
                    <c:v>Printing</c:v>
                  </c:pt>
                  <c:pt idx="5">
                    <c:v>Stationary</c:v>
                  </c:pt>
                  <c:pt idx="6">
                    <c:v>Utilities</c:v>
                  </c:pt>
                  <c:pt idx="7">
                    <c:v>Misc</c:v>
                  </c:pt>
                  <c:pt idx="8">
                    <c:v>Postage</c:v>
                  </c:pt>
                  <c:pt idx="9">
                    <c:v>Repair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'Simple Menu Dashboard-May'!$L$12:$L$21</c:f>
              <c:numCache>
                <c:formatCode>#,##0</c:formatCode>
                <c:ptCount val="10"/>
                <c:pt idx="0">
                  <c:v>356425</c:v>
                </c:pt>
                <c:pt idx="1">
                  <c:v>156061</c:v>
                </c:pt>
                <c:pt idx="2">
                  <c:v>132426</c:v>
                </c:pt>
                <c:pt idx="3">
                  <c:v>87208</c:v>
                </c:pt>
                <c:pt idx="4">
                  <c:v>42044</c:v>
                </c:pt>
                <c:pt idx="5">
                  <c:v>37086</c:v>
                </c:pt>
                <c:pt idx="6">
                  <c:v>34761</c:v>
                </c:pt>
                <c:pt idx="7">
                  <c:v>31392</c:v>
                </c:pt>
                <c:pt idx="8">
                  <c:v>29060</c:v>
                </c:pt>
                <c:pt idx="9">
                  <c:v>13170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2-4787-9999-1499A51BC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7329119"/>
        <c:axId val="1473673967"/>
      </c:barChart>
      <c:catAx>
        <c:axId val="15773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3967"/>
        <c:crosses val="autoZero"/>
        <c:auto val="1"/>
        <c:lblAlgn val="ctr"/>
        <c:lblOffset val="100"/>
        <c:noMultiLvlLbl val="0"/>
      </c:catAx>
      <c:valAx>
        <c:axId val="14736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Public vs Prison Expense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'Simple Menu Dashboard-May'!$O$11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7E-4698-A90F-9503B3D131E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7E-4698-A90F-9503B3D131EA}"/>
              </c:ext>
            </c:extLst>
          </c:dPt>
          <c:dLbls>
            <c:dLbl>
              <c:idx val="0"/>
              <c:layout>
                <c:manualLayout>
                  <c:x val="-0.18955412835971019"/>
                  <c:y val="-2.961795591140285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370988992677928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57E-4698-A90F-9503B3D131EA}"/>
                </c:ext>
              </c:extLst>
            </c:dLbl>
            <c:dLbl>
              <c:idx val="1"/>
              <c:layout>
                <c:manualLayout>
                  <c:x val="0.16456073570912966"/>
                  <c:y val="-8.705868142417123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41978179112635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57E-4698-A90F-9503B3D131E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Dashboard-May'!$N$12:$N$13</c:f>
              <c:strCache>
                <c:ptCount val="2"/>
                <c:pt idx="0">
                  <c:v>Public</c:v>
                </c:pt>
                <c:pt idx="1">
                  <c:v>Prison</c:v>
                </c:pt>
              </c:strCache>
            </c:strRef>
          </c:cat>
          <c:val>
            <c:numRef>
              <c:f>'Simple Menu Dashboard-May'!$O$12:$O$13</c:f>
              <c:numCache>
                <c:formatCode>#,##0</c:formatCode>
                <c:ptCount val="2"/>
                <c:pt idx="0">
                  <c:v>387832</c:v>
                </c:pt>
                <c:pt idx="1">
                  <c:v>531801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7E-4698-A90F-9503B3D13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 Mix</a:t>
            </a:r>
          </a:p>
        </c:rich>
      </c:tx>
      <c:layout>
        <c:manualLayout>
          <c:xMode val="edge"/>
          <c:yMode val="edge"/>
          <c:x val="0.4095454364983081"/>
          <c:y val="2.500000820210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Menu Dashboard-May'!$O$16</c:f>
              <c:strCache>
                <c:ptCount val="1"/>
                <c:pt idx="0">
                  <c:v>Patients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B2-43F5-B3E8-658E8FC6FA8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B2-43F5-B3E8-658E8FC6FA8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B2-43F5-B3E8-658E8FC6FA89}"/>
              </c:ext>
            </c:extLst>
          </c:dPt>
          <c:dLbls>
            <c:dLbl>
              <c:idx val="0"/>
              <c:layout>
                <c:manualLayout>
                  <c:x val="0.17385620194195317"/>
                  <c:y val="-2.28084064332042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B2-43F5-B3E8-658E8FC6FA89}"/>
                </c:ext>
              </c:extLst>
            </c:dLbl>
            <c:dLbl>
              <c:idx val="1"/>
              <c:layout>
                <c:manualLayout>
                  <c:x val="-0.18683181944511842"/>
                  <c:y val="-8.333336067367476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B2-43F5-B3E8-658E8FC6FA89}"/>
                </c:ext>
              </c:extLst>
            </c:dLbl>
            <c:dLbl>
              <c:idx val="2"/>
              <c:layout>
                <c:manualLayout>
                  <c:x val="-4.1082985190511692E-2"/>
                  <c:y val="-6.966537718680354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B2-43F5-B3E8-658E8FC6FA8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Dashboard-May'!$N$17:$N$19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Child</c:v>
                </c:pt>
              </c:strCache>
            </c:strRef>
          </c:cat>
          <c:val>
            <c:numRef>
              <c:f>'Simple Menu Dashboard-May'!$O$17:$O$19</c:f>
              <c:numCache>
                <c:formatCode>#,##0</c:formatCode>
                <c:ptCount val="3"/>
                <c:pt idx="0">
                  <c:v>190661</c:v>
                </c:pt>
                <c:pt idx="1">
                  <c:v>35165</c:v>
                </c:pt>
                <c:pt idx="2">
                  <c:v>14426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B2-43F5-B3E8-658E8FC6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Clinics by Selected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47584248105585"/>
          <c:y val="0.2209573083040407"/>
          <c:w val="0.80737847383013406"/>
          <c:h val="0.7300757969447137"/>
        </c:manualLayout>
      </c:layout>
      <c:barChart>
        <c:barDir val="bar"/>
        <c:grouping val="clustered"/>
        <c:varyColors val="0"/>
        <c:ser>
          <c:idx val="0"/>
          <c:order val="0"/>
          <c:tx>
            <c:v>Selected Metric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Menu Dashboard-june'!$B$12:$B$26</c:f>
              <c:strCache>
                <c:ptCount val="15"/>
                <c:pt idx="0">
                  <c:v>QCNM Bahawalpur EMH</c:v>
                </c:pt>
                <c:pt idx="1">
                  <c:v>QCNM University of Karachi</c:v>
                </c:pt>
                <c:pt idx="2">
                  <c:v>QCNM RHC Washbood</c:v>
                </c:pt>
                <c:pt idx="3">
                  <c:v>QCNM The Islamia Uni of Bahawalpur</c:v>
                </c:pt>
                <c:pt idx="4">
                  <c:v>QCNM Mamukanjan</c:v>
                </c:pt>
                <c:pt idx="5">
                  <c:v>QCNM University of Sindh</c:v>
                </c:pt>
                <c:pt idx="6">
                  <c:v>QCNM Larkana, District Jail</c:v>
                </c:pt>
                <c:pt idx="7">
                  <c:v>QCNM Lahore, Nonarian</c:v>
                </c:pt>
                <c:pt idx="8">
                  <c:v>QCNM RAHMA Hospital Janpur</c:v>
                </c:pt>
                <c:pt idx="9">
                  <c:v>QCNM Bahawalnagar, District Jail</c:v>
                </c:pt>
                <c:pt idx="10">
                  <c:v>QCNM Lahore, Molvi Najjar Ashiana Housing</c:v>
                </c:pt>
                <c:pt idx="11">
                  <c:v>QCNM University of Okara</c:v>
                </c:pt>
                <c:pt idx="12">
                  <c:v>Lahore, QCNM Saggian</c:v>
                </c:pt>
                <c:pt idx="13">
                  <c:v>QCNM Hadi Free Hospital</c:v>
                </c:pt>
                <c:pt idx="14">
                  <c:v>QCNM Sheikhupura, District Jail</c:v>
                </c:pt>
              </c:strCache>
            </c:strRef>
          </c:cat>
          <c:val>
            <c:numRef>
              <c:f>'Simple Menu Dashboard-june'!$F$12:$F$26</c:f>
              <c:numCache>
                <c:formatCode>#,##0</c:formatCode>
                <c:ptCount val="15"/>
                <c:pt idx="0">
                  <c:v>52881</c:v>
                </c:pt>
                <c:pt idx="1">
                  <c:v>34467</c:v>
                </c:pt>
                <c:pt idx="2">
                  <c:v>32860</c:v>
                </c:pt>
                <c:pt idx="3">
                  <c:v>28950</c:v>
                </c:pt>
                <c:pt idx="4">
                  <c:v>28346</c:v>
                </c:pt>
                <c:pt idx="5">
                  <c:v>26190</c:v>
                </c:pt>
                <c:pt idx="6">
                  <c:v>21410</c:v>
                </c:pt>
                <c:pt idx="7">
                  <c:v>21150</c:v>
                </c:pt>
                <c:pt idx="8">
                  <c:v>18810</c:v>
                </c:pt>
                <c:pt idx="9">
                  <c:v>17930</c:v>
                </c:pt>
                <c:pt idx="10">
                  <c:v>16199</c:v>
                </c:pt>
                <c:pt idx="11">
                  <c:v>16180</c:v>
                </c:pt>
                <c:pt idx="12">
                  <c:v>16060</c:v>
                </c:pt>
                <c:pt idx="13">
                  <c:v>16060</c:v>
                </c:pt>
                <c:pt idx="14">
                  <c:v>15820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C-4DFF-A648-E069B08DE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77392223"/>
        <c:axId val="1473672047"/>
      </c:barChart>
      <c:catAx>
        <c:axId val="15773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2047"/>
        <c:crosses val="autoZero"/>
        <c:auto val="1"/>
        <c:lblAlgn val="ctr"/>
        <c:lblOffset val="100"/>
        <c:noMultiLvlLbl val="0"/>
      </c:catAx>
      <c:valAx>
        <c:axId val="147367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Head 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'Simple Menu Dashboard-june'!$J$12:$K$21</c:f>
              <c:multiLvlStrCache>
                <c:ptCount val="10"/>
                <c:lvl>
                  <c:pt idx="0">
                    <c:v>Packing</c:v>
                  </c:pt>
                  <c:pt idx="1">
                    <c:v>Convayance</c:v>
                  </c:pt>
                  <c:pt idx="2">
                    <c:v>Purchasing</c:v>
                  </c:pt>
                  <c:pt idx="3">
                    <c:v>Misc</c:v>
                  </c:pt>
                  <c:pt idx="4">
                    <c:v>Postage</c:v>
                  </c:pt>
                  <c:pt idx="5">
                    <c:v>Stationary</c:v>
                  </c:pt>
                  <c:pt idx="6">
                    <c:v>Repair</c:v>
                  </c:pt>
                  <c:pt idx="7">
                    <c:v>Freight</c:v>
                  </c:pt>
                  <c:pt idx="8">
                    <c:v>Printing</c:v>
                  </c:pt>
                  <c:pt idx="9">
                    <c:v>Utilities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'Simple Menu Dashboard-june'!$L$12:$L$21</c:f>
              <c:numCache>
                <c:formatCode>#,##0</c:formatCode>
                <c:ptCount val="10"/>
                <c:pt idx="0">
                  <c:v>395960</c:v>
                </c:pt>
                <c:pt idx="1">
                  <c:v>233154</c:v>
                </c:pt>
                <c:pt idx="2">
                  <c:v>87852</c:v>
                </c:pt>
                <c:pt idx="3">
                  <c:v>86817</c:v>
                </c:pt>
                <c:pt idx="4">
                  <c:v>50695</c:v>
                </c:pt>
                <c:pt idx="5">
                  <c:v>43736</c:v>
                </c:pt>
                <c:pt idx="6">
                  <c:v>36528</c:v>
                </c:pt>
                <c:pt idx="7">
                  <c:v>33411</c:v>
                </c:pt>
                <c:pt idx="8">
                  <c:v>32041</c:v>
                </c:pt>
                <c:pt idx="9">
                  <c:v>30815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4-4855-9A15-B172B868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7329119"/>
        <c:axId val="1473673967"/>
      </c:barChart>
      <c:catAx>
        <c:axId val="15773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3967"/>
        <c:crosses val="autoZero"/>
        <c:auto val="1"/>
        <c:lblAlgn val="ctr"/>
        <c:lblOffset val="100"/>
        <c:noMultiLvlLbl val="0"/>
      </c:catAx>
      <c:valAx>
        <c:axId val="14736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Public vs Prison Expense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'Simple Menu Dashboard-june'!$O$11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5D-4176-89BD-240EE7E160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5D-4176-89BD-240EE7E16079}"/>
              </c:ext>
            </c:extLst>
          </c:dPt>
          <c:dLbls>
            <c:dLbl>
              <c:idx val="0"/>
              <c:layout>
                <c:manualLayout>
                  <c:x val="-0.18955412835971019"/>
                  <c:y val="-2.961795591140285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370988992677928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25D-4176-89BD-240EE7E16079}"/>
                </c:ext>
              </c:extLst>
            </c:dLbl>
            <c:dLbl>
              <c:idx val="1"/>
              <c:layout>
                <c:manualLayout>
                  <c:x val="0.16456073570912966"/>
                  <c:y val="-8.705868142417123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41978179112635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25D-4176-89BD-240EE7E1607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Dashboard-june'!$N$12:$N$13</c:f>
              <c:strCache>
                <c:ptCount val="2"/>
                <c:pt idx="0">
                  <c:v>Public</c:v>
                </c:pt>
                <c:pt idx="1">
                  <c:v>Prison</c:v>
                </c:pt>
              </c:strCache>
            </c:strRef>
          </c:cat>
          <c:val>
            <c:numRef>
              <c:f>'Simple Menu Dashboard-june'!$O$12:$O$13</c:f>
              <c:numCache>
                <c:formatCode>#,##0</c:formatCode>
                <c:ptCount val="2"/>
                <c:pt idx="0">
                  <c:v>515533</c:v>
                </c:pt>
                <c:pt idx="1">
                  <c:v>515476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5D-4176-89BD-240EE7E16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 Mix</a:t>
            </a:r>
          </a:p>
        </c:rich>
      </c:tx>
      <c:layout>
        <c:manualLayout>
          <c:xMode val="edge"/>
          <c:yMode val="edge"/>
          <c:x val="0.4095454364983081"/>
          <c:y val="2.500000820210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Menu Dashboard-june'!$O$16</c:f>
              <c:strCache>
                <c:ptCount val="1"/>
                <c:pt idx="0">
                  <c:v>Patients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2A-4979-A216-ADCD4BFA85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2A-4979-A216-ADCD4BFA85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2A-4979-A216-ADCD4BFA85A1}"/>
              </c:ext>
            </c:extLst>
          </c:dPt>
          <c:dLbls>
            <c:dLbl>
              <c:idx val="0"/>
              <c:layout>
                <c:manualLayout>
                  <c:x val="0.17385620194195317"/>
                  <c:y val="-2.28084064332042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2A-4979-A216-ADCD4BFA85A1}"/>
                </c:ext>
              </c:extLst>
            </c:dLbl>
            <c:dLbl>
              <c:idx val="1"/>
              <c:layout>
                <c:manualLayout>
                  <c:x val="-0.18683181944511842"/>
                  <c:y val="-8.333336067367476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2A-4979-A216-ADCD4BFA85A1}"/>
                </c:ext>
              </c:extLst>
            </c:dLbl>
            <c:dLbl>
              <c:idx val="2"/>
              <c:layout>
                <c:manualLayout>
                  <c:x val="-4.1082985190511692E-2"/>
                  <c:y val="-6.966537718680354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2A-4979-A216-ADCD4BFA85A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Dashboard-june'!$N$17:$N$19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Child</c:v>
                </c:pt>
              </c:strCache>
            </c:strRef>
          </c:cat>
          <c:val>
            <c:numRef>
              <c:f>'Simple Menu Dashboard-june'!$O$17:$O$19</c:f>
              <c:numCache>
                <c:formatCode>#,##0</c:formatCode>
                <c:ptCount val="3"/>
                <c:pt idx="0">
                  <c:v>194967</c:v>
                </c:pt>
                <c:pt idx="1">
                  <c:v>28778</c:v>
                </c:pt>
                <c:pt idx="2">
                  <c:v>12437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2A-4979-A216-ADCD4BFA8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Clinics by Selected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47584248105585"/>
          <c:y val="0.2209573083040407"/>
          <c:w val="0.80737847383013406"/>
          <c:h val="0.7300757969447137"/>
        </c:manualLayout>
      </c:layout>
      <c:barChart>
        <c:barDir val="bar"/>
        <c:grouping val="clustered"/>
        <c:varyColors val="0"/>
        <c:ser>
          <c:idx val="0"/>
          <c:order val="0"/>
          <c:tx>
            <c:v>Selected Metric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Menu Dashboard-july'!$B$12:$B$26</c:f>
              <c:strCache>
                <c:ptCount val="15"/>
                <c:pt idx="0">
                  <c:v>QCNM Bahawalnagar, Zainab Rafique</c:v>
                </c:pt>
                <c:pt idx="1">
                  <c:v>QCNM Shahpur, Dist Jail</c:v>
                </c:pt>
                <c:pt idx="2">
                  <c:v>QCNM University of Karachi</c:v>
                </c:pt>
                <c:pt idx="3">
                  <c:v>QCNM Bahawalpur EMH</c:v>
                </c:pt>
                <c:pt idx="4">
                  <c:v>QCNM Lahore, Chauburji</c:v>
                </c:pt>
                <c:pt idx="5">
                  <c:v>QCNM Lahore, Nonarian</c:v>
                </c:pt>
                <c:pt idx="6">
                  <c:v>QCNM Sialkot, District Jail</c:v>
                </c:pt>
                <c:pt idx="7">
                  <c:v>QCNM FUUAST Islamabad</c:v>
                </c:pt>
                <c:pt idx="8">
                  <c:v>QCNM Bannu, USTB University</c:v>
                </c:pt>
                <c:pt idx="9">
                  <c:v>QCNM Bahawalnagar, District Jail</c:v>
                </c:pt>
                <c:pt idx="10">
                  <c:v>QCNM Mamukanjan</c:v>
                </c:pt>
                <c:pt idx="11">
                  <c:v>QCNM Gujrat, District Jail</c:v>
                </c:pt>
                <c:pt idx="12">
                  <c:v>QCNM Larkana, District Jail</c:v>
                </c:pt>
                <c:pt idx="13">
                  <c:v>QCNM Sheikhupura, District Jail</c:v>
                </c:pt>
                <c:pt idx="14">
                  <c:v>QCNM Lahore, Molvi Najjar Ashiana Housing</c:v>
                </c:pt>
              </c:strCache>
            </c:strRef>
          </c:cat>
          <c:val>
            <c:numRef>
              <c:f>'Simple Menu Dashboard-july'!$F$12:$F$26</c:f>
              <c:numCache>
                <c:formatCode>#,##0</c:formatCode>
                <c:ptCount val="15"/>
                <c:pt idx="0">
                  <c:v>37385</c:v>
                </c:pt>
                <c:pt idx="1">
                  <c:v>28050</c:v>
                </c:pt>
                <c:pt idx="2">
                  <c:v>27328</c:v>
                </c:pt>
                <c:pt idx="3">
                  <c:v>25339</c:v>
                </c:pt>
                <c:pt idx="4">
                  <c:v>23969</c:v>
                </c:pt>
                <c:pt idx="5">
                  <c:v>23359</c:v>
                </c:pt>
                <c:pt idx="6">
                  <c:v>22280</c:v>
                </c:pt>
                <c:pt idx="7">
                  <c:v>21040</c:v>
                </c:pt>
                <c:pt idx="8">
                  <c:v>17250</c:v>
                </c:pt>
                <c:pt idx="9">
                  <c:v>17190</c:v>
                </c:pt>
                <c:pt idx="10">
                  <c:v>16420</c:v>
                </c:pt>
                <c:pt idx="11">
                  <c:v>16190</c:v>
                </c:pt>
                <c:pt idx="12">
                  <c:v>16150</c:v>
                </c:pt>
                <c:pt idx="13">
                  <c:v>15510</c:v>
                </c:pt>
                <c:pt idx="14">
                  <c:v>15204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0-46D1-B598-5D638FABA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77392223"/>
        <c:axId val="1473672047"/>
      </c:barChart>
      <c:catAx>
        <c:axId val="15773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2047"/>
        <c:crosses val="autoZero"/>
        <c:auto val="1"/>
        <c:lblAlgn val="ctr"/>
        <c:lblOffset val="100"/>
        <c:noMultiLvlLbl val="0"/>
      </c:catAx>
      <c:valAx>
        <c:axId val="147367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Head 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'Simple Menu Dashboard-july'!$J$12:$K$21</c:f>
              <c:multiLvlStrCache>
                <c:ptCount val="10"/>
                <c:lvl>
                  <c:pt idx="0">
                    <c:v>Packing</c:v>
                  </c:pt>
                  <c:pt idx="1">
                    <c:v>Convayance</c:v>
                  </c:pt>
                  <c:pt idx="2">
                    <c:v>Purchasing</c:v>
                  </c:pt>
                  <c:pt idx="3">
                    <c:v>Misc</c:v>
                  </c:pt>
                  <c:pt idx="4">
                    <c:v>Utilities</c:v>
                  </c:pt>
                  <c:pt idx="5">
                    <c:v>Printing</c:v>
                  </c:pt>
                  <c:pt idx="6">
                    <c:v>Stationary</c:v>
                  </c:pt>
                  <c:pt idx="7">
                    <c:v>Repair</c:v>
                  </c:pt>
                  <c:pt idx="8">
                    <c:v>Postage</c:v>
                  </c:pt>
                  <c:pt idx="9">
                    <c:v>Freight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'Simple Menu Dashboard-july'!$L$12:$L$21</c:f>
              <c:numCache>
                <c:formatCode>#,##0</c:formatCode>
                <c:ptCount val="10"/>
                <c:pt idx="0">
                  <c:v>413905</c:v>
                </c:pt>
                <c:pt idx="1">
                  <c:v>127921</c:v>
                </c:pt>
                <c:pt idx="2">
                  <c:v>119150</c:v>
                </c:pt>
                <c:pt idx="3">
                  <c:v>56462</c:v>
                </c:pt>
                <c:pt idx="4">
                  <c:v>47073</c:v>
                </c:pt>
                <c:pt idx="5">
                  <c:v>42510</c:v>
                </c:pt>
                <c:pt idx="6">
                  <c:v>34065</c:v>
                </c:pt>
                <c:pt idx="7">
                  <c:v>27670</c:v>
                </c:pt>
                <c:pt idx="8">
                  <c:v>27033</c:v>
                </c:pt>
                <c:pt idx="9">
                  <c:v>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1-4EE6-83CB-2BA2A786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7329119"/>
        <c:axId val="1473673967"/>
      </c:barChart>
      <c:catAx>
        <c:axId val="15773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3967"/>
        <c:crosses val="autoZero"/>
        <c:auto val="1"/>
        <c:lblAlgn val="ctr"/>
        <c:lblOffset val="100"/>
        <c:noMultiLvlLbl val="0"/>
      </c:catAx>
      <c:valAx>
        <c:axId val="14736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Public vs Prison Expense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'Simple Menu Dashboard-july'!$O$11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A2-492B-A42F-4825BFF649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A2-492B-A42F-4825BFF649AE}"/>
              </c:ext>
            </c:extLst>
          </c:dPt>
          <c:dLbls>
            <c:dLbl>
              <c:idx val="0"/>
              <c:layout>
                <c:manualLayout>
                  <c:x val="-0.18955412835971019"/>
                  <c:y val="-2.961795591140285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370988992677928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BA2-492B-A42F-4825BFF649AE}"/>
                </c:ext>
              </c:extLst>
            </c:dLbl>
            <c:dLbl>
              <c:idx val="1"/>
              <c:layout>
                <c:manualLayout>
                  <c:x val="0.16456073570912966"/>
                  <c:y val="-8.705868142417123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41978179112635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BA2-492B-A42F-4825BFF649A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Dashboard-july'!$N$12:$N$13</c:f>
              <c:strCache>
                <c:ptCount val="2"/>
                <c:pt idx="0">
                  <c:v>Public</c:v>
                </c:pt>
                <c:pt idx="1">
                  <c:v>Prison</c:v>
                </c:pt>
              </c:strCache>
            </c:strRef>
          </c:cat>
          <c:val>
            <c:numRef>
              <c:f>'Simple Menu Dashboard-july'!$O$12:$O$13</c:f>
              <c:numCache>
                <c:formatCode>#,##0</c:formatCode>
                <c:ptCount val="2"/>
                <c:pt idx="0">
                  <c:v>411450</c:v>
                </c:pt>
                <c:pt idx="1">
                  <c:v>503239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A2-492B-A42F-4825BFF6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 Mix</a:t>
            </a:r>
          </a:p>
        </c:rich>
      </c:tx>
      <c:layout>
        <c:manualLayout>
          <c:xMode val="edge"/>
          <c:yMode val="edge"/>
          <c:x val="0.4095454364983081"/>
          <c:y val="2.500000820210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Menu Dashboard-july'!$O$16</c:f>
              <c:strCache>
                <c:ptCount val="1"/>
                <c:pt idx="0">
                  <c:v>Patients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7A-49DB-AE5C-2E8D651D746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7A-49DB-AE5C-2E8D651D746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7A-49DB-AE5C-2E8D651D746C}"/>
              </c:ext>
            </c:extLst>
          </c:dPt>
          <c:dLbls>
            <c:dLbl>
              <c:idx val="0"/>
              <c:layout>
                <c:manualLayout>
                  <c:x val="0.17385620194195317"/>
                  <c:y val="-2.28084064332042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7A-49DB-AE5C-2E8D651D746C}"/>
                </c:ext>
              </c:extLst>
            </c:dLbl>
            <c:dLbl>
              <c:idx val="1"/>
              <c:layout>
                <c:manualLayout>
                  <c:x val="-0.18683181944511842"/>
                  <c:y val="-8.333336067367476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7A-49DB-AE5C-2E8D651D746C}"/>
                </c:ext>
              </c:extLst>
            </c:dLbl>
            <c:dLbl>
              <c:idx val="2"/>
              <c:layout>
                <c:manualLayout>
                  <c:x val="-4.1082985190511692E-2"/>
                  <c:y val="-6.966537718680354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7A-49DB-AE5C-2E8D651D746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Dashboard-july'!$N$17:$N$19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Child</c:v>
                </c:pt>
              </c:strCache>
            </c:strRef>
          </c:cat>
          <c:val>
            <c:numRef>
              <c:f>'Simple Menu Dashboard-july'!$O$17:$O$19</c:f>
              <c:numCache>
                <c:formatCode>#,##0</c:formatCode>
                <c:ptCount val="3"/>
                <c:pt idx="0">
                  <c:v>170802</c:v>
                </c:pt>
                <c:pt idx="1">
                  <c:v>26888</c:v>
                </c:pt>
                <c:pt idx="2">
                  <c:v>12593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7A-49DB-AE5C-2E8D651D7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Clinics by Selected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47584248105585"/>
          <c:y val="0.2209573083040407"/>
          <c:w val="0.80737847383013406"/>
          <c:h val="0.7300757969447137"/>
        </c:manualLayout>
      </c:layout>
      <c:barChart>
        <c:barDir val="bar"/>
        <c:grouping val="clustered"/>
        <c:varyColors val="0"/>
        <c:ser>
          <c:idx val="0"/>
          <c:order val="0"/>
          <c:tx>
            <c:v>Selected Metric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Menu Dashboard-aug'!$B$12:$B$26</c:f>
              <c:strCache>
                <c:ptCount val="15"/>
                <c:pt idx="0">
                  <c:v>QCNM Gujranwala, Central Jail</c:v>
                </c:pt>
                <c:pt idx="1">
                  <c:v>QCNM Sialkot, District Jail</c:v>
                </c:pt>
                <c:pt idx="2">
                  <c:v>QCNM Hafizabad, Dist Jail</c:v>
                </c:pt>
                <c:pt idx="3">
                  <c:v>QCNM Faisalabad, Central Jail</c:v>
                </c:pt>
                <c:pt idx="4">
                  <c:v>QCNM Lahore, District (Camp) Jail</c:v>
                </c:pt>
                <c:pt idx="5">
                  <c:v>QCNM Peshawar, Central Prison</c:v>
                </c:pt>
                <c:pt idx="6">
                  <c:v>QCNM Sheikhupura, District Jail</c:v>
                </c:pt>
                <c:pt idx="7">
                  <c:v>QCNM Gujrat, District Jail</c:v>
                </c:pt>
                <c:pt idx="8">
                  <c:v>QCNM Jhang, District Jail</c:v>
                </c:pt>
                <c:pt idx="9">
                  <c:v>QCNM Bahawalpur, Central Jail</c:v>
                </c:pt>
                <c:pt idx="10">
                  <c:v>QCNM Shahpur, Dist Jail</c:v>
                </c:pt>
                <c:pt idx="11">
                  <c:v>QCNM Rawalpindi Adayala Jail</c:v>
                </c:pt>
                <c:pt idx="12">
                  <c:v>QCNM Lodhran, District Jail</c:v>
                </c:pt>
                <c:pt idx="13">
                  <c:v>QCNM Mianwali, Central Jail</c:v>
                </c:pt>
                <c:pt idx="14">
                  <c:v>QCNM Attock, District Jail</c:v>
                </c:pt>
              </c:strCache>
            </c:strRef>
          </c:cat>
          <c:val>
            <c:numRef>
              <c:f>'Simple Menu Dashboard-aug'!$F$12:$F$26</c:f>
              <c:numCache>
                <c:formatCode>#,##0</c:formatCode>
                <c:ptCount val="15"/>
                <c:pt idx="0">
                  <c:v>17680</c:v>
                </c:pt>
                <c:pt idx="1">
                  <c:v>21670</c:v>
                </c:pt>
                <c:pt idx="2">
                  <c:v>15510</c:v>
                </c:pt>
                <c:pt idx="3">
                  <c:v>1560</c:v>
                </c:pt>
                <c:pt idx="4">
                  <c:v>17015</c:v>
                </c:pt>
                <c:pt idx="5">
                  <c:v>4780</c:v>
                </c:pt>
                <c:pt idx="6">
                  <c:v>18750</c:v>
                </c:pt>
                <c:pt idx="7">
                  <c:v>8715</c:v>
                </c:pt>
                <c:pt idx="8">
                  <c:v>5070</c:v>
                </c:pt>
                <c:pt idx="9">
                  <c:v>2542</c:v>
                </c:pt>
                <c:pt idx="10">
                  <c:v>5430</c:v>
                </c:pt>
                <c:pt idx="11">
                  <c:v>1230</c:v>
                </c:pt>
                <c:pt idx="12">
                  <c:v>11680</c:v>
                </c:pt>
                <c:pt idx="13">
                  <c:v>5090</c:v>
                </c:pt>
                <c:pt idx="14">
                  <c:v>6710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0C9-9931-2E5A2241A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77392223"/>
        <c:axId val="1473672047"/>
      </c:barChart>
      <c:catAx>
        <c:axId val="15773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2047"/>
        <c:crosses val="autoZero"/>
        <c:auto val="1"/>
        <c:lblAlgn val="ctr"/>
        <c:lblOffset val="100"/>
        <c:noMultiLvlLbl val="0"/>
      </c:catAx>
      <c:valAx>
        <c:axId val="147367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Head 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'Simple Menu Dashboard-aug'!$J$12:$K$21</c:f>
              <c:multiLvlStrCache>
                <c:ptCount val="10"/>
                <c:lvl>
                  <c:pt idx="0">
                    <c:v>Packing</c:v>
                  </c:pt>
                  <c:pt idx="1">
                    <c:v>Convayance</c:v>
                  </c:pt>
                  <c:pt idx="2">
                    <c:v>Purchasing</c:v>
                  </c:pt>
                  <c:pt idx="3">
                    <c:v>Stationary</c:v>
                  </c:pt>
                  <c:pt idx="4">
                    <c:v>Printing</c:v>
                  </c:pt>
                  <c:pt idx="5">
                    <c:v>Repair</c:v>
                  </c:pt>
                  <c:pt idx="6">
                    <c:v>Misc</c:v>
                  </c:pt>
                  <c:pt idx="7">
                    <c:v>Utilities</c:v>
                  </c:pt>
                  <c:pt idx="8">
                    <c:v>Postage</c:v>
                  </c:pt>
                  <c:pt idx="9">
                    <c:v>Freight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'Simple Menu Dashboard-aug'!$L$12:$L$21</c:f>
              <c:numCache>
                <c:formatCode>#,##0</c:formatCode>
                <c:ptCount val="10"/>
                <c:pt idx="0">
                  <c:v>386465</c:v>
                </c:pt>
                <c:pt idx="1">
                  <c:v>147931</c:v>
                </c:pt>
                <c:pt idx="2">
                  <c:v>73079</c:v>
                </c:pt>
                <c:pt idx="3">
                  <c:v>46590</c:v>
                </c:pt>
                <c:pt idx="4">
                  <c:v>41425</c:v>
                </c:pt>
                <c:pt idx="5">
                  <c:v>38940</c:v>
                </c:pt>
                <c:pt idx="6">
                  <c:v>36372</c:v>
                </c:pt>
                <c:pt idx="7">
                  <c:v>35370</c:v>
                </c:pt>
                <c:pt idx="8">
                  <c:v>29823</c:v>
                </c:pt>
                <c:pt idx="9">
                  <c:v>15310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F-4797-AC12-91978ABD8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7329119"/>
        <c:axId val="1473673967"/>
      </c:barChart>
      <c:catAx>
        <c:axId val="15773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3967"/>
        <c:crosses val="autoZero"/>
        <c:auto val="1"/>
        <c:lblAlgn val="ctr"/>
        <c:lblOffset val="100"/>
        <c:noMultiLvlLbl val="0"/>
      </c:catAx>
      <c:valAx>
        <c:axId val="14736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Public vs Prison Expense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'Simple Menu Dashboard-aug'!$O$11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A2-485F-81BF-A9F5033274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A2-485F-81BF-A9F5033274E6}"/>
              </c:ext>
            </c:extLst>
          </c:dPt>
          <c:dLbls>
            <c:dLbl>
              <c:idx val="0"/>
              <c:layout>
                <c:manualLayout>
                  <c:x val="-0.18955412835971019"/>
                  <c:y val="-2.961795591140285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370988992677928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5A2-485F-81BF-A9F5033274E6}"/>
                </c:ext>
              </c:extLst>
            </c:dLbl>
            <c:dLbl>
              <c:idx val="1"/>
              <c:layout>
                <c:manualLayout>
                  <c:x val="0.16456073570912966"/>
                  <c:y val="-8.705868142417123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41978179112635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5A2-485F-81BF-A9F5033274E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Dashboard-aug'!$N$12:$N$13</c:f>
              <c:strCache>
                <c:ptCount val="2"/>
                <c:pt idx="0">
                  <c:v>Public</c:v>
                </c:pt>
                <c:pt idx="1">
                  <c:v>Prison</c:v>
                </c:pt>
              </c:strCache>
            </c:strRef>
          </c:cat>
          <c:val>
            <c:numRef>
              <c:f>'Simple Menu Dashboard-aug'!$O$12:$O$13</c:f>
              <c:numCache>
                <c:formatCode>#,##0</c:formatCode>
                <c:ptCount val="2"/>
                <c:pt idx="0">
                  <c:v>394953</c:v>
                </c:pt>
                <c:pt idx="1">
                  <c:v>456352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2-485F-81BF-A9F503327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 Mix</a:t>
            </a:r>
          </a:p>
        </c:rich>
      </c:tx>
      <c:layout>
        <c:manualLayout>
          <c:xMode val="edge"/>
          <c:yMode val="edge"/>
          <c:x val="0.4095454364983081"/>
          <c:y val="2.500000820210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Menu Dashboard-aug'!$O$16</c:f>
              <c:strCache>
                <c:ptCount val="1"/>
                <c:pt idx="0">
                  <c:v>Patients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4F-481F-B7CB-5E6A51FC22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4F-481F-B7CB-5E6A51FC222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4F-481F-B7CB-5E6A51FC222A}"/>
              </c:ext>
            </c:extLst>
          </c:dPt>
          <c:dLbls>
            <c:dLbl>
              <c:idx val="0"/>
              <c:layout>
                <c:manualLayout>
                  <c:x val="0.17385620194195317"/>
                  <c:y val="-2.28084064332042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4F-481F-B7CB-5E6A51FC222A}"/>
                </c:ext>
              </c:extLst>
            </c:dLbl>
            <c:dLbl>
              <c:idx val="1"/>
              <c:layout>
                <c:manualLayout>
                  <c:x val="-0.18683181944511842"/>
                  <c:y val="-8.333336067367476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4F-481F-B7CB-5E6A51FC222A}"/>
                </c:ext>
              </c:extLst>
            </c:dLbl>
            <c:dLbl>
              <c:idx val="2"/>
              <c:layout>
                <c:manualLayout>
                  <c:x val="-4.1082985190511692E-2"/>
                  <c:y val="-6.966537718680354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4F-481F-B7CB-5E6A51FC222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Dashboard-aug'!$N$17:$N$19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Child</c:v>
                </c:pt>
              </c:strCache>
            </c:strRef>
          </c:cat>
          <c:val>
            <c:numRef>
              <c:f>'Simple Menu Dashboard-aug'!$O$17:$O$19</c:f>
              <c:numCache>
                <c:formatCode>#,##0</c:formatCode>
                <c:ptCount val="3"/>
                <c:pt idx="0">
                  <c:v>185995</c:v>
                </c:pt>
                <c:pt idx="1">
                  <c:v>30140</c:v>
                </c:pt>
                <c:pt idx="2">
                  <c:v>13351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4F-481F-B7CB-5E6A51FC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Clinics by Selected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47584248105585"/>
          <c:y val="0.2209573083040407"/>
          <c:w val="0.80737847383013406"/>
          <c:h val="0.7300757969447137"/>
        </c:manualLayout>
      </c:layout>
      <c:barChart>
        <c:barDir val="bar"/>
        <c:grouping val="clustered"/>
        <c:varyColors val="0"/>
        <c:ser>
          <c:idx val="0"/>
          <c:order val="0"/>
          <c:tx>
            <c:v>Selected Metric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'Simple Menu Dashboard-sep'!$B$12:$B$26</c:f>
              <c:strCache>
                <c:ptCount val="1"/>
                <c:pt idx="0">
                  <c:v>QCNM DP &amp; CF Malir, Karachi</c:v>
                </c:pt>
              </c:strCache>
            </c:strRef>
          </c:cat>
          <c:val>
            <c:numRef>
              <c:f>'Simple Menu Dashboard-sep'!$F$12:$F$26</c:f>
              <c:numCache>
                <c:formatCode>#,##0</c:formatCode>
                <c:ptCount val="15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9-4C1F-92A1-28B7C1DE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77392223"/>
        <c:axId val="1473672047"/>
      </c:barChart>
      <c:catAx>
        <c:axId val="15773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2047"/>
        <c:crosses val="autoZero"/>
        <c:auto val="1"/>
        <c:lblAlgn val="ctr"/>
        <c:lblOffset val="100"/>
        <c:noMultiLvlLbl val="0"/>
      </c:catAx>
      <c:valAx>
        <c:axId val="147367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Head 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'Simple Menu Dashboard-sep'!$J$12:$K$21</c:f>
              <c:multiLvlStrCache>
                <c:ptCount val="10"/>
                <c:lvl>
                  <c:pt idx="0">
                    <c:v>Printing</c:v>
                  </c:pt>
                  <c:pt idx="1">
                    <c:v>Convayance</c:v>
                  </c:pt>
                  <c:pt idx="2">
                    <c:v>Purchasing</c:v>
                  </c:pt>
                  <c:pt idx="3">
                    <c:v>Freight</c:v>
                  </c:pt>
                  <c:pt idx="4">
                    <c:v>Packing</c:v>
                  </c:pt>
                  <c:pt idx="5">
                    <c:v>Postage</c:v>
                  </c:pt>
                  <c:pt idx="6">
                    <c:v>Repair</c:v>
                  </c:pt>
                  <c:pt idx="7">
                    <c:v>Stationary</c:v>
                  </c:pt>
                  <c:pt idx="8">
                    <c:v>Utilities</c:v>
                  </c:pt>
                  <c:pt idx="9">
                    <c:v>Misc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'Simple Menu Dashboard-sep'!$L$12:$L$21</c:f>
              <c:numCache>
                <c:formatCode>#,##0</c:formatCode>
                <c:ptCount val="10"/>
                <c:pt idx="0">
                  <c:v>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5-4052-96B5-613F3614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7329119"/>
        <c:axId val="1473673967"/>
      </c:barChart>
      <c:catAx>
        <c:axId val="15773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73967"/>
        <c:crosses val="autoZero"/>
        <c:auto val="1"/>
        <c:lblAlgn val="ctr"/>
        <c:lblOffset val="100"/>
        <c:noMultiLvlLbl val="0"/>
      </c:catAx>
      <c:valAx>
        <c:axId val="14736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Public vs Prison Expense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'Simple Menu Dashboard-sep'!$O$11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56-4AB1-BA93-F4307DB817A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56-4AB1-BA93-F4307DB817A2}"/>
              </c:ext>
            </c:extLst>
          </c:dPt>
          <c:dLbls>
            <c:dLbl>
              <c:idx val="0"/>
              <c:layout>
                <c:manualLayout>
                  <c:x val="-0.18955412835971019"/>
                  <c:y val="-2.961795591140285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370988992677928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56-4AB1-BA93-F4307DB817A2}"/>
                </c:ext>
              </c:extLst>
            </c:dLbl>
            <c:dLbl>
              <c:idx val="1"/>
              <c:layout>
                <c:manualLayout>
                  <c:x val="0.16456073570912966"/>
                  <c:y val="-8.705868142417123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41978179112635"/>
                      <c:h val="0.169832833752387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B56-4AB1-BA93-F4307DB817A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Dashboard-sep'!$N$12:$N$13</c:f>
              <c:strCache>
                <c:ptCount val="2"/>
                <c:pt idx="0">
                  <c:v>Public</c:v>
                </c:pt>
                <c:pt idx="1">
                  <c:v>Prison</c:v>
                </c:pt>
              </c:strCache>
            </c:strRef>
          </c:cat>
          <c:val>
            <c:numRef>
              <c:f>'Simple Menu Dashboard-sep'!$O$12:$O$13</c:f>
              <c:numCache>
                <c:formatCode>#,##0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56-4AB1-BA93-F4307DB81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Patient Mix</a:t>
            </a:r>
          </a:p>
        </c:rich>
      </c:tx>
      <c:layout>
        <c:manualLayout>
          <c:xMode val="edge"/>
          <c:yMode val="edge"/>
          <c:x val="0.4095454364983081"/>
          <c:y val="2.500000820210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'Simple Menu Dashboard-sep'!$O$16</c:f>
              <c:strCache>
                <c:ptCount val="1"/>
                <c:pt idx="0">
                  <c:v>Patients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80-4C96-A363-2B2ADCB33B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80-4C96-A363-2B2ADCB33B8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80-4C96-A363-2B2ADCB33B87}"/>
              </c:ext>
            </c:extLst>
          </c:dPt>
          <c:dLbls>
            <c:dLbl>
              <c:idx val="0"/>
              <c:layout>
                <c:manualLayout>
                  <c:x val="0.17385620194195317"/>
                  <c:y val="-2.28084064332042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80-4C96-A363-2B2ADCB33B87}"/>
                </c:ext>
              </c:extLst>
            </c:dLbl>
            <c:dLbl>
              <c:idx val="1"/>
              <c:layout>
                <c:manualLayout>
                  <c:x val="-0.18683181944511842"/>
                  <c:y val="-8.333336067367476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0-4C96-A363-2B2ADCB33B87}"/>
                </c:ext>
              </c:extLst>
            </c:dLbl>
            <c:dLbl>
              <c:idx val="2"/>
              <c:layout>
                <c:manualLayout>
                  <c:x val="-4.1082985190511692E-2"/>
                  <c:y val="-6.966537718680354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80-4C96-A363-2B2ADCB33B8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'Simple Menu Dashboard-sep'!$N$17:$N$19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Child</c:v>
                </c:pt>
              </c:strCache>
            </c:strRef>
          </c:cat>
          <c:val>
            <c:numRef>
              <c:f>'Simple Menu Dashboard-sep'!$O$17:$O$19</c:f>
              <c:numCache>
                <c:formatCode>#,##0</c:formatCode>
                <c:ptCount val="3"/>
                <c:pt idx="0">
                  <c:v>301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80-4C96-A363-2B2ADCB3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22002</xdr:colOff>
      <xdr:row>56</xdr:row>
      <xdr:rowOff>454</xdr:rowOff>
    </xdr:from>
    <xdr:to>
      <xdr:col>22</xdr:col>
      <xdr:colOff>141745</xdr:colOff>
      <xdr:row>81</xdr:row>
      <xdr:rowOff>66007</xdr:rowOff>
    </xdr:to>
    <xdr:graphicFrame macro="">
      <xdr:nvGraphicFramePr>
        <xdr:cNvPr id="2" name="Simple Top Clinics">
          <a:extLst>
            <a:ext uri="{FF2B5EF4-FFF2-40B4-BE49-F238E27FC236}">
              <a16:creationId xmlns:a16="http://schemas.microsoft.com/office/drawing/2014/main" id="{C5B23B14-E2D5-4C45-A627-8E9460A0C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14274</xdr:colOff>
      <xdr:row>34</xdr:row>
      <xdr:rowOff>9790</xdr:rowOff>
    </xdr:from>
    <xdr:to>
      <xdr:col>16</xdr:col>
      <xdr:colOff>583658</xdr:colOff>
      <xdr:row>55</xdr:row>
      <xdr:rowOff>140819</xdr:rowOff>
    </xdr:to>
    <xdr:graphicFrame macro="">
      <xdr:nvGraphicFramePr>
        <xdr:cNvPr id="3" name="Simple Budget Heads">
          <a:extLst>
            <a:ext uri="{FF2B5EF4-FFF2-40B4-BE49-F238E27FC236}">
              <a16:creationId xmlns:a16="http://schemas.microsoft.com/office/drawing/2014/main" id="{FF092ECD-B481-4858-9925-AD4637EC7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345795</xdr:colOff>
      <xdr:row>81</xdr:row>
      <xdr:rowOff>83640</xdr:rowOff>
    </xdr:from>
    <xdr:to>
      <xdr:col>22</xdr:col>
      <xdr:colOff>128081</xdr:colOff>
      <xdr:row>98</xdr:row>
      <xdr:rowOff>83639</xdr:rowOff>
    </xdr:to>
    <xdr:graphicFrame macro="">
      <xdr:nvGraphicFramePr>
        <xdr:cNvPr id="4" name="Simple Section Pie">
          <a:extLst>
            <a:ext uri="{FF2B5EF4-FFF2-40B4-BE49-F238E27FC236}">
              <a16:creationId xmlns:a16="http://schemas.microsoft.com/office/drawing/2014/main" id="{6D259BF9-2541-4452-8D90-90A50287D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19224</xdr:colOff>
      <xdr:row>81</xdr:row>
      <xdr:rowOff>80612</xdr:rowOff>
    </xdr:from>
    <xdr:to>
      <xdr:col>14</xdr:col>
      <xdr:colOff>356680</xdr:colOff>
      <xdr:row>98</xdr:row>
      <xdr:rowOff>80611</xdr:rowOff>
    </xdr:to>
    <xdr:graphicFrame macro="">
      <xdr:nvGraphicFramePr>
        <xdr:cNvPr id="5" name="Simple Patient Mix">
          <a:extLst>
            <a:ext uri="{FF2B5EF4-FFF2-40B4-BE49-F238E27FC236}">
              <a16:creationId xmlns:a16="http://schemas.microsoft.com/office/drawing/2014/main" id="{E6EBC80E-6921-48F7-9F0B-ABA2BCE61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22002</xdr:colOff>
      <xdr:row>56</xdr:row>
      <xdr:rowOff>454</xdr:rowOff>
    </xdr:from>
    <xdr:to>
      <xdr:col>22</xdr:col>
      <xdr:colOff>141745</xdr:colOff>
      <xdr:row>81</xdr:row>
      <xdr:rowOff>66007</xdr:rowOff>
    </xdr:to>
    <xdr:graphicFrame macro="">
      <xdr:nvGraphicFramePr>
        <xdr:cNvPr id="2" name="Simple Top Clinics">
          <a:extLst>
            <a:ext uri="{FF2B5EF4-FFF2-40B4-BE49-F238E27FC236}">
              <a16:creationId xmlns:a16="http://schemas.microsoft.com/office/drawing/2014/main" id="{E3EBBEE4-A63A-4153-9474-7E757E889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14274</xdr:colOff>
      <xdr:row>34</xdr:row>
      <xdr:rowOff>9790</xdr:rowOff>
    </xdr:from>
    <xdr:to>
      <xdr:col>16</xdr:col>
      <xdr:colOff>583658</xdr:colOff>
      <xdr:row>55</xdr:row>
      <xdr:rowOff>140819</xdr:rowOff>
    </xdr:to>
    <xdr:graphicFrame macro="">
      <xdr:nvGraphicFramePr>
        <xdr:cNvPr id="3" name="Simple Budget Heads">
          <a:extLst>
            <a:ext uri="{FF2B5EF4-FFF2-40B4-BE49-F238E27FC236}">
              <a16:creationId xmlns:a16="http://schemas.microsoft.com/office/drawing/2014/main" id="{2C62FCC3-A5CA-49DE-AEBD-E41315E45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345795</xdr:colOff>
      <xdr:row>81</xdr:row>
      <xdr:rowOff>83640</xdr:rowOff>
    </xdr:from>
    <xdr:to>
      <xdr:col>22</xdr:col>
      <xdr:colOff>128081</xdr:colOff>
      <xdr:row>98</xdr:row>
      <xdr:rowOff>83639</xdr:rowOff>
    </xdr:to>
    <xdr:graphicFrame macro="">
      <xdr:nvGraphicFramePr>
        <xdr:cNvPr id="4" name="Simple Section Pie">
          <a:extLst>
            <a:ext uri="{FF2B5EF4-FFF2-40B4-BE49-F238E27FC236}">
              <a16:creationId xmlns:a16="http://schemas.microsoft.com/office/drawing/2014/main" id="{27060EE9-B126-435D-8EF6-768F95BA8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19224</xdr:colOff>
      <xdr:row>81</xdr:row>
      <xdr:rowOff>80612</xdr:rowOff>
    </xdr:from>
    <xdr:to>
      <xdr:col>14</xdr:col>
      <xdr:colOff>356680</xdr:colOff>
      <xdr:row>98</xdr:row>
      <xdr:rowOff>80611</xdr:rowOff>
    </xdr:to>
    <xdr:graphicFrame macro="">
      <xdr:nvGraphicFramePr>
        <xdr:cNvPr id="5" name="Simple Patient Mix">
          <a:extLst>
            <a:ext uri="{FF2B5EF4-FFF2-40B4-BE49-F238E27FC236}">
              <a16:creationId xmlns:a16="http://schemas.microsoft.com/office/drawing/2014/main" id="{37832F26-7686-437C-A4F9-C588ABC8F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22002</xdr:colOff>
      <xdr:row>56</xdr:row>
      <xdr:rowOff>454</xdr:rowOff>
    </xdr:from>
    <xdr:to>
      <xdr:col>22</xdr:col>
      <xdr:colOff>141745</xdr:colOff>
      <xdr:row>81</xdr:row>
      <xdr:rowOff>66007</xdr:rowOff>
    </xdr:to>
    <xdr:graphicFrame macro="">
      <xdr:nvGraphicFramePr>
        <xdr:cNvPr id="2" name="Simple Top Clinics">
          <a:extLst>
            <a:ext uri="{FF2B5EF4-FFF2-40B4-BE49-F238E27FC236}">
              <a16:creationId xmlns:a16="http://schemas.microsoft.com/office/drawing/2014/main" id="{A0C1A83B-C7D8-414E-899F-2D44E731F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14274</xdr:colOff>
      <xdr:row>34</xdr:row>
      <xdr:rowOff>9790</xdr:rowOff>
    </xdr:from>
    <xdr:to>
      <xdr:col>16</xdr:col>
      <xdr:colOff>583658</xdr:colOff>
      <xdr:row>55</xdr:row>
      <xdr:rowOff>140819</xdr:rowOff>
    </xdr:to>
    <xdr:graphicFrame macro="">
      <xdr:nvGraphicFramePr>
        <xdr:cNvPr id="3" name="Simple Budget Heads">
          <a:extLst>
            <a:ext uri="{FF2B5EF4-FFF2-40B4-BE49-F238E27FC236}">
              <a16:creationId xmlns:a16="http://schemas.microsoft.com/office/drawing/2014/main" id="{2C3D2DF1-3DC3-404A-84DC-39F80D509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345795</xdr:colOff>
      <xdr:row>81</xdr:row>
      <xdr:rowOff>83640</xdr:rowOff>
    </xdr:from>
    <xdr:to>
      <xdr:col>22</xdr:col>
      <xdr:colOff>128081</xdr:colOff>
      <xdr:row>98</xdr:row>
      <xdr:rowOff>83639</xdr:rowOff>
    </xdr:to>
    <xdr:graphicFrame macro="">
      <xdr:nvGraphicFramePr>
        <xdr:cNvPr id="4" name="Simple Section Pie">
          <a:extLst>
            <a:ext uri="{FF2B5EF4-FFF2-40B4-BE49-F238E27FC236}">
              <a16:creationId xmlns:a16="http://schemas.microsoft.com/office/drawing/2014/main" id="{4E95ED5D-BF5E-450C-8EF4-DACFED9A8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19224</xdr:colOff>
      <xdr:row>81</xdr:row>
      <xdr:rowOff>80612</xdr:rowOff>
    </xdr:from>
    <xdr:to>
      <xdr:col>14</xdr:col>
      <xdr:colOff>356680</xdr:colOff>
      <xdr:row>98</xdr:row>
      <xdr:rowOff>80611</xdr:rowOff>
    </xdr:to>
    <xdr:graphicFrame macro="">
      <xdr:nvGraphicFramePr>
        <xdr:cNvPr id="5" name="Simple Patient Mix">
          <a:extLst>
            <a:ext uri="{FF2B5EF4-FFF2-40B4-BE49-F238E27FC236}">
              <a16:creationId xmlns:a16="http://schemas.microsoft.com/office/drawing/2014/main" id="{2091CA8E-7B51-48F3-ACD9-23C236519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22002</xdr:colOff>
      <xdr:row>56</xdr:row>
      <xdr:rowOff>454</xdr:rowOff>
    </xdr:from>
    <xdr:to>
      <xdr:col>22</xdr:col>
      <xdr:colOff>141745</xdr:colOff>
      <xdr:row>81</xdr:row>
      <xdr:rowOff>66007</xdr:rowOff>
    </xdr:to>
    <xdr:graphicFrame macro="">
      <xdr:nvGraphicFramePr>
        <xdr:cNvPr id="2" name="Simple Top Clinics">
          <a:extLst>
            <a:ext uri="{FF2B5EF4-FFF2-40B4-BE49-F238E27FC236}">
              <a16:creationId xmlns:a16="http://schemas.microsoft.com/office/drawing/2014/main" id="{31579EAD-6954-47C0-A89B-260DAEF8D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14274</xdr:colOff>
      <xdr:row>34</xdr:row>
      <xdr:rowOff>9790</xdr:rowOff>
    </xdr:from>
    <xdr:to>
      <xdr:col>16</xdr:col>
      <xdr:colOff>583658</xdr:colOff>
      <xdr:row>55</xdr:row>
      <xdr:rowOff>140819</xdr:rowOff>
    </xdr:to>
    <xdr:graphicFrame macro="">
      <xdr:nvGraphicFramePr>
        <xdr:cNvPr id="3" name="Simple Budget Heads">
          <a:extLst>
            <a:ext uri="{FF2B5EF4-FFF2-40B4-BE49-F238E27FC236}">
              <a16:creationId xmlns:a16="http://schemas.microsoft.com/office/drawing/2014/main" id="{5858B277-4EDD-4992-892D-E7A720C51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345795</xdr:colOff>
      <xdr:row>81</xdr:row>
      <xdr:rowOff>83640</xdr:rowOff>
    </xdr:from>
    <xdr:to>
      <xdr:col>22</xdr:col>
      <xdr:colOff>128081</xdr:colOff>
      <xdr:row>98</xdr:row>
      <xdr:rowOff>83639</xdr:rowOff>
    </xdr:to>
    <xdr:graphicFrame macro="">
      <xdr:nvGraphicFramePr>
        <xdr:cNvPr id="4" name="Simple Section Pie">
          <a:extLst>
            <a:ext uri="{FF2B5EF4-FFF2-40B4-BE49-F238E27FC236}">
              <a16:creationId xmlns:a16="http://schemas.microsoft.com/office/drawing/2014/main" id="{71E07536-1956-4F03-8743-AE5B9E72E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19224</xdr:colOff>
      <xdr:row>81</xdr:row>
      <xdr:rowOff>80612</xdr:rowOff>
    </xdr:from>
    <xdr:to>
      <xdr:col>14</xdr:col>
      <xdr:colOff>356680</xdr:colOff>
      <xdr:row>98</xdr:row>
      <xdr:rowOff>80611</xdr:rowOff>
    </xdr:to>
    <xdr:graphicFrame macro="">
      <xdr:nvGraphicFramePr>
        <xdr:cNvPr id="5" name="Simple Patient Mix">
          <a:extLst>
            <a:ext uri="{FF2B5EF4-FFF2-40B4-BE49-F238E27FC236}">
              <a16:creationId xmlns:a16="http://schemas.microsoft.com/office/drawing/2014/main" id="{59A46DD2-B23A-4FA1-A0B8-834C31CC8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22002</xdr:colOff>
      <xdr:row>56</xdr:row>
      <xdr:rowOff>454</xdr:rowOff>
    </xdr:from>
    <xdr:to>
      <xdr:col>22</xdr:col>
      <xdr:colOff>141745</xdr:colOff>
      <xdr:row>81</xdr:row>
      <xdr:rowOff>66007</xdr:rowOff>
    </xdr:to>
    <xdr:graphicFrame macro="">
      <xdr:nvGraphicFramePr>
        <xdr:cNvPr id="2" name="Simple Top Clinics">
          <a:extLst>
            <a:ext uri="{FF2B5EF4-FFF2-40B4-BE49-F238E27FC236}">
              <a16:creationId xmlns:a16="http://schemas.microsoft.com/office/drawing/2014/main" id="{7FEA4A58-389E-46F5-B23B-CB04F0840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14274</xdr:colOff>
      <xdr:row>34</xdr:row>
      <xdr:rowOff>9790</xdr:rowOff>
    </xdr:from>
    <xdr:to>
      <xdr:col>16</xdr:col>
      <xdr:colOff>583658</xdr:colOff>
      <xdr:row>55</xdr:row>
      <xdr:rowOff>140819</xdr:rowOff>
    </xdr:to>
    <xdr:graphicFrame macro="">
      <xdr:nvGraphicFramePr>
        <xdr:cNvPr id="3" name="Simple Budget Heads">
          <a:extLst>
            <a:ext uri="{FF2B5EF4-FFF2-40B4-BE49-F238E27FC236}">
              <a16:creationId xmlns:a16="http://schemas.microsoft.com/office/drawing/2014/main" id="{71741584-C334-4145-B0D2-CB501B148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345795</xdr:colOff>
      <xdr:row>81</xdr:row>
      <xdr:rowOff>83640</xdr:rowOff>
    </xdr:from>
    <xdr:to>
      <xdr:col>22</xdr:col>
      <xdr:colOff>128081</xdr:colOff>
      <xdr:row>98</xdr:row>
      <xdr:rowOff>83639</xdr:rowOff>
    </xdr:to>
    <xdr:graphicFrame macro="">
      <xdr:nvGraphicFramePr>
        <xdr:cNvPr id="4" name="Simple Section Pie">
          <a:extLst>
            <a:ext uri="{FF2B5EF4-FFF2-40B4-BE49-F238E27FC236}">
              <a16:creationId xmlns:a16="http://schemas.microsoft.com/office/drawing/2014/main" id="{934B51A8-79F8-4D1D-AF5B-E621F4B90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19224</xdr:colOff>
      <xdr:row>81</xdr:row>
      <xdr:rowOff>80612</xdr:rowOff>
    </xdr:from>
    <xdr:to>
      <xdr:col>14</xdr:col>
      <xdr:colOff>356680</xdr:colOff>
      <xdr:row>98</xdr:row>
      <xdr:rowOff>80611</xdr:rowOff>
    </xdr:to>
    <xdr:graphicFrame macro="">
      <xdr:nvGraphicFramePr>
        <xdr:cNvPr id="5" name="Simple Patient Mix">
          <a:extLst>
            <a:ext uri="{FF2B5EF4-FFF2-40B4-BE49-F238E27FC236}">
              <a16:creationId xmlns:a16="http://schemas.microsoft.com/office/drawing/2014/main" id="{83215E08-A832-4A74-BBCA-35F361577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UG/150826%20QCNMs%20Expnenses%20AUG.xlsx" TargetMode="External"/><Relationship Id="rId2" Type="http://schemas.openxmlformats.org/officeDocument/2006/relationships/externalLinkPath" Target="file:///D:\OFFICE\QF\Expenses\AUG\150826%20QCNMs%20Expnenses%20AUG.xlsx" TargetMode="External"/><Relationship Id="rId1" Type="http://schemas.openxmlformats.org/officeDocument/2006/relationships/externalLinkPath" Target="/OFFICE/QF/Expenses/AUG/150826%20QCNMs%20Expnenses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ense Master June-26"/>
      <sheetName val="Sheet1"/>
      <sheetName val="Patient Data June-26"/>
      <sheetName val="QCNM Expense Summary"/>
      <sheetName val="US 42"/>
      <sheetName val="Society Act"/>
      <sheetName val="Trust Act"/>
      <sheetName val="Simple Menu Dashboard"/>
    </sheetNames>
    <sheetDataSet>
      <sheetData sheetId="0">
        <row r="7">
          <cell r="G7">
            <v>1370</v>
          </cell>
          <cell r="H7"/>
          <cell r="I7"/>
          <cell r="J7">
            <v>7150</v>
          </cell>
          <cell r="K7"/>
          <cell r="L7"/>
          <cell r="M7"/>
          <cell r="N7"/>
          <cell r="O7">
            <v>1000</v>
          </cell>
          <cell r="P7"/>
          <cell r="R7">
            <v>1304</v>
          </cell>
          <cell r="S7">
            <v>539</v>
          </cell>
          <cell r="T7">
            <v>249</v>
          </cell>
          <cell r="V7">
            <v>2880</v>
          </cell>
          <cell r="W7">
            <v>0</v>
          </cell>
        </row>
        <row r="8">
          <cell r="G8">
            <v>700</v>
          </cell>
          <cell r="H8"/>
          <cell r="I8"/>
          <cell r="J8"/>
          <cell r="K8"/>
          <cell r="L8"/>
          <cell r="M8"/>
          <cell r="N8"/>
          <cell r="O8">
            <v>1000</v>
          </cell>
          <cell r="P8"/>
          <cell r="R8">
            <v>366</v>
          </cell>
          <cell r="S8">
            <v>240</v>
          </cell>
          <cell r="T8">
            <v>318</v>
          </cell>
          <cell r="V8">
            <v>1482</v>
          </cell>
          <cell r="W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R9">
            <v>507</v>
          </cell>
          <cell r="S9"/>
          <cell r="T9"/>
          <cell r="V9">
            <v>507</v>
          </cell>
          <cell r="W9">
            <v>0</v>
          </cell>
        </row>
        <row r="10">
          <cell r="G10">
            <v>16589</v>
          </cell>
          <cell r="H10">
            <v>2180</v>
          </cell>
          <cell r="I10"/>
          <cell r="J10"/>
          <cell r="K10"/>
          <cell r="L10"/>
          <cell r="M10">
            <v>350</v>
          </cell>
          <cell r="N10">
            <v>1500</v>
          </cell>
          <cell r="O10"/>
          <cell r="P10">
            <v>1000</v>
          </cell>
          <cell r="R10">
            <v>882</v>
          </cell>
          <cell r="S10">
            <v>823</v>
          </cell>
          <cell r="T10">
            <v>402</v>
          </cell>
          <cell r="V10">
            <v>3332</v>
          </cell>
          <cell r="W10">
            <v>0</v>
          </cell>
        </row>
        <row r="11">
          <cell r="G11">
            <v>8600</v>
          </cell>
          <cell r="H11">
            <v>2100</v>
          </cell>
          <cell r="I11"/>
          <cell r="J11"/>
          <cell r="K11"/>
          <cell r="L11"/>
          <cell r="M11"/>
          <cell r="N11">
            <v>1150</v>
          </cell>
          <cell r="O11"/>
          <cell r="P11">
            <v>1000</v>
          </cell>
          <cell r="R11">
            <v>1104</v>
          </cell>
          <cell r="S11">
            <v>878</v>
          </cell>
          <cell r="T11">
            <v>294</v>
          </cell>
          <cell r="V11">
            <v>3448</v>
          </cell>
          <cell r="W11">
            <v>0</v>
          </cell>
        </row>
        <row r="12">
          <cell r="G12"/>
          <cell r="H12"/>
          <cell r="I12"/>
          <cell r="J12">
            <v>3000</v>
          </cell>
          <cell r="K12"/>
          <cell r="L12"/>
          <cell r="M12"/>
          <cell r="N12"/>
          <cell r="O12"/>
          <cell r="P12"/>
          <cell r="R12">
            <v>910</v>
          </cell>
          <cell r="S12">
            <v>405</v>
          </cell>
          <cell r="T12">
            <v>280</v>
          </cell>
          <cell r="V12">
            <v>2280</v>
          </cell>
          <cell r="W12">
            <v>0</v>
          </cell>
        </row>
        <row r="13">
          <cell r="G13"/>
          <cell r="H13"/>
          <cell r="I13"/>
          <cell r="J13"/>
          <cell r="K13"/>
          <cell r="L13">
            <v>480</v>
          </cell>
          <cell r="M13"/>
          <cell r="N13"/>
          <cell r="O13"/>
          <cell r="P13"/>
          <cell r="R13">
            <v>504</v>
          </cell>
          <cell r="S13">
            <v>1199</v>
          </cell>
          <cell r="T13">
            <v>289</v>
          </cell>
          <cell r="V13">
            <v>3480</v>
          </cell>
          <cell r="W13">
            <v>0</v>
          </cell>
        </row>
        <row r="14">
          <cell r="G14"/>
          <cell r="H14">
            <v>1000</v>
          </cell>
          <cell r="I14"/>
          <cell r="J14">
            <v>1055</v>
          </cell>
          <cell r="K14"/>
          <cell r="L14">
            <v>250</v>
          </cell>
          <cell r="M14"/>
          <cell r="N14">
            <v>300</v>
          </cell>
          <cell r="O14"/>
          <cell r="P14"/>
          <cell r="R14">
            <v>267</v>
          </cell>
          <cell r="S14">
            <v>1727</v>
          </cell>
          <cell r="T14">
            <v>153</v>
          </cell>
          <cell r="V14">
            <v>4027</v>
          </cell>
          <cell r="W14">
            <v>0</v>
          </cell>
        </row>
        <row r="15"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R15">
            <v>767</v>
          </cell>
          <cell r="S15">
            <v>1045</v>
          </cell>
          <cell r="T15">
            <v>352</v>
          </cell>
          <cell r="V15">
            <v>3561</v>
          </cell>
          <cell r="W15">
            <v>0</v>
          </cell>
        </row>
        <row r="16">
          <cell r="G16"/>
          <cell r="H16"/>
          <cell r="I16"/>
          <cell r="J16"/>
          <cell r="K16"/>
          <cell r="L16"/>
          <cell r="M16"/>
          <cell r="N16"/>
          <cell r="O16">
            <v>1000</v>
          </cell>
          <cell r="P16"/>
          <cell r="R16">
            <v>1079</v>
          </cell>
          <cell r="S16"/>
          <cell r="T16"/>
          <cell r="V16">
            <v>1079</v>
          </cell>
          <cell r="W16">
            <v>0</v>
          </cell>
        </row>
        <row r="17"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R17">
            <v>2208</v>
          </cell>
          <cell r="S17"/>
          <cell r="T17"/>
          <cell r="V17">
            <v>2208</v>
          </cell>
          <cell r="W17">
            <v>0</v>
          </cell>
        </row>
        <row r="18">
          <cell r="G18"/>
          <cell r="H18">
            <v>1000</v>
          </cell>
          <cell r="I18"/>
          <cell r="J18"/>
          <cell r="K18"/>
          <cell r="L18">
            <v>625</v>
          </cell>
          <cell r="M18"/>
          <cell r="N18"/>
          <cell r="O18"/>
          <cell r="P18"/>
          <cell r="R18">
            <v>2009</v>
          </cell>
          <cell r="S18"/>
          <cell r="T18"/>
          <cell r="V18">
            <v>2009</v>
          </cell>
          <cell r="W18">
            <v>0</v>
          </cell>
        </row>
        <row r="19">
          <cell r="G19"/>
          <cell r="H19"/>
          <cell r="I19"/>
          <cell r="J19"/>
          <cell r="K19"/>
          <cell r="L19"/>
          <cell r="M19">
            <v>550</v>
          </cell>
          <cell r="N19"/>
          <cell r="O19"/>
          <cell r="P19"/>
          <cell r="R19">
            <v>680</v>
          </cell>
          <cell r="S19">
            <v>4</v>
          </cell>
          <cell r="T19"/>
          <cell r="V19">
            <v>688</v>
          </cell>
          <cell r="W19">
            <v>0</v>
          </cell>
        </row>
        <row r="20">
          <cell r="G20"/>
          <cell r="H20"/>
          <cell r="I20"/>
          <cell r="J20"/>
          <cell r="K20"/>
          <cell r="L20">
            <v>340</v>
          </cell>
          <cell r="M20"/>
          <cell r="N20"/>
          <cell r="O20"/>
          <cell r="P20">
            <v>500</v>
          </cell>
          <cell r="R20">
            <v>679</v>
          </cell>
          <cell r="S20"/>
          <cell r="T20"/>
          <cell r="V20">
            <v>679</v>
          </cell>
          <cell r="W20">
            <v>0</v>
          </cell>
        </row>
        <row r="21">
          <cell r="G21"/>
          <cell r="H21">
            <v>500</v>
          </cell>
          <cell r="I21"/>
          <cell r="J21">
            <v>1260</v>
          </cell>
          <cell r="K21"/>
          <cell r="L21"/>
          <cell r="M21"/>
          <cell r="N21">
            <v>300</v>
          </cell>
          <cell r="O21"/>
          <cell r="P21"/>
          <cell r="R21">
            <v>1202</v>
          </cell>
          <cell r="S21"/>
          <cell r="T21"/>
          <cell r="V21">
            <v>1202</v>
          </cell>
          <cell r="W21">
            <v>0</v>
          </cell>
        </row>
        <row r="22">
          <cell r="G22"/>
          <cell r="I22">
            <v>1000</v>
          </cell>
          <cell r="J22"/>
          <cell r="K22"/>
          <cell r="L22">
            <v>550</v>
          </cell>
          <cell r="M22"/>
          <cell r="N22"/>
          <cell r="O22"/>
          <cell r="P22"/>
          <cell r="R22">
            <v>1409</v>
          </cell>
          <cell r="S22"/>
          <cell r="T22"/>
          <cell r="V22">
            <v>1409</v>
          </cell>
          <cell r="W22">
            <v>0</v>
          </cell>
        </row>
        <row r="23">
          <cell r="G23"/>
          <cell r="H23"/>
          <cell r="I23"/>
          <cell r="J23"/>
          <cell r="K23"/>
          <cell r="L23">
            <v>350</v>
          </cell>
          <cell r="M23"/>
          <cell r="N23"/>
          <cell r="O23">
            <v>500</v>
          </cell>
          <cell r="P23"/>
          <cell r="R23">
            <v>1892</v>
          </cell>
          <cell r="S23"/>
          <cell r="T23"/>
          <cell r="V23">
            <v>1892</v>
          </cell>
          <cell r="W23">
            <v>0</v>
          </cell>
        </row>
        <row r="24">
          <cell r="G24"/>
          <cell r="H24">
            <v>2300</v>
          </cell>
          <cell r="I24">
            <v>500</v>
          </cell>
          <cell r="J24">
            <v>3950</v>
          </cell>
          <cell r="K24"/>
          <cell r="L24">
            <v>610</v>
          </cell>
          <cell r="M24">
            <v>300</v>
          </cell>
          <cell r="N24"/>
          <cell r="O24"/>
          <cell r="P24"/>
          <cell r="R24">
            <v>1499</v>
          </cell>
          <cell r="S24"/>
          <cell r="T24"/>
          <cell r="V24">
            <v>1499</v>
          </cell>
          <cell r="W24">
            <v>0</v>
          </cell>
        </row>
        <row r="25">
          <cell r="G25"/>
          <cell r="H25">
            <v>1000</v>
          </cell>
          <cell r="I25"/>
          <cell r="J25">
            <v>5400</v>
          </cell>
          <cell r="K25"/>
          <cell r="L25">
            <v>150</v>
          </cell>
          <cell r="M25"/>
          <cell r="N25"/>
          <cell r="O25"/>
          <cell r="P25"/>
          <cell r="R25">
            <v>2314</v>
          </cell>
          <cell r="S25">
            <v>189</v>
          </cell>
          <cell r="T25"/>
          <cell r="V25">
            <v>2692</v>
          </cell>
          <cell r="W25">
            <v>0</v>
          </cell>
        </row>
        <row r="26">
          <cell r="G26"/>
          <cell r="H26">
            <v>1000</v>
          </cell>
          <cell r="I26">
            <v>300</v>
          </cell>
          <cell r="J26">
            <v>2980</v>
          </cell>
          <cell r="K26"/>
          <cell r="L26">
            <v>500</v>
          </cell>
          <cell r="M26"/>
          <cell r="N26"/>
          <cell r="O26"/>
          <cell r="P26"/>
          <cell r="R26">
            <v>3459</v>
          </cell>
          <cell r="S26"/>
          <cell r="T26"/>
          <cell r="V26">
            <v>3459</v>
          </cell>
          <cell r="W26">
            <v>0</v>
          </cell>
        </row>
        <row r="27">
          <cell r="G27">
            <v>500</v>
          </cell>
          <cell r="H27"/>
          <cell r="I27"/>
          <cell r="J27">
            <v>4950</v>
          </cell>
          <cell r="K27"/>
          <cell r="L27">
            <v>250</v>
          </cell>
          <cell r="M27"/>
          <cell r="N27"/>
          <cell r="O27"/>
          <cell r="P27"/>
          <cell r="R27">
            <v>1646</v>
          </cell>
          <cell r="S27">
            <v>84</v>
          </cell>
          <cell r="T27">
            <v>19</v>
          </cell>
          <cell r="V27">
            <v>1852</v>
          </cell>
          <cell r="W27">
            <v>0</v>
          </cell>
        </row>
        <row r="28">
          <cell r="G28"/>
          <cell r="H28"/>
          <cell r="I28"/>
          <cell r="J28">
            <v>900</v>
          </cell>
          <cell r="K28"/>
          <cell r="L28">
            <v>450</v>
          </cell>
          <cell r="M28"/>
          <cell r="N28">
            <v>190</v>
          </cell>
          <cell r="O28"/>
          <cell r="P28">
            <v>500</v>
          </cell>
          <cell r="R28">
            <v>1596</v>
          </cell>
          <cell r="S28"/>
          <cell r="T28"/>
          <cell r="V28">
            <v>1596</v>
          </cell>
          <cell r="W28">
            <v>0</v>
          </cell>
        </row>
        <row r="29">
          <cell r="G29"/>
          <cell r="H29"/>
          <cell r="I29"/>
          <cell r="J29"/>
          <cell r="K29"/>
          <cell r="L29">
            <v>225</v>
          </cell>
          <cell r="M29"/>
          <cell r="N29"/>
          <cell r="O29">
            <v>500</v>
          </cell>
          <cell r="P29"/>
          <cell r="R29">
            <v>689</v>
          </cell>
          <cell r="S29">
            <v>9</v>
          </cell>
          <cell r="T29"/>
          <cell r="V29">
            <v>707</v>
          </cell>
          <cell r="W29">
            <v>0</v>
          </cell>
        </row>
        <row r="30">
          <cell r="G30"/>
          <cell r="H30"/>
          <cell r="I30"/>
          <cell r="J30"/>
          <cell r="K30"/>
          <cell r="L30">
            <v>450</v>
          </cell>
          <cell r="M30"/>
          <cell r="N30"/>
          <cell r="O30">
            <v>500</v>
          </cell>
          <cell r="P30"/>
          <cell r="R30">
            <v>517</v>
          </cell>
          <cell r="S30"/>
          <cell r="T30"/>
          <cell r="V30">
            <v>517</v>
          </cell>
          <cell r="W30">
            <v>0</v>
          </cell>
        </row>
        <row r="31">
          <cell r="G31"/>
          <cell r="I31"/>
          <cell r="J31">
            <v>2800</v>
          </cell>
          <cell r="K31"/>
          <cell r="L31">
            <v>525</v>
          </cell>
          <cell r="M31"/>
          <cell r="N31"/>
          <cell r="O31">
            <v>810</v>
          </cell>
          <cell r="P31">
            <v>500</v>
          </cell>
          <cell r="R31">
            <v>1207</v>
          </cell>
          <cell r="S31"/>
          <cell r="T31"/>
          <cell r="V31">
            <v>1207</v>
          </cell>
          <cell r="W31">
            <v>0</v>
          </cell>
        </row>
        <row r="32">
          <cell r="G32">
            <v>500</v>
          </cell>
          <cell r="H32"/>
          <cell r="I32"/>
          <cell r="J32">
            <v>1250</v>
          </cell>
          <cell r="K32"/>
          <cell r="L32"/>
          <cell r="M32"/>
          <cell r="N32"/>
          <cell r="O32"/>
          <cell r="P32"/>
          <cell r="R32">
            <v>1171</v>
          </cell>
          <cell r="S32"/>
          <cell r="T32"/>
          <cell r="V32">
            <v>1171</v>
          </cell>
          <cell r="W32">
            <v>0</v>
          </cell>
        </row>
        <row r="33"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R33">
            <v>1475</v>
          </cell>
          <cell r="S33"/>
          <cell r="T33"/>
          <cell r="V33">
            <v>1475</v>
          </cell>
          <cell r="W33">
            <v>0</v>
          </cell>
        </row>
        <row r="34">
          <cell r="G34"/>
          <cell r="H34">
            <v>500</v>
          </cell>
          <cell r="I34"/>
          <cell r="J34">
            <v>6300</v>
          </cell>
          <cell r="K34"/>
          <cell r="L34">
            <v>500</v>
          </cell>
          <cell r="M34"/>
          <cell r="N34"/>
          <cell r="O34"/>
          <cell r="P34"/>
          <cell r="R34">
            <v>2741</v>
          </cell>
          <cell r="S34"/>
          <cell r="T34"/>
          <cell r="V34">
            <v>2741</v>
          </cell>
          <cell r="W34">
            <v>0</v>
          </cell>
        </row>
        <row r="35">
          <cell r="G35"/>
          <cell r="H35"/>
          <cell r="I35"/>
          <cell r="J35"/>
          <cell r="K35"/>
          <cell r="L35">
            <v>630</v>
          </cell>
          <cell r="M35"/>
          <cell r="N35"/>
          <cell r="O35"/>
          <cell r="P35"/>
          <cell r="R35">
            <v>1342</v>
          </cell>
          <cell r="S35"/>
          <cell r="T35"/>
          <cell r="V35">
            <v>1342</v>
          </cell>
          <cell r="W35">
            <v>0</v>
          </cell>
        </row>
        <row r="36">
          <cell r="G36"/>
          <cell r="H36">
            <v>500</v>
          </cell>
          <cell r="I36"/>
          <cell r="J36"/>
          <cell r="K36"/>
          <cell r="L36"/>
          <cell r="M36">
            <v>850</v>
          </cell>
          <cell r="N36"/>
          <cell r="O36"/>
          <cell r="P36"/>
          <cell r="R36">
            <v>1202</v>
          </cell>
          <cell r="S36"/>
          <cell r="T36"/>
          <cell r="V36">
            <v>1202</v>
          </cell>
          <cell r="W36">
            <v>0</v>
          </cell>
        </row>
        <row r="37">
          <cell r="G37"/>
          <cell r="H37"/>
          <cell r="J37"/>
          <cell r="K37"/>
          <cell r="L37"/>
          <cell r="N37">
            <v>920</v>
          </cell>
          <cell r="O37"/>
          <cell r="P37">
            <v>600</v>
          </cell>
          <cell r="R37">
            <v>919</v>
          </cell>
          <cell r="S37"/>
          <cell r="T37"/>
          <cell r="V37">
            <v>919</v>
          </cell>
          <cell r="W37">
            <v>0</v>
          </cell>
        </row>
        <row r="38">
          <cell r="G38"/>
          <cell r="H38"/>
          <cell r="I38"/>
          <cell r="J38">
            <v>5500</v>
          </cell>
          <cell r="K38"/>
          <cell r="L38"/>
          <cell r="M38"/>
          <cell r="N38"/>
          <cell r="O38"/>
          <cell r="P38"/>
          <cell r="R38">
            <v>1552</v>
          </cell>
          <cell r="S38">
            <v>62</v>
          </cell>
          <cell r="T38">
            <v>132</v>
          </cell>
          <cell r="V38">
            <v>1940</v>
          </cell>
          <cell r="W38">
            <v>0</v>
          </cell>
        </row>
        <row r="39">
          <cell r="G39"/>
          <cell r="H39"/>
          <cell r="I39"/>
          <cell r="J39">
            <v>400</v>
          </cell>
          <cell r="K39"/>
          <cell r="L39">
            <v>792</v>
          </cell>
          <cell r="M39"/>
          <cell r="N39">
            <v>155</v>
          </cell>
          <cell r="O39">
            <v>500</v>
          </cell>
          <cell r="P39"/>
          <cell r="R39">
            <v>1585</v>
          </cell>
          <cell r="S39"/>
          <cell r="T39"/>
          <cell r="V39">
            <v>1585</v>
          </cell>
          <cell r="W39">
            <v>0</v>
          </cell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R40">
            <v>613</v>
          </cell>
          <cell r="S40"/>
          <cell r="T40"/>
          <cell r="V40">
            <v>613</v>
          </cell>
          <cell r="W40">
            <v>0</v>
          </cell>
        </row>
        <row r="41">
          <cell r="G41">
            <v>7550</v>
          </cell>
          <cell r="H41">
            <v>1000</v>
          </cell>
          <cell r="I41"/>
          <cell r="J41">
            <v>9540</v>
          </cell>
          <cell r="K41"/>
          <cell r="L41">
            <v>680</v>
          </cell>
          <cell r="M41"/>
          <cell r="N41">
            <v>630</v>
          </cell>
          <cell r="O41"/>
          <cell r="P41">
            <v>4041</v>
          </cell>
          <cell r="R41">
            <v>562</v>
          </cell>
          <cell r="S41">
            <v>767</v>
          </cell>
          <cell r="T41">
            <v>394</v>
          </cell>
          <cell r="V41">
            <v>2884</v>
          </cell>
          <cell r="W41">
            <v>68.92</v>
          </cell>
        </row>
        <row r="42">
          <cell r="G42">
            <v>2110</v>
          </cell>
          <cell r="H42">
            <v>1000</v>
          </cell>
          <cell r="I42">
            <v>750</v>
          </cell>
          <cell r="J42">
            <v>12550</v>
          </cell>
          <cell r="K42">
            <v>0</v>
          </cell>
          <cell r="L42">
            <v>500</v>
          </cell>
          <cell r="M42">
            <v>5400</v>
          </cell>
          <cell r="N42">
            <v>3810</v>
          </cell>
          <cell r="O42"/>
          <cell r="P42">
            <v>1450</v>
          </cell>
          <cell r="R42">
            <v>1277</v>
          </cell>
          <cell r="S42">
            <v>666</v>
          </cell>
          <cell r="T42">
            <v>156</v>
          </cell>
          <cell r="V42">
            <v>2921</v>
          </cell>
          <cell r="W42">
            <v>83.96</v>
          </cell>
        </row>
        <row r="43">
          <cell r="G43">
            <v>1129</v>
          </cell>
          <cell r="H43">
            <v>0</v>
          </cell>
          <cell r="I43">
            <v>0</v>
          </cell>
          <cell r="J43">
            <v>19550</v>
          </cell>
          <cell r="K43"/>
          <cell r="L43">
            <v>200</v>
          </cell>
          <cell r="M43"/>
          <cell r="N43">
            <v>520</v>
          </cell>
          <cell r="O43"/>
          <cell r="P43">
            <v>1800</v>
          </cell>
          <cell r="R43">
            <v>1219</v>
          </cell>
          <cell r="S43">
            <v>948</v>
          </cell>
          <cell r="T43">
            <v>242</v>
          </cell>
          <cell r="V43">
            <v>3599</v>
          </cell>
          <cell r="W43">
            <v>96.36</v>
          </cell>
        </row>
        <row r="44">
          <cell r="G44">
            <v>2600</v>
          </cell>
          <cell r="H44">
            <v>1000</v>
          </cell>
          <cell r="I44"/>
          <cell r="J44">
            <v>10730</v>
          </cell>
          <cell r="K44"/>
          <cell r="L44">
            <v>1734</v>
          </cell>
          <cell r="M44">
            <v>4900</v>
          </cell>
          <cell r="N44">
            <v>980</v>
          </cell>
          <cell r="O44">
            <v>3165</v>
          </cell>
          <cell r="P44">
            <v>40</v>
          </cell>
          <cell r="R44">
            <v>617</v>
          </cell>
          <cell r="S44">
            <v>659</v>
          </cell>
          <cell r="T44">
            <v>260</v>
          </cell>
          <cell r="V44">
            <v>2455</v>
          </cell>
          <cell r="W44">
            <v>61.44</v>
          </cell>
        </row>
        <row r="45">
          <cell r="G45">
            <v>1500</v>
          </cell>
          <cell r="H45">
            <v>1000</v>
          </cell>
          <cell r="I45"/>
          <cell r="J45">
            <v>5790</v>
          </cell>
          <cell r="K45"/>
          <cell r="L45">
            <v>600</v>
          </cell>
          <cell r="M45"/>
          <cell r="N45">
            <v>310</v>
          </cell>
          <cell r="O45">
            <v>1860</v>
          </cell>
          <cell r="P45">
            <v>5000</v>
          </cell>
          <cell r="R45">
            <v>573</v>
          </cell>
          <cell r="S45">
            <v>363</v>
          </cell>
          <cell r="T45">
            <v>428</v>
          </cell>
          <cell r="V45">
            <v>2155</v>
          </cell>
          <cell r="W45">
            <v>54.56</v>
          </cell>
        </row>
        <row r="46">
          <cell r="G46">
            <v>875</v>
          </cell>
          <cell r="H46">
            <v>1000</v>
          </cell>
          <cell r="I46"/>
          <cell r="J46">
            <v>2750</v>
          </cell>
          <cell r="K46"/>
          <cell r="L46">
            <v>1000</v>
          </cell>
          <cell r="M46"/>
          <cell r="N46">
            <v>320</v>
          </cell>
          <cell r="O46"/>
          <cell r="P46"/>
          <cell r="R46">
            <v>302</v>
          </cell>
          <cell r="S46">
            <v>301</v>
          </cell>
          <cell r="T46">
            <v>121</v>
          </cell>
          <cell r="V46">
            <v>1146</v>
          </cell>
          <cell r="W46">
            <v>28.96</v>
          </cell>
        </row>
        <row r="47"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R47"/>
          <cell r="S47"/>
          <cell r="T47"/>
          <cell r="V47">
            <v>0</v>
          </cell>
          <cell r="W47">
            <v>0</v>
          </cell>
        </row>
        <row r="48">
          <cell r="G48">
            <v>1000</v>
          </cell>
          <cell r="H48">
            <v>460</v>
          </cell>
          <cell r="I48">
            <v>3600</v>
          </cell>
          <cell r="J48">
            <v>720</v>
          </cell>
          <cell r="K48">
            <v>200</v>
          </cell>
          <cell r="L48">
            <v>500</v>
          </cell>
          <cell r="M48">
            <v>200</v>
          </cell>
          <cell r="N48"/>
          <cell r="O48"/>
          <cell r="P48">
            <v>4800</v>
          </cell>
          <cell r="R48">
            <v>778</v>
          </cell>
          <cell r="S48">
            <v>126</v>
          </cell>
          <cell r="T48">
            <v>54</v>
          </cell>
          <cell r="V48">
            <v>1138</v>
          </cell>
          <cell r="W48">
            <v>38.32</v>
          </cell>
        </row>
        <row r="49">
          <cell r="G49">
            <v>1000</v>
          </cell>
          <cell r="H49">
            <v>1000</v>
          </cell>
          <cell r="I49"/>
          <cell r="J49">
            <v>1800</v>
          </cell>
          <cell r="K49"/>
          <cell r="L49"/>
          <cell r="M49"/>
          <cell r="N49">
            <v>1050</v>
          </cell>
          <cell r="O49">
            <v>600</v>
          </cell>
          <cell r="P49"/>
          <cell r="R49">
            <v>979</v>
          </cell>
          <cell r="S49">
            <v>695</v>
          </cell>
          <cell r="T49">
            <v>256</v>
          </cell>
          <cell r="V49">
            <v>2881</v>
          </cell>
          <cell r="W49">
            <v>77.2</v>
          </cell>
        </row>
        <row r="50">
          <cell r="G50"/>
          <cell r="H50"/>
          <cell r="I50"/>
          <cell r="J50"/>
          <cell r="K50"/>
          <cell r="L50"/>
          <cell r="M50">
            <v>300</v>
          </cell>
          <cell r="N50">
            <v>220</v>
          </cell>
          <cell r="O50"/>
          <cell r="P50">
            <v>1000</v>
          </cell>
          <cell r="R50">
            <v>331</v>
          </cell>
          <cell r="S50">
            <v>309</v>
          </cell>
          <cell r="T50">
            <v>262</v>
          </cell>
          <cell r="V50">
            <v>1473</v>
          </cell>
          <cell r="W50">
            <v>36.08</v>
          </cell>
        </row>
        <row r="51">
          <cell r="G51">
            <v>6731</v>
          </cell>
          <cell r="H51"/>
          <cell r="I51"/>
          <cell r="J51">
            <v>650</v>
          </cell>
          <cell r="K51"/>
          <cell r="L51"/>
          <cell r="M51"/>
          <cell r="N51">
            <v>200</v>
          </cell>
          <cell r="O51"/>
          <cell r="P51"/>
          <cell r="R51">
            <v>487</v>
          </cell>
          <cell r="S51">
            <v>272</v>
          </cell>
          <cell r="T51">
            <v>124</v>
          </cell>
          <cell r="V51">
            <v>1279</v>
          </cell>
          <cell r="W51">
            <v>35.32</v>
          </cell>
        </row>
        <row r="52">
          <cell r="G52"/>
          <cell r="H52">
            <v>4600</v>
          </cell>
          <cell r="I52"/>
          <cell r="J52">
            <v>5700</v>
          </cell>
          <cell r="K52"/>
          <cell r="L52">
            <v>1290</v>
          </cell>
          <cell r="M52"/>
          <cell r="N52">
            <v>1900</v>
          </cell>
          <cell r="O52"/>
          <cell r="P52">
            <v>1000</v>
          </cell>
          <cell r="R52">
            <v>744</v>
          </cell>
          <cell r="S52">
            <v>906</v>
          </cell>
          <cell r="T52">
            <v>601</v>
          </cell>
          <cell r="V52">
            <v>3758</v>
          </cell>
          <cell r="W52">
            <v>90.04</v>
          </cell>
        </row>
        <row r="53"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R53"/>
          <cell r="S53"/>
          <cell r="T53"/>
          <cell r="V53">
            <v>0</v>
          </cell>
          <cell r="W53">
            <v>0</v>
          </cell>
        </row>
        <row r="54">
          <cell r="G54">
            <v>4158</v>
          </cell>
          <cell r="H54"/>
          <cell r="I54"/>
          <cell r="J54"/>
          <cell r="K54"/>
          <cell r="L54">
            <v>4080</v>
          </cell>
          <cell r="M54"/>
          <cell r="N54"/>
          <cell r="O54">
            <v>2050</v>
          </cell>
          <cell r="P54"/>
          <cell r="R54">
            <v>33</v>
          </cell>
          <cell r="S54">
            <v>14</v>
          </cell>
          <cell r="T54"/>
          <cell r="V54">
            <v>61</v>
          </cell>
          <cell r="W54">
            <v>1.88</v>
          </cell>
        </row>
        <row r="55">
          <cell r="G55"/>
          <cell r="H55">
            <v>5000</v>
          </cell>
          <cell r="I55"/>
          <cell r="J55"/>
          <cell r="K55"/>
          <cell r="L55"/>
          <cell r="M55"/>
          <cell r="N55"/>
          <cell r="O55">
            <v>1000</v>
          </cell>
          <cell r="P55"/>
          <cell r="R55">
            <v>655</v>
          </cell>
          <cell r="S55">
            <v>471</v>
          </cell>
          <cell r="T55">
            <v>158</v>
          </cell>
          <cell r="V55">
            <v>1913</v>
          </cell>
          <cell r="W55">
            <v>51.36</v>
          </cell>
        </row>
        <row r="56"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R56"/>
          <cell r="S56"/>
          <cell r="T56"/>
          <cell r="V56">
            <v>0</v>
          </cell>
          <cell r="W56">
            <v>0</v>
          </cell>
        </row>
        <row r="57"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R57">
            <v>441</v>
          </cell>
          <cell r="S57">
            <v>302</v>
          </cell>
          <cell r="T57">
            <v>117</v>
          </cell>
          <cell r="V57">
            <v>1279</v>
          </cell>
          <cell r="W57">
            <v>34.4</v>
          </cell>
        </row>
        <row r="58">
          <cell r="G58"/>
          <cell r="H58">
            <v>1310</v>
          </cell>
          <cell r="I58"/>
          <cell r="J58">
            <v>1780</v>
          </cell>
          <cell r="K58"/>
          <cell r="L58">
            <v>580</v>
          </cell>
          <cell r="M58">
            <v>3130</v>
          </cell>
          <cell r="N58">
            <v>550</v>
          </cell>
          <cell r="O58"/>
          <cell r="P58"/>
          <cell r="R58">
            <v>597</v>
          </cell>
          <cell r="S58">
            <v>604</v>
          </cell>
          <cell r="T58">
            <v>285</v>
          </cell>
          <cell r="V58">
            <v>2375</v>
          </cell>
          <cell r="W58">
            <v>59.44</v>
          </cell>
        </row>
        <row r="59">
          <cell r="G59">
            <v>4673</v>
          </cell>
          <cell r="H59">
            <v>1811</v>
          </cell>
          <cell r="I59"/>
          <cell r="J59"/>
          <cell r="K59"/>
          <cell r="L59"/>
          <cell r="M59"/>
          <cell r="N59"/>
          <cell r="O59"/>
          <cell r="P59"/>
          <cell r="R59">
            <v>175</v>
          </cell>
          <cell r="S59">
            <v>25</v>
          </cell>
          <cell r="T59">
            <v>5</v>
          </cell>
          <cell r="V59">
            <v>235</v>
          </cell>
          <cell r="W59">
            <v>8.1999999999999993</v>
          </cell>
        </row>
        <row r="60">
          <cell r="G60"/>
          <cell r="H60"/>
          <cell r="I60"/>
          <cell r="J60"/>
          <cell r="K60">
            <v>460</v>
          </cell>
          <cell r="L60">
            <v>1100</v>
          </cell>
          <cell r="M60"/>
          <cell r="N60"/>
          <cell r="O60"/>
          <cell r="P60"/>
          <cell r="R60">
            <v>3682</v>
          </cell>
          <cell r="S60"/>
          <cell r="T60"/>
          <cell r="V60">
            <v>3682</v>
          </cell>
          <cell r="W60">
            <v>147.28</v>
          </cell>
        </row>
        <row r="61">
          <cell r="G61"/>
          <cell r="H61">
            <v>1000</v>
          </cell>
          <cell r="I61"/>
          <cell r="J61">
            <v>1520</v>
          </cell>
          <cell r="K61">
            <v>300</v>
          </cell>
          <cell r="L61">
            <v>800</v>
          </cell>
          <cell r="M61"/>
          <cell r="N61"/>
          <cell r="O61"/>
          <cell r="P61"/>
          <cell r="R61">
            <v>2505</v>
          </cell>
          <cell r="S61"/>
          <cell r="T61"/>
          <cell r="V61">
            <v>2505</v>
          </cell>
          <cell r="W61">
            <v>100.2</v>
          </cell>
        </row>
        <row r="62"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R62"/>
          <cell r="S62"/>
          <cell r="T62"/>
          <cell r="V62">
            <v>0</v>
          </cell>
          <cell r="W62">
            <v>0</v>
          </cell>
        </row>
        <row r="63">
          <cell r="G63"/>
          <cell r="H63"/>
          <cell r="I63"/>
          <cell r="J63">
            <v>16320</v>
          </cell>
          <cell r="K63">
            <v>460</v>
          </cell>
          <cell r="L63">
            <v>900</v>
          </cell>
          <cell r="M63"/>
          <cell r="N63"/>
          <cell r="O63"/>
          <cell r="P63"/>
          <cell r="R63">
            <v>4988</v>
          </cell>
          <cell r="S63">
            <v>15</v>
          </cell>
          <cell r="T63"/>
          <cell r="V63">
            <v>5018</v>
          </cell>
          <cell r="W63">
            <v>200.12</v>
          </cell>
        </row>
        <row r="64">
          <cell r="G64"/>
          <cell r="H64">
            <v>1000</v>
          </cell>
          <cell r="I64"/>
          <cell r="J64">
            <v>2410</v>
          </cell>
          <cell r="K64">
            <v>570</v>
          </cell>
          <cell r="L64">
            <v>1090</v>
          </cell>
          <cell r="M64"/>
          <cell r="N64"/>
          <cell r="O64"/>
          <cell r="P64"/>
          <cell r="R64">
            <v>3270</v>
          </cell>
          <cell r="S64">
            <v>16</v>
          </cell>
          <cell r="T64"/>
          <cell r="V64">
            <v>3302</v>
          </cell>
          <cell r="W64">
            <v>131.44</v>
          </cell>
        </row>
        <row r="65">
          <cell r="G65">
            <v>1170</v>
          </cell>
          <cell r="H65">
            <v>1850</v>
          </cell>
          <cell r="I65"/>
          <cell r="J65">
            <v>2350</v>
          </cell>
          <cell r="K65">
            <v>370</v>
          </cell>
          <cell r="L65">
            <v>250</v>
          </cell>
          <cell r="M65"/>
          <cell r="N65"/>
          <cell r="O65"/>
          <cell r="P65"/>
          <cell r="R65">
            <v>2201</v>
          </cell>
          <cell r="S65"/>
          <cell r="T65">
            <v>13</v>
          </cell>
          <cell r="V65">
            <v>2227</v>
          </cell>
          <cell r="W65">
            <v>88.56</v>
          </cell>
        </row>
        <row r="66">
          <cell r="G66"/>
          <cell r="H66">
            <v>1000</v>
          </cell>
          <cell r="I66">
            <v>1230</v>
          </cell>
          <cell r="J66">
            <v>13050</v>
          </cell>
          <cell r="K66">
            <v>105</v>
          </cell>
          <cell r="L66">
            <v>360</v>
          </cell>
          <cell r="M66">
            <v>0</v>
          </cell>
          <cell r="N66">
            <v>970</v>
          </cell>
          <cell r="O66">
            <v>0</v>
          </cell>
          <cell r="P66">
            <v>300</v>
          </cell>
          <cell r="R66">
            <v>3508</v>
          </cell>
          <cell r="S66"/>
          <cell r="T66"/>
          <cell r="V66">
            <v>3508</v>
          </cell>
          <cell r="W66">
            <v>159.45454545454547</v>
          </cell>
        </row>
        <row r="67">
          <cell r="G67">
            <v>930</v>
          </cell>
          <cell r="H67">
            <v>1000</v>
          </cell>
          <cell r="I67">
            <v>780</v>
          </cell>
          <cell r="J67">
            <v>9910</v>
          </cell>
          <cell r="K67">
            <v>0</v>
          </cell>
          <cell r="L67">
            <v>630</v>
          </cell>
          <cell r="M67"/>
          <cell r="N67">
            <v>880</v>
          </cell>
          <cell r="O67"/>
          <cell r="P67">
            <v>1390</v>
          </cell>
          <cell r="R67">
            <v>2577</v>
          </cell>
          <cell r="S67">
            <v>7</v>
          </cell>
          <cell r="T67">
            <v>119</v>
          </cell>
          <cell r="V67">
            <v>2829</v>
          </cell>
          <cell r="W67">
            <v>122.86363636363636</v>
          </cell>
        </row>
        <row r="68">
          <cell r="G68"/>
          <cell r="H68">
            <v>1260</v>
          </cell>
          <cell r="I68">
            <v>400</v>
          </cell>
          <cell r="J68">
            <v>7630</v>
          </cell>
          <cell r="K68">
            <v>400</v>
          </cell>
          <cell r="L68">
            <v>930</v>
          </cell>
          <cell r="M68"/>
          <cell r="N68">
            <v>470</v>
          </cell>
          <cell r="O68">
            <v>485</v>
          </cell>
          <cell r="P68">
            <v>800</v>
          </cell>
          <cell r="R68">
            <v>2070</v>
          </cell>
          <cell r="S68"/>
          <cell r="T68"/>
          <cell r="V68">
            <v>2070</v>
          </cell>
          <cell r="W68">
            <v>94.090909090909093</v>
          </cell>
        </row>
        <row r="69">
          <cell r="G69"/>
          <cell r="H69">
            <v>1000</v>
          </cell>
          <cell r="I69"/>
          <cell r="J69">
            <v>13130</v>
          </cell>
          <cell r="K69">
            <v>460</v>
          </cell>
          <cell r="L69"/>
          <cell r="M69"/>
          <cell r="N69">
            <v>2610</v>
          </cell>
          <cell r="O69"/>
          <cell r="P69">
            <v>1550</v>
          </cell>
          <cell r="R69">
            <v>3304</v>
          </cell>
          <cell r="S69"/>
          <cell r="T69"/>
          <cell r="V69">
            <v>3304</v>
          </cell>
          <cell r="W69">
            <v>150.18181818181819</v>
          </cell>
        </row>
        <row r="70">
          <cell r="G70"/>
          <cell r="H70"/>
          <cell r="I70"/>
          <cell r="J70">
            <v>19560</v>
          </cell>
          <cell r="K70">
            <v>400</v>
          </cell>
          <cell r="L70"/>
          <cell r="M70"/>
          <cell r="N70">
            <v>1710</v>
          </cell>
          <cell r="O70"/>
          <cell r="P70"/>
          <cell r="R70">
            <v>4808</v>
          </cell>
          <cell r="S70"/>
          <cell r="T70"/>
          <cell r="V70">
            <v>4808</v>
          </cell>
          <cell r="W70">
            <v>218.54545454545453</v>
          </cell>
        </row>
        <row r="71"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R71"/>
          <cell r="S71"/>
          <cell r="T71"/>
          <cell r="V71">
            <v>0</v>
          </cell>
          <cell r="W71">
            <v>0</v>
          </cell>
        </row>
        <row r="72">
          <cell r="G72">
            <v>3600</v>
          </cell>
          <cell r="H72"/>
          <cell r="I72"/>
          <cell r="J72"/>
          <cell r="K72"/>
          <cell r="L72"/>
          <cell r="M72"/>
          <cell r="N72"/>
          <cell r="O72"/>
          <cell r="P72"/>
          <cell r="R72"/>
          <cell r="S72">
            <v>120</v>
          </cell>
          <cell r="T72">
            <v>4</v>
          </cell>
          <cell r="V72">
            <v>248</v>
          </cell>
          <cell r="W72">
            <v>5.6363636363636367</v>
          </cell>
        </row>
        <row r="73">
          <cell r="G73">
            <v>1582</v>
          </cell>
          <cell r="H73"/>
          <cell r="I73"/>
          <cell r="J73"/>
          <cell r="K73"/>
          <cell r="L73"/>
          <cell r="M73"/>
          <cell r="N73"/>
          <cell r="O73"/>
          <cell r="P73"/>
          <cell r="R73">
            <v>0</v>
          </cell>
          <cell r="S73">
            <v>101</v>
          </cell>
          <cell r="T73">
            <v>2</v>
          </cell>
          <cell r="V73">
            <v>206</v>
          </cell>
          <cell r="W73">
            <v>4.6818181818181817</v>
          </cell>
        </row>
        <row r="74">
          <cell r="G74"/>
          <cell r="H74"/>
          <cell r="I74"/>
          <cell r="J74">
            <v>6665</v>
          </cell>
          <cell r="K74"/>
          <cell r="L74">
            <v>1050</v>
          </cell>
          <cell r="M74"/>
          <cell r="N74"/>
          <cell r="O74"/>
          <cell r="P74">
            <v>1000</v>
          </cell>
          <cell r="R74">
            <v>3301</v>
          </cell>
          <cell r="S74"/>
          <cell r="T74"/>
          <cell r="V74">
            <v>3301</v>
          </cell>
          <cell r="W74">
            <v>150.04545454545453</v>
          </cell>
        </row>
        <row r="75">
          <cell r="G75">
            <v>1500</v>
          </cell>
          <cell r="H75"/>
          <cell r="I75">
            <v>1000</v>
          </cell>
          <cell r="J75">
            <v>6480</v>
          </cell>
          <cell r="K75"/>
          <cell r="L75">
            <v>890</v>
          </cell>
          <cell r="M75"/>
          <cell r="N75"/>
          <cell r="O75"/>
          <cell r="P75"/>
          <cell r="R75">
            <v>522</v>
          </cell>
          <cell r="S75">
            <v>563</v>
          </cell>
          <cell r="T75">
            <v>381</v>
          </cell>
          <cell r="V75">
            <v>2410</v>
          </cell>
          <cell r="W75">
            <v>66.63636363636364</v>
          </cell>
        </row>
        <row r="76">
          <cell r="G76"/>
          <cell r="H76">
            <v>1000</v>
          </cell>
          <cell r="I76"/>
          <cell r="J76">
            <v>5850</v>
          </cell>
          <cell r="K76">
            <v>510</v>
          </cell>
          <cell r="L76"/>
          <cell r="M76"/>
          <cell r="N76">
            <v>610</v>
          </cell>
          <cell r="O76"/>
          <cell r="P76">
            <v>1270</v>
          </cell>
          <cell r="R76">
            <v>1149</v>
          </cell>
          <cell r="S76">
            <v>1052</v>
          </cell>
          <cell r="T76">
            <v>263</v>
          </cell>
          <cell r="V76">
            <v>3779</v>
          </cell>
          <cell r="W76">
            <v>112</v>
          </cell>
        </row>
        <row r="77">
          <cell r="G77">
            <v>2900</v>
          </cell>
          <cell r="H77"/>
          <cell r="I77">
            <v>2250</v>
          </cell>
          <cell r="J77">
            <v>1000</v>
          </cell>
          <cell r="K77">
            <v>560</v>
          </cell>
          <cell r="L77">
            <v>100</v>
          </cell>
          <cell r="M77"/>
          <cell r="N77">
            <v>1021</v>
          </cell>
          <cell r="O77">
            <v>12446</v>
          </cell>
          <cell r="P77"/>
          <cell r="R77">
            <v>1202</v>
          </cell>
          <cell r="S77">
            <v>1030</v>
          </cell>
          <cell r="T77">
            <v>318</v>
          </cell>
          <cell r="V77">
            <v>3898</v>
          </cell>
          <cell r="W77">
            <v>115.90909090909091</v>
          </cell>
        </row>
        <row r="78">
          <cell r="G78"/>
          <cell r="H78"/>
          <cell r="I78"/>
          <cell r="J78">
            <v>5300</v>
          </cell>
          <cell r="K78">
            <v>495</v>
          </cell>
          <cell r="L78">
            <v>90</v>
          </cell>
          <cell r="M78"/>
          <cell r="N78">
            <v>780</v>
          </cell>
          <cell r="O78"/>
          <cell r="P78"/>
          <cell r="R78">
            <v>1583</v>
          </cell>
          <cell r="S78">
            <v>535</v>
          </cell>
          <cell r="T78">
            <v>395</v>
          </cell>
          <cell r="V78">
            <v>3443</v>
          </cell>
          <cell r="W78">
            <v>114.22727272727273</v>
          </cell>
        </row>
        <row r="79">
          <cell r="G79"/>
          <cell r="H79">
            <v>1700</v>
          </cell>
          <cell r="I79"/>
          <cell r="J79">
            <v>1600</v>
          </cell>
          <cell r="K79">
            <v>600</v>
          </cell>
          <cell r="L79">
            <v>330</v>
          </cell>
          <cell r="M79"/>
          <cell r="N79">
            <v>1480</v>
          </cell>
          <cell r="O79"/>
          <cell r="P79"/>
          <cell r="R79">
            <v>777</v>
          </cell>
          <cell r="S79">
            <v>865</v>
          </cell>
          <cell r="T79">
            <v>330</v>
          </cell>
          <cell r="V79">
            <v>3167</v>
          </cell>
          <cell r="W79">
            <v>89.63636363636364</v>
          </cell>
        </row>
        <row r="80">
          <cell r="G80">
            <v>6500</v>
          </cell>
          <cell r="H80">
            <v>1485</v>
          </cell>
          <cell r="I80"/>
          <cell r="J80">
            <v>1590</v>
          </cell>
          <cell r="K80">
            <v>510</v>
          </cell>
          <cell r="L80">
            <v>80</v>
          </cell>
          <cell r="M80">
            <v>300</v>
          </cell>
          <cell r="N80"/>
          <cell r="O80">
            <v>1000</v>
          </cell>
          <cell r="P80"/>
          <cell r="R80">
            <v>759</v>
          </cell>
          <cell r="S80">
            <v>719</v>
          </cell>
          <cell r="T80">
            <v>455</v>
          </cell>
          <cell r="V80">
            <v>3107</v>
          </cell>
          <cell r="W80">
            <v>87.86363636363636</v>
          </cell>
        </row>
        <row r="81">
          <cell r="G81"/>
          <cell r="H81">
            <v>3170</v>
          </cell>
          <cell r="I81">
            <v>1500</v>
          </cell>
          <cell r="J81">
            <v>1400</v>
          </cell>
          <cell r="K81"/>
          <cell r="L81"/>
          <cell r="M81">
            <v>18700</v>
          </cell>
          <cell r="N81">
            <v>870</v>
          </cell>
          <cell r="O81">
            <v>1000</v>
          </cell>
          <cell r="P81">
            <v>600</v>
          </cell>
          <cell r="R81">
            <v>1293</v>
          </cell>
          <cell r="S81">
            <v>751</v>
          </cell>
          <cell r="T81">
            <v>317</v>
          </cell>
          <cell r="V81">
            <v>3429</v>
          </cell>
          <cell r="W81">
            <v>107.31818181818181</v>
          </cell>
        </row>
        <row r="82">
          <cell r="G82"/>
          <cell r="H82"/>
          <cell r="I82"/>
          <cell r="J82">
            <v>6090</v>
          </cell>
          <cell r="K82">
            <v>620</v>
          </cell>
          <cell r="L82"/>
          <cell r="M82"/>
          <cell r="N82"/>
          <cell r="O82"/>
          <cell r="P82"/>
          <cell r="R82">
            <v>2765</v>
          </cell>
          <cell r="S82"/>
          <cell r="T82"/>
          <cell r="V82">
            <v>2765</v>
          </cell>
          <cell r="W82">
            <v>125.68181818181819</v>
          </cell>
        </row>
        <row r="83">
          <cell r="G83"/>
          <cell r="H83"/>
          <cell r="I83"/>
          <cell r="J83">
            <v>3600</v>
          </cell>
          <cell r="K83">
            <v>105</v>
          </cell>
          <cell r="L83"/>
          <cell r="M83"/>
          <cell r="N83">
            <v>500</v>
          </cell>
          <cell r="O83"/>
          <cell r="P83">
            <v>1310</v>
          </cell>
          <cell r="R83">
            <v>1369</v>
          </cell>
          <cell r="S83">
            <v>124</v>
          </cell>
          <cell r="T83">
            <v>212</v>
          </cell>
          <cell r="V83">
            <v>2041</v>
          </cell>
          <cell r="W83">
            <v>77.5</v>
          </cell>
        </row>
        <row r="84">
          <cell r="G84">
            <v>3200</v>
          </cell>
          <cell r="H84">
            <v>1000</v>
          </cell>
          <cell r="I84"/>
          <cell r="J84">
            <v>8260</v>
          </cell>
          <cell r="K84">
            <v>400</v>
          </cell>
          <cell r="L84">
            <v>650</v>
          </cell>
          <cell r="M84"/>
          <cell r="N84">
            <v>2000</v>
          </cell>
          <cell r="O84"/>
          <cell r="P84"/>
          <cell r="R84">
            <v>3687</v>
          </cell>
          <cell r="S84"/>
          <cell r="T84"/>
          <cell r="V84">
            <v>3687</v>
          </cell>
          <cell r="W84">
            <v>167.59090909090909</v>
          </cell>
        </row>
        <row r="85">
          <cell r="G85"/>
          <cell r="H85"/>
          <cell r="I85"/>
          <cell r="J85">
            <v>650</v>
          </cell>
          <cell r="K85">
            <v>90</v>
          </cell>
          <cell r="L85">
            <v>750</v>
          </cell>
          <cell r="M85"/>
          <cell r="N85">
            <v>380</v>
          </cell>
          <cell r="O85"/>
          <cell r="P85"/>
          <cell r="R85">
            <v>862</v>
          </cell>
          <cell r="S85"/>
          <cell r="T85"/>
          <cell r="V85">
            <v>862</v>
          </cell>
          <cell r="W85">
            <v>39.18181818181818</v>
          </cell>
        </row>
        <row r="86">
          <cell r="G86"/>
          <cell r="H86"/>
          <cell r="I86"/>
          <cell r="J86">
            <v>8180</v>
          </cell>
          <cell r="K86">
            <v>610</v>
          </cell>
          <cell r="L86">
            <v>520</v>
          </cell>
          <cell r="M86">
            <v>300</v>
          </cell>
          <cell r="N86"/>
          <cell r="O86"/>
          <cell r="P86"/>
          <cell r="R86">
            <v>2757</v>
          </cell>
          <cell r="S86"/>
          <cell r="T86"/>
          <cell r="V86">
            <v>2757</v>
          </cell>
          <cell r="W86">
            <v>125.31818181818181</v>
          </cell>
        </row>
        <row r="87">
          <cell r="G87"/>
          <cell r="H87">
            <v>990</v>
          </cell>
          <cell r="I87"/>
          <cell r="J87">
            <v>3840</v>
          </cell>
          <cell r="K87"/>
          <cell r="L87">
            <v>200</v>
          </cell>
          <cell r="M87"/>
          <cell r="N87">
            <v>60</v>
          </cell>
          <cell r="O87"/>
          <cell r="P87"/>
          <cell r="R87">
            <v>2924</v>
          </cell>
          <cell r="S87"/>
          <cell r="T87"/>
          <cell r="V87">
            <v>2924</v>
          </cell>
          <cell r="W87">
            <v>132.90909090909091</v>
          </cell>
        </row>
        <row r="88">
          <cell r="G88"/>
          <cell r="H88"/>
          <cell r="I88"/>
          <cell r="J88"/>
          <cell r="K88">
            <v>610</v>
          </cell>
          <cell r="L88">
            <v>620</v>
          </cell>
          <cell r="M88"/>
          <cell r="N88"/>
          <cell r="O88"/>
          <cell r="P88"/>
          <cell r="R88">
            <v>3042</v>
          </cell>
          <cell r="S88"/>
          <cell r="T88"/>
          <cell r="V88">
            <v>3042</v>
          </cell>
          <cell r="W88">
            <v>138.27272727272728</v>
          </cell>
        </row>
        <row r="89">
          <cell r="G89"/>
          <cell r="H89"/>
          <cell r="I89">
            <v>500</v>
          </cell>
          <cell r="J89">
            <v>6145</v>
          </cell>
          <cell r="K89">
            <v>560</v>
          </cell>
          <cell r="L89"/>
          <cell r="M89"/>
          <cell r="N89">
            <v>940</v>
          </cell>
          <cell r="O89"/>
          <cell r="P89"/>
          <cell r="R89">
            <v>1732</v>
          </cell>
          <cell r="S89"/>
          <cell r="T89"/>
          <cell r="V89">
            <v>1732</v>
          </cell>
          <cell r="W89">
            <v>78.727272727272734</v>
          </cell>
        </row>
        <row r="90">
          <cell r="G90">
            <v>670</v>
          </cell>
          <cell r="H90"/>
          <cell r="I90"/>
          <cell r="J90">
            <v>3650</v>
          </cell>
          <cell r="K90">
            <v>630</v>
          </cell>
          <cell r="L90">
            <v>280</v>
          </cell>
          <cell r="M90"/>
          <cell r="N90">
            <v>200</v>
          </cell>
          <cell r="O90"/>
          <cell r="P90"/>
          <cell r="R90">
            <v>3136</v>
          </cell>
          <cell r="S90"/>
          <cell r="T90"/>
          <cell r="V90">
            <v>3136</v>
          </cell>
          <cell r="W90">
            <v>142.54545454545453</v>
          </cell>
        </row>
        <row r="91">
          <cell r="G91"/>
          <cell r="H91"/>
          <cell r="I91"/>
          <cell r="J91">
            <v>1760</v>
          </cell>
          <cell r="K91">
            <v>495</v>
          </cell>
          <cell r="L91">
            <v>180</v>
          </cell>
          <cell r="M91"/>
          <cell r="N91">
            <v>220</v>
          </cell>
          <cell r="O91"/>
          <cell r="P91">
            <v>100</v>
          </cell>
          <cell r="R91">
            <v>925</v>
          </cell>
          <cell r="S91"/>
          <cell r="T91"/>
          <cell r="V91">
            <v>925</v>
          </cell>
          <cell r="W91">
            <v>42.045454545454547</v>
          </cell>
        </row>
        <row r="92">
          <cell r="G92"/>
          <cell r="H92">
            <v>1000</v>
          </cell>
          <cell r="I92"/>
          <cell r="J92">
            <v>1200</v>
          </cell>
          <cell r="K92"/>
          <cell r="L92">
            <v>342</v>
          </cell>
          <cell r="M92"/>
          <cell r="N92"/>
          <cell r="O92"/>
          <cell r="P92"/>
          <cell r="R92">
            <v>3161</v>
          </cell>
          <cell r="S92"/>
          <cell r="T92"/>
          <cell r="V92">
            <v>3161</v>
          </cell>
          <cell r="W92">
            <v>143.68181818181819</v>
          </cell>
        </row>
        <row r="93">
          <cell r="G93"/>
          <cell r="H93"/>
          <cell r="I93"/>
          <cell r="J93"/>
          <cell r="K93"/>
          <cell r="L93">
            <v>175</v>
          </cell>
          <cell r="M93"/>
          <cell r="N93"/>
          <cell r="O93"/>
          <cell r="P93"/>
          <cell r="R93">
            <v>555</v>
          </cell>
          <cell r="S93">
            <v>3</v>
          </cell>
          <cell r="T93"/>
          <cell r="V93">
            <v>561</v>
          </cell>
          <cell r="W93">
            <v>25.363636363636363</v>
          </cell>
        </row>
        <row r="94">
          <cell r="G94"/>
          <cell r="H94"/>
          <cell r="I94"/>
          <cell r="J94">
            <v>7200</v>
          </cell>
          <cell r="K94"/>
          <cell r="L94">
            <v>870</v>
          </cell>
          <cell r="M94"/>
          <cell r="N94">
            <v>600</v>
          </cell>
          <cell r="O94"/>
          <cell r="P94"/>
          <cell r="R94">
            <v>2444</v>
          </cell>
          <cell r="S94">
            <v>2</v>
          </cell>
          <cell r="T94">
            <v>68</v>
          </cell>
          <cell r="V94">
            <v>2584</v>
          </cell>
          <cell r="W94">
            <v>114.27272727272727</v>
          </cell>
        </row>
        <row r="95">
          <cell r="G95">
            <v>4800</v>
          </cell>
          <cell r="H95"/>
          <cell r="I95"/>
          <cell r="J95">
            <v>4700</v>
          </cell>
          <cell r="K95">
            <v>300</v>
          </cell>
          <cell r="L95">
            <v>360</v>
          </cell>
          <cell r="M95"/>
          <cell r="N95"/>
          <cell r="O95"/>
          <cell r="P95"/>
          <cell r="R95">
            <v>2275</v>
          </cell>
          <cell r="S95"/>
          <cell r="T95"/>
          <cell r="V95">
            <v>2275</v>
          </cell>
          <cell r="W95">
            <v>103.40909090909091</v>
          </cell>
        </row>
        <row r="96">
          <cell r="G96"/>
          <cell r="H96"/>
          <cell r="I96"/>
          <cell r="J96">
            <v>3550</v>
          </cell>
          <cell r="K96">
            <v>600</v>
          </cell>
          <cell r="L96"/>
          <cell r="M96"/>
          <cell r="N96">
            <v>790</v>
          </cell>
          <cell r="O96"/>
          <cell r="P96"/>
          <cell r="R96">
            <v>2579</v>
          </cell>
          <cell r="S96"/>
          <cell r="T96"/>
          <cell r="V96">
            <v>2579</v>
          </cell>
          <cell r="W96">
            <v>117.22727272727273</v>
          </cell>
        </row>
        <row r="97">
          <cell r="G97"/>
          <cell r="H97">
            <v>1010</v>
          </cell>
          <cell r="I97"/>
          <cell r="J97">
            <v>2590</v>
          </cell>
          <cell r="K97">
            <v>510</v>
          </cell>
          <cell r="L97">
            <v>500</v>
          </cell>
          <cell r="M97"/>
          <cell r="N97">
            <v>80</v>
          </cell>
          <cell r="O97"/>
          <cell r="P97"/>
          <cell r="R97">
            <v>1211</v>
          </cell>
          <cell r="S97"/>
          <cell r="T97"/>
          <cell r="V97">
            <v>1211</v>
          </cell>
          <cell r="W97">
            <v>55.045454545454547</v>
          </cell>
        </row>
        <row r="98">
          <cell r="G98">
            <v>7500</v>
          </cell>
          <cell r="H98">
            <v>1000</v>
          </cell>
          <cell r="I98"/>
          <cell r="J98">
            <v>5760</v>
          </cell>
          <cell r="K98">
            <v>570</v>
          </cell>
          <cell r="L98"/>
          <cell r="M98"/>
          <cell r="N98">
            <v>610</v>
          </cell>
          <cell r="O98">
            <v>460</v>
          </cell>
          <cell r="P98"/>
          <cell r="R98">
            <v>2062</v>
          </cell>
          <cell r="S98"/>
          <cell r="T98"/>
          <cell r="V98">
            <v>2062</v>
          </cell>
          <cell r="W98">
            <v>93.727272727272734</v>
          </cell>
        </row>
        <row r="99">
          <cell r="G99"/>
          <cell r="H99">
            <v>660</v>
          </cell>
          <cell r="I99">
            <v>1000</v>
          </cell>
          <cell r="J99">
            <v>8030</v>
          </cell>
          <cell r="K99">
            <v>500</v>
          </cell>
          <cell r="L99">
            <v>790</v>
          </cell>
          <cell r="M99"/>
          <cell r="N99">
            <v>700</v>
          </cell>
          <cell r="O99"/>
          <cell r="P99"/>
          <cell r="R99">
            <v>2932</v>
          </cell>
          <cell r="S99"/>
          <cell r="T99"/>
          <cell r="V99">
            <v>2932</v>
          </cell>
          <cell r="W99">
            <v>133.27272727272728</v>
          </cell>
        </row>
        <row r="100">
          <cell r="G100">
            <v>500</v>
          </cell>
          <cell r="H100">
            <v>1000</v>
          </cell>
          <cell r="I100"/>
          <cell r="J100"/>
          <cell r="K100">
            <v>518</v>
          </cell>
          <cell r="L100">
            <v>945</v>
          </cell>
          <cell r="M100"/>
          <cell r="N100">
            <v>190</v>
          </cell>
          <cell r="O100"/>
          <cell r="P100"/>
          <cell r="R100">
            <v>2243</v>
          </cell>
          <cell r="S100"/>
          <cell r="T100"/>
          <cell r="V100">
            <v>2243</v>
          </cell>
          <cell r="W100">
            <v>101.95454545454545</v>
          </cell>
        </row>
        <row r="101">
          <cell r="G101"/>
          <cell r="H101"/>
          <cell r="I101"/>
          <cell r="J101">
            <v>6250</v>
          </cell>
          <cell r="K101">
            <v>570</v>
          </cell>
          <cell r="L101">
            <v>170</v>
          </cell>
          <cell r="M101"/>
          <cell r="N101">
            <v>90</v>
          </cell>
          <cell r="O101">
            <v>1000</v>
          </cell>
          <cell r="P101"/>
          <cell r="R101">
            <v>1870</v>
          </cell>
          <cell r="S101"/>
          <cell r="T101"/>
          <cell r="V101">
            <v>1870</v>
          </cell>
          <cell r="W101">
            <v>85</v>
          </cell>
        </row>
        <row r="102">
          <cell r="G102"/>
          <cell r="H102">
            <v>1000</v>
          </cell>
          <cell r="I102"/>
          <cell r="J102">
            <v>6570</v>
          </cell>
          <cell r="K102">
            <v>560</v>
          </cell>
          <cell r="L102">
            <v>460</v>
          </cell>
          <cell r="M102"/>
          <cell r="N102"/>
          <cell r="O102"/>
          <cell r="P102"/>
          <cell r="R102">
            <v>2041</v>
          </cell>
          <cell r="S102"/>
          <cell r="T102"/>
          <cell r="V102">
            <v>2041</v>
          </cell>
          <cell r="W102">
            <v>92.772727272727266</v>
          </cell>
        </row>
        <row r="103">
          <cell r="G103">
            <v>3000</v>
          </cell>
          <cell r="H103"/>
          <cell r="I103"/>
          <cell r="J103">
            <v>580</v>
          </cell>
          <cell r="K103">
            <v>560</v>
          </cell>
          <cell r="L103">
            <v>300</v>
          </cell>
          <cell r="M103"/>
          <cell r="N103"/>
          <cell r="O103"/>
          <cell r="P103">
            <v>911</v>
          </cell>
          <cell r="R103">
            <v>127</v>
          </cell>
          <cell r="S103">
            <v>553</v>
          </cell>
          <cell r="T103">
            <v>200</v>
          </cell>
          <cell r="V103">
            <v>1633</v>
          </cell>
          <cell r="W103">
            <v>40</v>
          </cell>
        </row>
        <row r="104">
          <cell r="G104"/>
          <cell r="H104"/>
          <cell r="I104"/>
          <cell r="J104">
            <v>1110</v>
          </cell>
          <cell r="K104">
            <v>460</v>
          </cell>
          <cell r="L104"/>
          <cell r="M104"/>
          <cell r="N104">
            <v>550</v>
          </cell>
          <cell r="O104"/>
          <cell r="P104"/>
          <cell r="R104">
            <v>1686</v>
          </cell>
          <cell r="S104">
            <v>21</v>
          </cell>
          <cell r="T104"/>
          <cell r="V104">
            <v>1728</v>
          </cell>
          <cell r="W104">
            <v>77.590909090909093</v>
          </cell>
        </row>
        <row r="105">
          <cell r="G105"/>
          <cell r="H105"/>
          <cell r="I105"/>
          <cell r="J105">
            <v>2290</v>
          </cell>
          <cell r="K105">
            <v>575</v>
          </cell>
          <cell r="L105">
            <v>600</v>
          </cell>
          <cell r="M105"/>
          <cell r="N105">
            <v>380</v>
          </cell>
          <cell r="O105"/>
          <cell r="P105"/>
          <cell r="R105">
            <v>2313</v>
          </cell>
          <cell r="S105"/>
          <cell r="T105"/>
          <cell r="V105">
            <v>2313</v>
          </cell>
          <cell r="W105">
            <v>105.13636363636364</v>
          </cell>
        </row>
        <row r="106">
          <cell r="G106">
            <v>9220</v>
          </cell>
          <cell r="H106">
            <v>1000</v>
          </cell>
          <cell r="I106"/>
          <cell r="J106">
            <v>800</v>
          </cell>
          <cell r="K106">
            <v>560</v>
          </cell>
          <cell r="L106"/>
          <cell r="M106"/>
          <cell r="N106">
            <v>600</v>
          </cell>
          <cell r="O106"/>
          <cell r="P106"/>
          <cell r="R106">
            <v>1620</v>
          </cell>
          <cell r="S106"/>
          <cell r="T106"/>
          <cell r="V106">
            <v>1620</v>
          </cell>
          <cell r="W106">
            <v>73.63636363636364</v>
          </cell>
        </row>
        <row r="107">
          <cell r="G107">
            <v>9730</v>
          </cell>
          <cell r="H107"/>
          <cell r="I107"/>
          <cell r="J107"/>
          <cell r="K107">
            <v>560</v>
          </cell>
          <cell r="L107"/>
          <cell r="M107"/>
          <cell r="N107">
            <v>684</v>
          </cell>
          <cell r="O107"/>
          <cell r="P107"/>
          <cell r="R107">
            <v>1321</v>
          </cell>
          <cell r="S107">
            <v>14</v>
          </cell>
          <cell r="T107">
            <v>6</v>
          </cell>
          <cell r="V107">
            <v>1361</v>
          </cell>
          <cell r="W107">
            <v>60.954545454545453</v>
          </cell>
        </row>
        <row r="108">
          <cell r="G108"/>
          <cell r="H108"/>
          <cell r="I108"/>
          <cell r="J108">
            <v>5770</v>
          </cell>
          <cell r="K108">
            <v>920</v>
          </cell>
          <cell r="L108">
            <v>780</v>
          </cell>
          <cell r="M108"/>
          <cell r="N108">
            <v>260</v>
          </cell>
          <cell r="O108"/>
          <cell r="P108"/>
          <cell r="R108">
            <v>2437</v>
          </cell>
          <cell r="S108"/>
          <cell r="T108"/>
          <cell r="V108">
            <v>2437</v>
          </cell>
          <cell r="W108">
            <v>110.77272727272727</v>
          </cell>
        </row>
        <row r="109">
          <cell r="G109"/>
          <cell r="H109"/>
          <cell r="I109"/>
          <cell r="J109"/>
          <cell r="K109">
            <v>495</v>
          </cell>
          <cell r="L109">
            <v>170</v>
          </cell>
          <cell r="M109"/>
          <cell r="N109">
            <v>300</v>
          </cell>
          <cell r="O109"/>
          <cell r="P109"/>
          <cell r="R109">
            <v>2375</v>
          </cell>
          <cell r="S109">
            <v>4</v>
          </cell>
          <cell r="T109"/>
          <cell r="V109">
            <v>2383</v>
          </cell>
          <cell r="W109">
            <v>108.13636363636364</v>
          </cell>
        </row>
        <row r="110">
          <cell r="G110"/>
          <cell r="H110"/>
          <cell r="I110"/>
          <cell r="J110">
            <v>6720</v>
          </cell>
          <cell r="K110">
            <v>460</v>
          </cell>
          <cell r="L110"/>
          <cell r="M110"/>
          <cell r="N110">
            <v>310</v>
          </cell>
          <cell r="O110"/>
          <cell r="P110"/>
          <cell r="R110">
            <v>2262</v>
          </cell>
          <cell r="S110"/>
          <cell r="T110"/>
          <cell r="V110">
            <v>2262</v>
          </cell>
          <cell r="W110">
            <v>102.81818181818181</v>
          </cell>
        </row>
        <row r="111"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R111">
            <v>308</v>
          </cell>
          <cell r="S111">
            <v>369</v>
          </cell>
          <cell r="T111">
            <v>209</v>
          </cell>
          <cell r="V111">
            <v>1464</v>
          </cell>
          <cell r="W111">
            <v>40.272727272727273</v>
          </cell>
        </row>
        <row r="112">
          <cell r="G112"/>
          <cell r="H112">
            <v>5600</v>
          </cell>
          <cell r="I112"/>
          <cell r="J112"/>
          <cell r="K112">
            <v>535</v>
          </cell>
          <cell r="L112"/>
          <cell r="M112"/>
          <cell r="N112"/>
          <cell r="O112"/>
          <cell r="P112"/>
          <cell r="R112">
            <v>614</v>
          </cell>
          <cell r="S112">
            <v>482</v>
          </cell>
          <cell r="T112">
            <v>282</v>
          </cell>
          <cell r="V112">
            <v>2142</v>
          </cell>
          <cell r="W112">
            <v>62.636363636363633</v>
          </cell>
        </row>
        <row r="113">
          <cell r="G113">
            <v>2750</v>
          </cell>
          <cell r="H113"/>
          <cell r="I113"/>
          <cell r="J113">
            <v>3000</v>
          </cell>
          <cell r="K113">
            <v>400</v>
          </cell>
          <cell r="L113"/>
          <cell r="M113">
            <v>3000</v>
          </cell>
          <cell r="N113"/>
          <cell r="O113"/>
          <cell r="P113"/>
          <cell r="R113">
            <v>569</v>
          </cell>
          <cell r="S113">
            <v>467</v>
          </cell>
          <cell r="T113">
            <v>284</v>
          </cell>
          <cell r="V113">
            <v>2071</v>
          </cell>
          <cell r="W113">
            <v>60</v>
          </cell>
        </row>
        <row r="114">
          <cell r="G114">
            <v>6450</v>
          </cell>
          <cell r="H114">
            <v>300</v>
          </cell>
          <cell r="I114"/>
          <cell r="J114"/>
          <cell r="K114"/>
          <cell r="L114"/>
          <cell r="M114"/>
          <cell r="N114"/>
          <cell r="O114"/>
          <cell r="P114">
            <v>3410</v>
          </cell>
          <cell r="R114">
            <v>748</v>
          </cell>
          <cell r="S114">
            <v>782</v>
          </cell>
          <cell r="T114">
            <v>515</v>
          </cell>
          <cell r="V114">
            <v>3342</v>
          </cell>
          <cell r="W114">
            <v>92.954545454545453</v>
          </cell>
        </row>
        <row r="115">
          <cell r="G115">
            <v>6200</v>
          </cell>
          <cell r="H115"/>
          <cell r="I115"/>
          <cell r="J115">
            <v>300</v>
          </cell>
          <cell r="K115"/>
          <cell r="L115">
            <v>300</v>
          </cell>
          <cell r="M115"/>
          <cell r="N115"/>
          <cell r="O115"/>
          <cell r="P115"/>
          <cell r="R115">
            <v>275</v>
          </cell>
          <cell r="S115">
            <v>656</v>
          </cell>
          <cell r="T115">
            <v>311</v>
          </cell>
          <cell r="V115">
            <v>2209</v>
          </cell>
          <cell r="W115">
            <v>56.454545454545453</v>
          </cell>
        </row>
        <row r="116">
          <cell r="G116">
            <v>1300</v>
          </cell>
          <cell r="H116"/>
          <cell r="I116"/>
          <cell r="J116"/>
          <cell r="K116"/>
          <cell r="L116">
            <v>100</v>
          </cell>
          <cell r="M116"/>
          <cell r="N116">
            <v>3420</v>
          </cell>
          <cell r="O116"/>
          <cell r="P116"/>
          <cell r="R116">
            <v>737</v>
          </cell>
          <cell r="S116">
            <v>779</v>
          </cell>
          <cell r="T116">
            <v>180</v>
          </cell>
          <cell r="V116">
            <v>2655</v>
          </cell>
          <cell r="W116">
            <v>77.090909090909093</v>
          </cell>
        </row>
        <row r="117">
          <cell r="G117"/>
          <cell r="H117">
            <v>1620</v>
          </cell>
          <cell r="I117"/>
          <cell r="J117"/>
          <cell r="K117"/>
          <cell r="L117"/>
          <cell r="M117"/>
          <cell r="N117"/>
          <cell r="O117"/>
          <cell r="P117"/>
          <cell r="R117">
            <v>198</v>
          </cell>
          <cell r="S117">
            <v>555</v>
          </cell>
          <cell r="T117">
            <v>310</v>
          </cell>
          <cell r="V117">
            <v>1928</v>
          </cell>
          <cell r="W117">
            <v>48.31818181818182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R118">
            <v>391</v>
          </cell>
          <cell r="S118">
            <v>104</v>
          </cell>
          <cell r="T118">
            <v>117</v>
          </cell>
          <cell r="V118">
            <v>833</v>
          </cell>
          <cell r="W118">
            <v>27.818181818181817</v>
          </cell>
        </row>
        <row r="119">
          <cell r="G119"/>
          <cell r="H119">
            <v>246</v>
          </cell>
          <cell r="I119"/>
          <cell r="J119">
            <v>6100</v>
          </cell>
          <cell r="K119">
            <v>4670</v>
          </cell>
          <cell r="L119"/>
          <cell r="M119"/>
          <cell r="N119">
            <v>1000</v>
          </cell>
          <cell r="O119"/>
          <cell r="P119"/>
          <cell r="R119">
            <v>851</v>
          </cell>
          <cell r="S119">
            <v>813</v>
          </cell>
          <cell r="T119">
            <v>334</v>
          </cell>
          <cell r="V119">
            <v>3145</v>
          </cell>
          <cell r="W119">
            <v>90.818181818181813</v>
          </cell>
        </row>
        <row r="120">
          <cell r="G120">
            <v>1500</v>
          </cell>
          <cell r="H120"/>
          <cell r="I120"/>
          <cell r="J120">
            <v>950</v>
          </cell>
          <cell r="K120">
            <v>480</v>
          </cell>
          <cell r="L120"/>
          <cell r="M120"/>
          <cell r="N120">
            <v>1100</v>
          </cell>
          <cell r="O120"/>
          <cell r="P120"/>
          <cell r="R120">
            <v>1022</v>
          </cell>
          <cell r="S120">
            <v>780</v>
          </cell>
          <cell r="T120">
            <v>502</v>
          </cell>
          <cell r="V120">
            <v>3586</v>
          </cell>
          <cell r="W120">
            <v>104.72727272727273</v>
          </cell>
        </row>
        <row r="121">
          <cell r="G121">
            <v>2994</v>
          </cell>
          <cell r="H121">
            <v>500</v>
          </cell>
          <cell r="I121"/>
          <cell r="J121"/>
          <cell r="K121"/>
          <cell r="L121"/>
          <cell r="M121"/>
          <cell r="N121"/>
          <cell r="O121"/>
          <cell r="P121"/>
          <cell r="R121">
            <v>351</v>
          </cell>
          <cell r="S121">
            <v>189</v>
          </cell>
          <cell r="T121">
            <v>195</v>
          </cell>
          <cell r="V121">
            <v>1119</v>
          </cell>
          <cell r="W121">
            <v>33.409090909090907</v>
          </cell>
        </row>
        <row r="122"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R122">
            <v>253</v>
          </cell>
          <cell r="S122">
            <v>150</v>
          </cell>
          <cell r="T122"/>
          <cell r="V122">
            <v>553</v>
          </cell>
          <cell r="W122">
            <v>18.318181818181817</v>
          </cell>
        </row>
        <row r="123">
          <cell r="G123"/>
          <cell r="H123">
            <v>950</v>
          </cell>
          <cell r="I123"/>
          <cell r="J123"/>
          <cell r="K123"/>
          <cell r="L123"/>
          <cell r="M123"/>
          <cell r="N123">
            <v>180</v>
          </cell>
          <cell r="O123"/>
          <cell r="P123"/>
          <cell r="R123">
            <v>165</v>
          </cell>
          <cell r="S123">
            <v>220</v>
          </cell>
          <cell r="T123">
            <v>32</v>
          </cell>
          <cell r="V123">
            <v>669</v>
          </cell>
          <cell r="W123">
            <v>18.954545454545453</v>
          </cell>
        </row>
        <row r="124">
          <cell r="G124"/>
          <cell r="H124">
            <v>350</v>
          </cell>
          <cell r="I124"/>
          <cell r="J124"/>
          <cell r="K124"/>
          <cell r="L124"/>
          <cell r="M124"/>
          <cell r="N124">
            <v>400</v>
          </cell>
          <cell r="O124"/>
          <cell r="P124"/>
          <cell r="R124">
            <v>447</v>
          </cell>
          <cell r="S124">
            <v>330</v>
          </cell>
          <cell r="T124">
            <v>88</v>
          </cell>
          <cell r="V124">
            <v>1283</v>
          </cell>
          <cell r="W124">
            <v>39.31818181818182</v>
          </cell>
        </row>
        <row r="125">
          <cell r="G125"/>
          <cell r="H125">
            <v>300</v>
          </cell>
          <cell r="I125"/>
          <cell r="J125"/>
          <cell r="K125"/>
          <cell r="L125"/>
          <cell r="M125"/>
          <cell r="N125">
            <v>300</v>
          </cell>
          <cell r="O125"/>
          <cell r="P125"/>
          <cell r="R125">
            <v>256</v>
          </cell>
          <cell r="S125">
            <v>792</v>
          </cell>
          <cell r="T125">
            <v>217</v>
          </cell>
          <cell r="V125">
            <v>2274</v>
          </cell>
          <cell r="W125">
            <v>57.5</v>
          </cell>
        </row>
        <row r="126">
          <cell r="G126"/>
          <cell r="H126">
            <v>1907</v>
          </cell>
          <cell r="I126"/>
          <cell r="J126">
            <v>350</v>
          </cell>
          <cell r="K126">
            <v>550</v>
          </cell>
          <cell r="L126">
            <v>732</v>
          </cell>
          <cell r="M126"/>
          <cell r="N126"/>
          <cell r="O126">
            <v>494</v>
          </cell>
          <cell r="P126"/>
          <cell r="R126">
            <v>1239</v>
          </cell>
          <cell r="S126"/>
          <cell r="T126"/>
          <cell r="V126">
            <v>1239</v>
          </cell>
          <cell r="W126">
            <v>56.31818181818182</v>
          </cell>
        </row>
        <row r="127"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R127">
            <v>527</v>
          </cell>
          <cell r="S127">
            <v>222</v>
          </cell>
          <cell r="T127">
            <v>178</v>
          </cell>
          <cell r="V127">
            <v>1327</v>
          </cell>
          <cell r="W127">
            <v>42.136363636363633</v>
          </cell>
        </row>
        <row r="128">
          <cell r="G128">
            <v>1000</v>
          </cell>
          <cell r="H128"/>
          <cell r="I128"/>
          <cell r="J128">
            <v>5620</v>
          </cell>
          <cell r="K128"/>
          <cell r="L128">
            <v>850</v>
          </cell>
          <cell r="M128"/>
          <cell r="N128"/>
          <cell r="O128">
            <v>1000</v>
          </cell>
          <cell r="P128"/>
          <cell r="R128">
            <v>1659</v>
          </cell>
          <cell r="S128">
            <v>34</v>
          </cell>
          <cell r="T128">
            <v>185</v>
          </cell>
          <cell r="V128">
            <v>2097</v>
          </cell>
          <cell r="W128">
            <v>85.36363636363636</v>
          </cell>
        </row>
        <row r="129">
          <cell r="G129"/>
          <cell r="H129"/>
          <cell r="I129"/>
          <cell r="J129">
            <v>3450</v>
          </cell>
          <cell r="K129">
            <v>600</v>
          </cell>
          <cell r="L129"/>
          <cell r="M129"/>
          <cell r="N129"/>
          <cell r="O129"/>
          <cell r="P129"/>
          <cell r="R129">
            <v>1518</v>
          </cell>
          <cell r="S129">
            <v>7</v>
          </cell>
          <cell r="T129"/>
          <cell r="V129">
            <v>1532</v>
          </cell>
          <cell r="W129">
            <v>69.318181818181813</v>
          </cell>
        </row>
        <row r="130">
          <cell r="G130"/>
          <cell r="H130"/>
          <cell r="I130"/>
          <cell r="J130"/>
          <cell r="K130">
            <v>560</v>
          </cell>
          <cell r="L130"/>
          <cell r="M130"/>
          <cell r="N130">
            <v>400</v>
          </cell>
          <cell r="O130">
            <v>500</v>
          </cell>
          <cell r="P130"/>
          <cell r="R130">
            <v>1383</v>
          </cell>
          <cell r="S130">
            <v>34</v>
          </cell>
          <cell r="T130">
            <v>17</v>
          </cell>
          <cell r="V130">
            <v>1485</v>
          </cell>
          <cell r="W130">
            <v>65.181818181818187</v>
          </cell>
        </row>
        <row r="131">
          <cell r="G131"/>
          <cell r="H131"/>
          <cell r="I131"/>
          <cell r="J131">
            <v>10700</v>
          </cell>
          <cell r="K131"/>
          <cell r="L131"/>
          <cell r="M131">
            <v>660</v>
          </cell>
          <cell r="N131">
            <v>220</v>
          </cell>
          <cell r="O131">
            <v>500</v>
          </cell>
          <cell r="P131"/>
          <cell r="R131">
            <v>2585</v>
          </cell>
          <cell r="S131"/>
          <cell r="T131"/>
          <cell r="V131">
            <v>2585</v>
          </cell>
          <cell r="W131">
            <v>117.5</v>
          </cell>
        </row>
        <row r="132">
          <cell r="G132">
            <v>4200</v>
          </cell>
          <cell r="H132">
            <v>4500</v>
          </cell>
          <cell r="I132"/>
          <cell r="J132"/>
          <cell r="K132">
            <v>520</v>
          </cell>
          <cell r="L132">
            <v>380</v>
          </cell>
          <cell r="M132"/>
          <cell r="N132"/>
          <cell r="O132">
            <v>500</v>
          </cell>
          <cell r="P132"/>
          <cell r="R132">
            <v>2527</v>
          </cell>
          <cell r="S132"/>
          <cell r="T132"/>
          <cell r="V132">
            <v>2527</v>
          </cell>
          <cell r="W132">
            <v>114.86363636363636</v>
          </cell>
        </row>
        <row r="133">
          <cell r="G133"/>
          <cell r="H133"/>
          <cell r="I133"/>
          <cell r="J133">
            <v>1000</v>
          </cell>
          <cell r="K133">
            <v>560</v>
          </cell>
          <cell r="L133"/>
          <cell r="M133"/>
          <cell r="N133"/>
          <cell r="O133"/>
          <cell r="P133"/>
          <cell r="R133">
            <v>18</v>
          </cell>
          <cell r="S133">
            <v>1004</v>
          </cell>
          <cell r="T133">
            <v>130</v>
          </cell>
          <cell r="V133">
            <v>2286</v>
          </cell>
          <cell r="W133">
            <v>52.363636363636367</v>
          </cell>
        </row>
        <row r="134">
          <cell r="G134">
            <v>900</v>
          </cell>
          <cell r="H134"/>
          <cell r="I134"/>
          <cell r="J134">
            <v>1600</v>
          </cell>
          <cell r="K134"/>
          <cell r="L134">
            <v>380</v>
          </cell>
          <cell r="M134"/>
          <cell r="N134">
            <v>540</v>
          </cell>
          <cell r="O134"/>
          <cell r="P134"/>
          <cell r="R134">
            <v>1157</v>
          </cell>
          <cell r="S134"/>
          <cell r="T134"/>
          <cell r="V134">
            <v>1157</v>
          </cell>
          <cell r="W134">
            <v>52.590909090909093</v>
          </cell>
        </row>
        <row r="135">
          <cell r="G135"/>
          <cell r="H135"/>
          <cell r="I135"/>
          <cell r="J135"/>
          <cell r="K135"/>
          <cell r="L135"/>
          <cell r="M135"/>
          <cell r="N135"/>
          <cell r="O135">
            <v>500</v>
          </cell>
          <cell r="P135"/>
          <cell r="R135">
            <v>1323</v>
          </cell>
          <cell r="S135">
            <v>191</v>
          </cell>
          <cell r="T135">
            <v>64</v>
          </cell>
          <cell r="V135">
            <v>1833</v>
          </cell>
          <cell r="W135">
            <v>71.727272727272734</v>
          </cell>
        </row>
        <row r="136">
          <cell r="G136"/>
          <cell r="H136"/>
          <cell r="I136"/>
          <cell r="J136"/>
          <cell r="K136">
            <v>600</v>
          </cell>
          <cell r="L136">
            <v>500</v>
          </cell>
          <cell r="M136"/>
          <cell r="N136"/>
          <cell r="O136">
            <v>500</v>
          </cell>
          <cell r="P136">
            <v>500</v>
          </cell>
          <cell r="R136">
            <v>1285</v>
          </cell>
          <cell r="S136"/>
          <cell r="T136"/>
          <cell r="V136">
            <v>1285</v>
          </cell>
          <cell r="W136">
            <v>58.409090909090907</v>
          </cell>
        </row>
        <row r="137">
          <cell r="G137"/>
          <cell r="H137">
            <v>1000</v>
          </cell>
          <cell r="I137"/>
          <cell r="J137"/>
          <cell r="K137"/>
          <cell r="L137"/>
          <cell r="M137"/>
          <cell r="N137">
            <v>1180</v>
          </cell>
          <cell r="O137"/>
          <cell r="P137"/>
          <cell r="R137">
            <v>947</v>
          </cell>
          <cell r="S137">
            <v>3</v>
          </cell>
          <cell r="T137">
            <v>149</v>
          </cell>
          <cell r="V137">
            <v>1251</v>
          </cell>
          <cell r="W137">
            <v>49.954545454545453</v>
          </cell>
        </row>
        <row r="138">
          <cell r="G138">
            <v>1500</v>
          </cell>
          <cell r="H138"/>
          <cell r="I138">
            <v>500</v>
          </cell>
          <cell r="J138">
            <v>8440</v>
          </cell>
          <cell r="K138">
            <v>600</v>
          </cell>
          <cell r="L138">
            <v>800</v>
          </cell>
          <cell r="M138"/>
          <cell r="N138"/>
          <cell r="O138"/>
          <cell r="P138"/>
          <cell r="R138">
            <v>1121</v>
          </cell>
          <cell r="S138">
            <v>16</v>
          </cell>
          <cell r="T138">
            <v>18</v>
          </cell>
          <cell r="V138">
            <v>1189</v>
          </cell>
          <cell r="W138">
            <v>52.5</v>
          </cell>
        </row>
        <row r="139">
          <cell r="G139">
            <v>750</v>
          </cell>
          <cell r="H139">
            <v>420</v>
          </cell>
          <cell r="I139"/>
          <cell r="J139">
            <v>4440</v>
          </cell>
          <cell r="K139">
            <v>510</v>
          </cell>
          <cell r="L139">
            <v>280</v>
          </cell>
          <cell r="M139"/>
          <cell r="N139"/>
          <cell r="O139"/>
          <cell r="P139"/>
          <cell r="R139">
            <v>1296</v>
          </cell>
          <cell r="S139">
            <v>2</v>
          </cell>
          <cell r="T139"/>
          <cell r="V139">
            <v>1300</v>
          </cell>
          <cell r="W139">
            <v>59</v>
          </cell>
        </row>
        <row r="140"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R140">
            <v>1169</v>
          </cell>
          <cell r="S140"/>
          <cell r="T140"/>
          <cell r="V140">
            <v>1169</v>
          </cell>
          <cell r="W140">
            <v>53.136363636363633</v>
          </cell>
        </row>
        <row r="141">
          <cell r="G141"/>
          <cell r="H141"/>
          <cell r="I141"/>
          <cell r="J141">
            <v>1000</v>
          </cell>
          <cell r="K141"/>
          <cell r="L141"/>
          <cell r="M141"/>
          <cell r="N141">
            <v>1000</v>
          </cell>
          <cell r="O141">
            <v>500</v>
          </cell>
          <cell r="P141"/>
          <cell r="R141">
            <v>1427</v>
          </cell>
          <cell r="S141">
            <v>32</v>
          </cell>
          <cell r="T141"/>
          <cell r="V141">
            <v>1491</v>
          </cell>
          <cell r="W141">
            <v>66.318181818181813</v>
          </cell>
        </row>
        <row r="142"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R142">
            <v>351</v>
          </cell>
          <cell r="S142"/>
          <cell r="T142"/>
          <cell r="V142">
            <v>351</v>
          </cell>
          <cell r="W142">
            <v>15.954545454545455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13F10B-2BBD-4FD7-ABFF-AD0EBB442ECD}" name="SimpleDashData810" displayName="SimpleDashData810" ref="BA1:CA138" totalsRowCount="1">
  <autoFilter ref="BA1:CA137" xr:uid="{4CB6E396-E17B-4038-AF9F-64A8FA026E9D}"/>
  <tableColumns count="27">
    <tableColumn id="1" xr3:uid="{39AC200F-15F2-401C-87A5-A3688E1C33AC}" name="Sr No"/>
    <tableColumn id="2" xr3:uid="{B802E3DE-F6B4-4397-BB64-8D892ADB4760}" name="QCNM Name"/>
    <tableColumn id="3" xr3:uid="{89723439-B9B5-4473-A92B-AA901565921C}" name="Code"/>
    <tableColumn id="4" xr3:uid="{E79A283B-41B5-47F7-8E23-0887AFD81613}" name="Act"/>
    <tableColumn id="5" xr3:uid="{675B893B-C9F0-46C5-8A54-4A59DFAA8430}" name="Region"/>
    <tableColumn id="6" xr3:uid="{63494C43-F9A7-40E3-AAEC-2B56396E506C}" name="Section"/>
    <tableColumn id="7" xr3:uid="{FCB3AEB8-0E88-413B-B44D-B62BF6E203E5}" name="Convayance" dataDxfId="32"/>
    <tableColumn id="8" xr3:uid="{84C55EE8-9D99-4508-A86A-3027547DAF6E}" name="Purchasing" dataDxfId="31"/>
    <tableColumn id="9" xr3:uid="{2B37CDEF-4E1D-4B95-B3B5-213C85CC31C5}" name="Freight"/>
    <tableColumn id="10" xr3:uid="{E6ACDCCC-0E0F-4ADD-8C4B-EA100CD4BA60}" name="Packing"/>
    <tableColumn id="11" xr3:uid="{42E082A5-FC40-4E38-9E1B-964C779E8F1A}" name="Postage"/>
    <tableColumn id="12" xr3:uid="{7FF5AFD8-A1F5-4441-85F3-C8D8C7654818}" name="Printing"/>
    <tableColumn id="13" xr3:uid="{A1545B04-6E99-4444-B431-01FDD6E73C2E}" name="Repair"/>
    <tableColumn id="14" xr3:uid="{C4F50D39-E7B6-48A0-AE55-C44A61C4E78B}" name="Stationary"/>
    <tableColumn id="15" xr3:uid="{B071A882-886D-43ED-8EDB-C2086FD0A66D}" name="Utilities"/>
    <tableColumn id="16" xr3:uid="{CE193A47-D987-493E-AEFB-7F05C27A637E}" name="Misc"/>
    <tableColumn id="17" xr3:uid="{C42FF8BC-B932-48CB-87F8-430A48EAE35C}" name="Total Expense" dataDxfId="30">
      <calculatedColumnFormula>SUM(SimpleDashData810[[#This Row],[Convayance]:[Misc]])</calculatedColumnFormula>
    </tableColumn>
    <tableColumn id="18" xr3:uid="{16BB1A9E-0CE5-40F4-90E9-97779BBB1CCF}" name="Male" dataDxfId="29"/>
    <tableColumn id="19" xr3:uid="{23FB6030-1BFA-4148-9418-32E415E44607}" name="Female"/>
    <tableColumn id="20" xr3:uid="{F9BE66E9-8896-4E0D-9776-1A6C27B27A02}" name="Child"/>
    <tableColumn id="21" xr3:uid="{34CB9E02-A306-477F-AC52-A5FEDDAD9BA7}" name="Total Patients" dataDxfId="28">
      <calculatedColumnFormula>SUM(SimpleDashData810[[#This Row],[Male]:[Child]])</calculatedColumnFormula>
    </tableColumn>
    <tableColumn id="22" xr3:uid="{949A7F4C-4C47-4A3B-9E92-EE0CA3913D90}" name="Daily Average" dataDxfId="27"/>
    <tableColumn id="23" xr3:uid="{72914011-0AD0-4A87-99B1-55662A75D192}" name="Dispense Days" dataDxfId="26">
      <calculatedColumnFormula>'[1]Expense Master June-26'!W7</calculatedColumnFormula>
    </tableColumn>
    <tableColumn id="24" xr3:uid="{E8E1B2C6-91AD-483D-A376-50F13712BB4E}" name="Last Month Patient"/>
    <tableColumn id="25" xr3:uid="{B88417BB-ED2A-4794-9E96-1FFEAB5112C2}" name="Performance over Last Month"/>
    <tableColumn id="26" xr3:uid="{ED330BAB-4E89-4AE6-96F1-E7270CEC4095}" name="Expense Per Patient" dataDxfId="25">
      <calculatedColumnFormula>SimpleDashData810[[#This Row],[Total Expense]]/SimpleDashData810[[#This Row],[Total Patients]]</calculatedColumnFormula>
    </tableColumn>
    <tableColumn id="27" xr3:uid="{6044FDC2-71FD-4C60-8B65-2ABD21C25E1A}" name="Monthly Performance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7C8070-953D-4D66-9D92-00A8F10A757C}" name="SimpleDashData88" displayName="SimpleDashData88" ref="BA1:CA138" totalsRowCount="1">
  <autoFilter ref="BA1:CA137" xr:uid="{4CB6E396-E17B-4038-AF9F-64A8FA026E9D}"/>
  <tableColumns count="27">
    <tableColumn id="1" xr3:uid="{FA3DED86-C009-4308-B0BC-5A9138B74B95}" name="Sr No"/>
    <tableColumn id="2" xr3:uid="{5A73A38B-ACE8-40C8-BDBE-819DD0F07F6E}" name="QCNM Name"/>
    <tableColumn id="3" xr3:uid="{00EB596D-9356-4EFA-93FC-C530BC3F92DE}" name="Code"/>
    <tableColumn id="4" xr3:uid="{6E1640F0-8F68-43FF-8DF3-9EED772F9106}" name="Act"/>
    <tableColumn id="5" xr3:uid="{A2DF5B9F-6E3F-4FF8-A8EA-8E8DDFE30156}" name="Region"/>
    <tableColumn id="6" xr3:uid="{99907B80-B0AC-4A37-9BA5-26082C6D6658}" name="Section"/>
    <tableColumn id="7" xr3:uid="{80FE4F6A-699C-4B0E-8878-63F33F52DCAB}" name="Convayance" dataDxfId="24"/>
    <tableColumn id="8" xr3:uid="{9812E1CB-91AC-48CC-A4DA-8D3D0546E0BC}" name="Purchasing" dataDxfId="23"/>
    <tableColumn id="9" xr3:uid="{59C236B3-CC30-4AB3-9E67-78C054684ED7}" name="Freight"/>
    <tableColumn id="10" xr3:uid="{8DFB243C-65CA-40C8-B6B0-2F6505375359}" name="Packing"/>
    <tableColumn id="11" xr3:uid="{C84928A8-AA3E-4775-9341-A468ED2E3582}" name="Postage"/>
    <tableColumn id="12" xr3:uid="{9D50B531-18C0-4267-8C1D-660137B31B0B}" name="Printing"/>
    <tableColumn id="13" xr3:uid="{865F81B4-43BF-4D44-A559-35E6B3F0FE51}" name="Repair"/>
    <tableColumn id="14" xr3:uid="{617DDB27-B2CE-437B-B824-8D3DE8D8F338}" name="Stationary"/>
    <tableColumn id="15" xr3:uid="{7010D33E-807B-41E2-9662-33233EB3F26A}" name="Utilities"/>
    <tableColumn id="16" xr3:uid="{4B6910CC-41D6-4626-8B57-864722E75DDB}" name="Misc"/>
    <tableColumn id="17" xr3:uid="{C9A6CB08-D1A8-4F58-997A-717502EF8D02}" name="Total Expense" dataDxfId="22">
      <calculatedColumnFormula>SUM(SimpleDashData88[[#This Row],[Convayance]:[Misc]])</calculatedColumnFormula>
    </tableColumn>
    <tableColumn id="18" xr3:uid="{8C054E5A-FAB8-47BE-822F-AF3CB522CF55}" name="Male" dataDxfId="21"/>
    <tableColumn id="19" xr3:uid="{8F0A9BDB-DFBA-4921-9BD6-96E694F84FF7}" name="Female"/>
    <tableColumn id="20" xr3:uid="{4E41CD63-B128-450A-BB75-6F34DC283A33}" name="Child"/>
    <tableColumn id="21" xr3:uid="{C7113EB4-14C4-4DB9-9E43-AB51E141F77F}" name="Total Patients" dataDxfId="20">
      <calculatedColumnFormula>SUM(SimpleDashData88[[#This Row],[Male]:[Child]])</calculatedColumnFormula>
    </tableColumn>
    <tableColumn id="22" xr3:uid="{789905C1-1D43-45F8-ABD3-ED33581F313C}" name="Daily Average" dataDxfId="19"/>
    <tableColumn id="23" xr3:uid="{EFD05A72-019D-43A5-84C8-42913D3BF012}" name="Dispense Days" dataDxfId="18"/>
    <tableColumn id="24" xr3:uid="{2BB15037-3E24-4764-94E7-BDEB54084414}" name="Last Month Patient"/>
    <tableColumn id="25" xr3:uid="{F02E6954-1D0D-476F-B746-DD4A4154A393}" name="Performance over Last Month"/>
    <tableColumn id="26" xr3:uid="{2E6BE976-00A3-438E-A737-670064B84205}" name="Expense Per Patient" dataDxfId="17">
      <calculatedColumnFormula>SimpleDashData88[[#This Row],[Total Expense]]/SimpleDashData88[[#This Row],[Total Patients]]</calculatedColumnFormula>
    </tableColumn>
    <tableColumn id="27" xr3:uid="{95882743-8ACC-4771-8F2D-66EC2B1B9E79}" name="Monthly Performance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DF8B80-051D-46DD-BC84-1AFAEDA71B50}" name="SimpleDashData84" displayName="SimpleDashData84" ref="BA1:CA138" totalsRowCount="1">
  <autoFilter ref="BA1:CA137" xr:uid="{4CB6E396-E17B-4038-AF9F-64A8FA026E9D}"/>
  <tableColumns count="27">
    <tableColumn id="1" xr3:uid="{8D6F647D-753B-4B02-8EA1-4EB58E70AD11}" name="Sr No"/>
    <tableColumn id="2" xr3:uid="{C0F4C7DB-BEA5-4CEC-876E-F7232B41CF6E}" name="QCNM Name"/>
    <tableColumn id="3" xr3:uid="{7FC18CC6-DF6A-4D2A-84E5-B38654D82C8C}" name="Code"/>
    <tableColumn id="4" xr3:uid="{86115EDD-93C4-4ACE-A80B-0D7545121135}" name="Act"/>
    <tableColumn id="5" xr3:uid="{4F115924-20D6-4080-885D-EC6940B966A2}" name="Region"/>
    <tableColumn id="6" xr3:uid="{C51F90A9-929E-46DF-BF43-842101EB98AD}" name="Section"/>
    <tableColumn id="7" xr3:uid="{24A4AEF5-CBBE-495E-8084-BE559D33AFAB}" name="Convayance" dataDxfId="16"/>
    <tableColumn id="8" xr3:uid="{E373930C-7AAF-4968-B9A9-73A02F093193}" name="Purchasing" dataDxfId="15"/>
    <tableColumn id="9" xr3:uid="{7A1FCBA0-ECA7-44A0-A407-4187043F4B60}" name="Freight"/>
    <tableColumn id="10" xr3:uid="{E6F6362B-6FF2-4F2E-8F15-A40D7B674FBF}" name="Packing"/>
    <tableColumn id="11" xr3:uid="{79F83E85-4223-414B-A3A4-033940897E27}" name="Postage"/>
    <tableColumn id="12" xr3:uid="{ACCE9922-D590-4883-9FA7-37563CDCD492}" name="Printing"/>
    <tableColumn id="13" xr3:uid="{AA248FA0-4D80-495E-ABBB-BF58541F1789}" name="Repair"/>
    <tableColumn id="14" xr3:uid="{100058C6-302E-4214-AA86-7D0D55AAC419}" name="Stationary"/>
    <tableColumn id="15" xr3:uid="{5D1B4A5E-B0DE-4272-982E-0425879DFE38}" name="Utilities"/>
    <tableColumn id="16" xr3:uid="{F34EDE4A-8383-4007-9A61-E243A7356EEE}" name="Misc"/>
    <tableColumn id="17" xr3:uid="{1E002905-57B5-4E9C-9C9C-1B233769F905}" name="Total Expense" dataDxfId="14">
      <calculatedColumnFormula>SUM(SimpleDashData84[[#This Row],[Convayance]:[Misc]])</calculatedColumnFormula>
    </tableColumn>
    <tableColumn id="18" xr3:uid="{D9D45C6F-B756-459F-9BAB-D5AF3542C8DE}" name="Male" dataDxfId="13"/>
    <tableColumn id="19" xr3:uid="{3916F995-C697-491F-983C-97832D163394}" name="Female"/>
    <tableColumn id="20" xr3:uid="{A3A22291-5B70-4AAA-86FD-9B6538D41B33}" name="Child"/>
    <tableColumn id="21" xr3:uid="{0EAC7CFF-E477-49DD-BD50-EC839168AE81}" name="Total Patients" dataDxfId="12">
      <calculatedColumnFormula>SUM(SimpleDashData84[[#This Row],[Male]:[Child]])</calculatedColumnFormula>
    </tableColumn>
    <tableColumn id="22" xr3:uid="{66C3129A-4995-4A4D-87D5-2CE4EB21CAC6}" name="Daily Average" dataDxfId="11"/>
    <tableColumn id="23" xr3:uid="{A46A5BA0-175A-4CB5-A96B-82CD313C40BE}" name="Dispense Days" dataDxfId="10">
      <calculatedColumnFormula>'[1]Expense Master June-26'!W7</calculatedColumnFormula>
    </tableColumn>
    <tableColumn id="24" xr3:uid="{BD110385-2C5C-4CED-8C2F-3516D9D0D85B}" name="Last Month Patient"/>
    <tableColumn id="25" xr3:uid="{F616D4A2-E3B3-495E-AF1C-82611F0E9EBC}" name="Performance over Last Month"/>
    <tableColumn id="26" xr3:uid="{5D2FAB36-ECAA-4CA2-867F-1317E18A75C2}" name="Expense Per Patient" dataDxfId="9">
      <calculatedColumnFormula>SimpleDashData84[[#This Row],[Total Expense]]/SimpleDashData84[[#This Row],[Total Patients]]</calculatedColumnFormula>
    </tableColumn>
    <tableColumn id="27" xr3:uid="{987AAF24-15F2-4D57-A858-2663935F7CCE}" name="Monthly Performance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705B8-EED1-47D5-AD8E-B19A1C534335}" name="SimpleDashData8" displayName="SimpleDashData8" ref="BA1:CA138" totalsRowCount="1">
  <autoFilter ref="BA1:CA137" xr:uid="{4CB6E396-E17B-4038-AF9F-64A8FA026E9D}"/>
  <tableColumns count="27">
    <tableColumn id="1" xr3:uid="{5963762C-EEB4-4965-A211-88DE7A8AB907}" name="Sr No"/>
    <tableColumn id="2" xr3:uid="{0B28609B-6962-49ED-B671-C22B35A6D2C2}" name="QCNM Name"/>
    <tableColumn id="3" xr3:uid="{51F2CD28-F45D-4CC8-B01C-FB09CBF227BE}" name="Code"/>
    <tableColumn id="4" xr3:uid="{4D2564D0-5355-438F-AAF2-EFD46AACA614}" name="Act"/>
    <tableColumn id="5" xr3:uid="{E6F1E84F-8607-41E5-929F-21A0575A6BDB}" name="Region"/>
    <tableColumn id="6" xr3:uid="{0053ADA9-FDA9-4977-BBDF-9D941F63CEEA}" name="Section"/>
    <tableColumn id="7" xr3:uid="{DE0E9FF4-637F-44CE-8B6E-41971F41AF1F}" name="Convayance" dataDxfId="8">
      <calculatedColumnFormula>'[1]Expense Master June-26'!G7</calculatedColumnFormula>
    </tableColumn>
    <tableColumn id="8" xr3:uid="{36A3F4FB-5C03-4CB4-A5EE-4090EDA51E19}" name="Purchasing" dataDxfId="7">
      <calculatedColumnFormula>'[1]Expense Master June-26'!H7</calculatedColumnFormula>
    </tableColumn>
    <tableColumn id="9" xr3:uid="{4F2D7BAA-2354-455F-83A6-E124F59954E9}" name="Freight">
      <calculatedColumnFormula>'[1]Expense Master June-26'!I7</calculatedColumnFormula>
    </tableColumn>
    <tableColumn id="10" xr3:uid="{B43EA1B4-A67B-4660-924E-2EF3B71D8214}" name="Packing">
      <calculatedColumnFormula>'[1]Expense Master June-26'!J7</calculatedColumnFormula>
    </tableColumn>
    <tableColumn id="11" xr3:uid="{0E8367E5-8E9A-4253-8687-1CC1313D8EB1}" name="Postage">
      <calculatedColumnFormula>'[1]Expense Master June-26'!K7</calculatedColumnFormula>
    </tableColumn>
    <tableColumn id="12" xr3:uid="{04A04E08-BD65-40D8-8EA2-20A2880B00CE}" name="Printing">
      <calculatedColumnFormula>'[1]Expense Master June-26'!L7</calculatedColumnFormula>
    </tableColumn>
    <tableColumn id="13" xr3:uid="{7318AA8D-1A5F-454C-BB48-6D82BEAB8B55}" name="Repair">
      <calculatedColumnFormula>'[1]Expense Master June-26'!M7</calculatedColumnFormula>
    </tableColumn>
    <tableColumn id="14" xr3:uid="{837323B5-BAC9-4012-ABAA-C23455F8AD77}" name="Stationary">
      <calculatedColumnFormula>'[1]Expense Master June-26'!N7</calculatedColumnFormula>
    </tableColumn>
    <tableColumn id="15" xr3:uid="{BBEAB734-6934-4FCB-B8C2-3255C62107A8}" name="Utilities">
      <calculatedColumnFormula>'[1]Expense Master June-26'!O7</calculatedColumnFormula>
    </tableColumn>
    <tableColumn id="16" xr3:uid="{9E695501-23B2-47D6-804C-AF1215F0D128}" name="Misc">
      <calculatedColumnFormula>'[1]Expense Master June-26'!P7</calculatedColumnFormula>
    </tableColumn>
    <tableColumn id="17" xr3:uid="{625FD262-5B69-4704-BCAA-BEF5896F6848}" name="Total Expense" dataDxfId="6">
      <calculatedColumnFormula>SUM(SimpleDashData8[[#This Row],[Convayance]:[Misc]])</calculatedColumnFormula>
    </tableColumn>
    <tableColumn id="18" xr3:uid="{926A56A1-15E0-4387-BCC8-A42EE5C019D0}" name="Male" dataDxfId="5">
      <calculatedColumnFormula>'[1]Expense Master June-26'!R7</calculatedColumnFormula>
    </tableColumn>
    <tableColumn id="19" xr3:uid="{37A314A5-6E15-4DA7-BFB7-F6DE03443577}" name="Female">
      <calculatedColumnFormula>'[1]Expense Master June-26'!S7</calculatedColumnFormula>
    </tableColumn>
    <tableColumn id="20" xr3:uid="{3876BDAA-E785-4771-830A-D69311FEFCB1}" name="Child">
      <calculatedColumnFormula>'[1]Expense Master June-26'!T7</calculatedColumnFormula>
    </tableColumn>
    <tableColumn id="21" xr3:uid="{0106DD15-4C7E-4D66-B777-BE6B2568FDC8}" name="Total Patients" dataDxfId="4">
      <calculatedColumnFormula>SUM(SimpleDashData8[[#This Row],[Male]:[Child]])</calculatedColumnFormula>
    </tableColumn>
    <tableColumn id="22" xr3:uid="{81F7D544-AD6A-457E-99EE-77095EFF2EA3}" name="Daily Average" dataDxfId="3">
      <calculatedColumnFormula>'[1]Expense Master June-26'!V7</calculatedColumnFormula>
    </tableColumn>
    <tableColumn id="23" xr3:uid="{27508A5A-AF42-407B-A3FB-6EE13C817A05}" name="Dispense Days" dataDxfId="2">
      <calculatedColumnFormula>'[1]Expense Master June-26'!W7</calculatedColumnFormula>
    </tableColumn>
    <tableColumn id="24" xr3:uid="{97009491-61CD-4387-8AD6-1F11B4ECB190}" name="Last Month Patient"/>
    <tableColumn id="25" xr3:uid="{C3180618-AA26-47B2-A855-145B8BF957FD}" name="Performance over Last Month"/>
    <tableColumn id="26" xr3:uid="{056E2126-6A6F-4CD3-8F30-5EDD9EE76F05}" name="Expense Per Patient" dataDxfId="1">
      <calculatedColumnFormula>SimpleDashData8[[#This Row],[Total Expense]]/SimpleDashData8[[#This Row],[Total Patients]]</calculatedColumnFormula>
    </tableColumn>
    <tableColumn id="27" xr3:uid="{B9108BBD-D1BC-43B2-BB2B-96092FEC06A3}" name="Monthly Performance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E8628C-0D0D-496F-B118-1EB7F5B62512}" name="SimpleDashData83" displayName="SimpleDashData83" ref="BA1:CA139" totalsRowCount="1">
  <autoFilter ref="BA1:CA138" xr:uid="{4CB6E396-E17B-4038-AF9F-64A8FA026E9D}"/>
  <tableColumns count="27">
    <tableColumn id="1" xr3:uid="{3513F2A0-697E-42E2-AA8D-449DF265CB9C}" name="Sr No"/>
    <tableColumn id="2" xr3:uid="{A947F016-E654-482B-9766-D1011AB73B4B}" name="QCNM Name" dataDxfId="41" dataCellStyle="Normal 3"/>
    <tableColumn id="3" xr3:uid="{E44D4BEC-8E01-4BB2-8FF6-184CC31CA622}" name="Code"/>
    <tableColumn id="4" xr3:uid="{8037925A-ACD8-4EB6-BDE9-14B6BD02C4D9}" name="Act"/>
    <tableColumn id="5" xr3:uid="{214F5450-7CFF-4B7C-8371-FA74BC035E6C}" name="Region"/>
    <tableColumn id="6" xr3:uid="{E0CEB5C0-6E50-4951-B824-FF77B4F9D001}" name="Section"/>
    <tableColumn id="7" xr3:uid="{BD43F63E-8C2A-4DC9-AEEC-FCC77685B18B}" name="Convayance" dataDxfId="40"/>
    <tableColumn id="8" xr3:uid="{83136103-E1C6-4FC6-86AA-C02A77547439}" name="Purchasing" dataDxfId="39"/>
    <tableColumn id="9" xr3:uid="{52F1E6E0-2B8F-44E2-A31E-9CB30E7DC4B2}" name="Freight"/>
    <tableColumn id="10" xr3:uid="{B4876883-2652-4618-A421-365263D9FAF5}" name="Packing"/>
    <tableColumn id="11" xr3:uid="{A1E64446-E487-49EB-9742-03429C0916F8}" name="Postage"/>
    <tableColumn id="12" xr3:uid="{D526AE9E-9DAA-4A51-8603-E5646CA7AD92}" name="Printing"/>
    <tableColumn id="13" xr3:uid="{FEBB201E-E550-4E41-A085-1D72B44045DF}" name="Repair"/>
    <tableColumn id="14" xr3:uid="{0E0A61A4-CA28-4105-BAFD-6DEF7004C99D}" name="Stationary"/>
    <tableColumn id="15" xr3:uid="{26D33A88-015E-4BB6-9098-460A90D060FD}" name="Utilities"/>
    <tableColumn id="16" xr3:uid="{D094365A-FD48-4E81-AFA2-5B5F8A0D670E}" name="Misc"/>
    <tableColumn id="17" xr3:uid="{8A0AE5EE-3046-46E5-933C-703077F26452}" name="Total Expense" totalsRowFunction="sum" dataDxfId="38" totalsRowDxfId="0">
      <calculatedColumnFormula>SUM(SimpleDashData83[[#This Row],[Convayance]:[Misc]])</calculatedColumnFormula>
    </tableColumn>
    <tableColumn id="18" xr3:uid="{D37B27FA-78C2-49C2-ADD0-4CA5B69592CA}" name="Male" dataDxfId="37"/>
    <tableColumn id="19" xr3:uid="{40EF80CF-71B1-4D19-BE11-81A984D54F32}" name="Female"/>
    <tableColumn id="20" xr3:uid="{3BB6988C-40D3-4AF0-8C43-302E94EA32FC}" name="Child"/>
    <tableColumn id="21" xr3:uid="{EE2F13FE-6372-43C7-B1F8-466089D818B9}" name="Total Patients" totalsRowFunction="sum" dataDxfId="36">
      <calculatedColumnFormula>SUM(SimpleDashData83[[#This Row],[Male]:[Child]])</calculatedColumnFormula>
    </tableColumn>
    <tableColumn id="22" xr3:uid="{60F120FD-4007-4DBA-8689-E6C696D7A176}" name="Daily Average" dataDxfId="35"/>
    <tableColumn id="23" xr3:uid="{F3A7301C-B005-4F58-9B81-7CD929E7A5D9}" name="Dispense Days" dataDxfId="34"/>
    <tableColumn id="24" xr3:uid="{28B5897F-3604-4912-A03E-A428A5DB4280}" name="Last Month Patient"/>
    <tableColumn id="25" xr3:uid="{10E1D5DC-DD94-4B27-B945-EBB38BA7EBAB}" name="Performance over Last Month"/>
    <tableColumn id="26" xr3:uid="{89759A91-93E5-4A45-8A1D-AB943D34DBF6}" name="Expense Per Patient" dataDxfId="33">
      <calculatedColumnFormula>SimpleDashData83[[#This Row],[Total Expense]]/SimpleDashData83[[#This Row],[Total Patients]]</calculatedColumnFormula>
    </tableColumn>
    <tableColumn id="27" xr3:uid="{7EDFCDA3-E2D9-4CAE-B9CE-55B9CB4D4978}" name="Monthly 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FEB9B3-9C06-475A-B1B9-7CEF4A20D399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9E4D-5868-4357-BD7F-46456F85683D}">
  <dimension ref="A1:CA300"/>
  <sheetViews>
    <sheetView topLeftCell="E1" zoomScale="105" zoomScaleNormal="149" workbookViewId="0">
      <selection activeCell="L22" sqref="L22"/>
    </sheetView>
  </sheetViews>
  <sheetFormatPr defaultRowHeight="14.4" x14ac:dyDescent="0.3"/>
  <cols>
    <col min="1" max="1" width="12.6640625" customWidth="1"/>
    <col min="2" max="2" width="37.5546875" customWidth="1"/>
    <col min="3" max="3" width="12.6640625" customWidth="1"/>
    <col min="4" max="4" width="12.5546875" bestFit="1" customWidth="1"/>
    <col min="5" max="5" width="6.77734375" customWidth="1"/>
    <col min="6" max="6" width="12.33203125" bestFit="1" customWidth="1"/>
    <col min="7" max="7" width="15.44140625" bestFit="1" customWidth="1"/>
    <col min="8" max="8" width="11.109375" bestFit="1" customWidth="1"/>
    <col min="9" max="9" width="11.109375" customWidth="1"/>
    <col min="10" max="10" width="13.6640625" bestFit="1" customWidth="1"/>
    <col min="11" max="12" width="16.33203125" customWidth="1"/>
    <col min="13" max="13" width="8.5546875" customWidth="1"/>
    <col min="14" max="14" width="18.5546875" bestFit="1" customWidth="1"/>
    <col min="15" max="15" width="11.33203125" customWidth="1"/>
    <col min="16" max="16" width="8.33203125" customWidth="1"/>
    <col min="17" max="17" width="13.109375" bestFit="1" customWidth="1"/>
    <col min="18" max="18" width="12.88671875" bestFit="1" customWidth="1"/>
    <col min="19" max="19" width="7.109375" bestFit="1" customWidth="1"/>
    <col min="20" max="20" width="19.33203125" customWidth="1"/>
    <col min="21" max="21" width="7.109375" bestFit="1" customWidth="1"/>
    <col min="22" max="22" width="6.77734375" bestFit="1" customWidth="1"/>
    <col min="23" max="23" width="18.6640625" customWidth="1"/>
    <col min="24" max="24" width="17.6640625" customWidth="1"/>
    <col min="25" max="25" width="7.88671875" bestFit="1" customWidth="1"/>
    <col min="26" max="26" width="12.88671875" bestFit="1" customWidth="1"/>
    <col min="27" max="27" width="7.109375" bestFit="1" customWidth="1"/>
    <col min="28" max="28" width="15.88671875" bestFit="1" customWidth="1"/>
    <col min="30" max="30" width="5.33203125" bestFit="1" customWidth="1"/>
    <col min="31" max="31" width="11.88671875" bestFit="1" customWidth="1"/>
    <col min="32" max="32" width="12.5546875" bestFit="1" customWidth="1"/>
    <col min="33" max="33" width="17" bestFit="1" customWidth="1"/>
    <col min="35" max="35" width="17.21875" bestFit="1" customWidth="1"/>
    <col min="36" max="36" width="7.5546875" bestFit="1" customWidth="1"/>
    <col min="37" max="38" width="0" hidden="1" customWidth="1"/>
    <col min="53" max="53" width="7.6640625" bestFit="1" customWidth="1"/>
    <col min="54" max="56" width="43" bestFit="1" customWidth="1"/>
    <col min="57" max="57" width="25.77734375" bestFit="1" customWidth="1"/>
    <col min="58" max="58" width="10.77734375" bestFit="1" customWidth="1"/>
    <col min="59" max="59" width="13.21875" bestFit="1" customWidth="1"/>
    <col min="60" max="60" width="12.33203125" bestFit="1" customWidth="1"/>
    <col min="61" max="61" width="9" bestFit="1" customWidth="1"/>
    <col min="62" max="63" width="9.77734375" bestFit="1" customWidth="1"/>
    <col min="64" max="64" width="9.6640625" bestFit="1" customWidth="1"/>
    <col min="65" max="65" width="8.6640625" bestFit="1" customWidth="1"/>
    <col min="66" max="66" width="11.77734375" bestFit="1" customWidth="1"/>
    <col min="67" max="67" width="9.88671875" bestFit="1" customWidth="1"/>
    <col min="68" max="68" width="7.109375" bestFit="1" customWidth="1"/>
    <col min="69" max="69" width="14.5546875" bestFit="1" customWidth="1"/>
    <col min="70" max="70" width="7.21875" bestFit="1" customWidth="1"/>
    <col min="71" max="71" width="9.44140625" bestFit="1" customWidth="1"/>
    <col min="72" max="72" width="7.6640625" bestFit="1" customWidth="1"/>
    <col min="73" max="73" width="14.5546875" bestFit="1" customWidth="1"/>
    <col min="74" max="74" width="14.33203125" bestFit="1" customWidth="1"/>
    <col min="75" max="75" width="15.33203125" bestFit="1" customWidth="1"/>
    <col min="76" max="76" width="18.5546875" bestFit="1" customWidth="1"/>
    <col min="77" max="77" width="27.33203125" bestFit="1" customWidth="1"/>
    <col min="78" max="78" width="19.77734375" bestFit="1" customWidth="1"/>
    <col min="79" max="79" width="21" bestFit="1" customWidth="1"/>
  </cols>
  <sheetData>
    <row r="1" spans="1:79" ht="23.4" x14ac:dyDescent="0.4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AK1" t="s">
        <v>1</v>
      </c>
      <c r="AL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10</v>
      </c>
      <c r="BI1" t="s">
        <v>11</v>
      </c>
      <c r="BJ1" t="s">
        <v>12</v>
      </c>
      <c r="BK1" t="s">
        <v>13</v>
      </c>
      <c r="BL1" t="s">
        <v>14</v>
      </c>
      <c r="BM1" t="s">
        <v>15</v>
      </c>
      <c r="BN1" t="s">
        <v>16</v>
      </c>
      <c r="BO1" t="s">
        <v>17</v>
      </c>
      <c r="BP1" t="s">
        <v>18</v>
      </c>
      <c r="BQ1" t="s">
        <v>19</v>
      </c>
      <c r="BR1" t="s">
        <v>20</v>
      </c>
      <c r="BS1" t="s">
        <v>21</v>
      </c>
      <c r="BT1" t="s">
        <v>22</v>
      </c>
      <c r="BU1" t="s">
        <v>23</v>
      </c>
      <c r="BV1" t="s">
        <v>24</v>
      </c>
      <c r="BW1" t="s">
        <v>25</v>
      </c>
      <c r="BX1" t="s">
        <v>26</v>
      </c>
      <c r="BY1" t="s">
        <v>27</v>
      </c>
      <c r="BZ1" t="s">
        <v>28</v>
      </c>
      <c r="CA1" t="s">
        <v>29</v>
      </c>
    </row>
    <row r="2" spans="1:79" ht="15" thickBot="1" x14ac:dyDescent="0.35">
      <c r="A2" s="70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AK2" t="s">
        <v>19</v>
      </c>
      <c r="AL2" t="s">
        <v>31</v>
      </c>
      <c r="BA2">
        <v>1</v>
      </c>
      <c r="BB2" t="s">
        <v>32</v>
      </c>
      <c r="BC2">
        <v>2010210</v>
      </c>
      <c r="BD2" t="s">
        <v>33</v>
      </c>
      <c r="BE2" t="s">
        <v>34</v>
      </c>
      <c r="BF2" t="s">
        <v>35</v>
      </c>
      <c r="BG2">
        <v>1350</v>
      </c>
      <c r="BH2">
        <v>0</v>
      </c>
      <c r="BI2">
        <v>0</v>
      </c>
      <c r="BJ2">
        <v>10500</v>
      </c>
      <c r="BK2">
        <v>560</v>
      </c>
      <c r="BL2">
        <v>0</v>
      </c>
      <c r="BM2">
        <v>0</v>
      </c>
      <c r="BN2">
        <v>90</v>
      </c>
      <c r="BO2">
        <v>1000</v>
      </c>
      <c r="BP2">
        <v>1400</v>
      </c>
      <c r="BQ2">
        <f>SUM(SimpleDashData810[[#This Row],[Convayance]:[Misc]])</f>
        <v>14900</v>
      </c>
      <c r="BR2">
        <v>1441</v>
      </c>
      <c r="BS2">
        <v>723</v>
      </c>
      <c r="BT2">
        <v>341</v>
      </c>
      <c r="BU2">
        <f>SUM(SimpleDashData810[[#This Row],[Male]:[Child]])</f>
        <v>2505</v>
      </c>
      <c r="BW2">
        <f>'[1]Expense Master June-26'!W7</f>
        <v>0</v>
      </c>
      <c r="BZ2">
        <f>SimpleDashData810[[#This Row],[Total Expense]]/SimpleDashData810[[#This Row],[Total Patients]]</f>
        <v>5.9481037924151696</v>
      </c>
      <c r="CA2">
        <v>0</v>
      </c>
    </row>
    <row r="3" spans="1:79" ht="25.05" customHeight="1" thickTop="1" thickBot="1" x14ac:dyDescent="0.35">
      <c r="A3" s="58" t="s">
        <v>227</v>
      </c>
      <c r="B3" s="80" t="s">
        <v>36</v>
      </c>
      <c r="C3" s="80"/>
      <c r="D3" s="84" t="s">
        <v>226</v>
      </c>
      <c r="E3" s="84"/>
      <c r="F3" s="1"/>
      <c r="G3" s="80" t="s">
        <v>37</v>
      </c>
      <c r="H3" s="80"/>
      <c r="I3" s="80"/>
      <c r="K3" s="56" t="s">
        <v>38</v>
      </c>
      <c r="L3" s="56" t="s">
        <v>39</v>
      </c>
      <c r="AK3" t="s">
        <v>9</v>
      </c>
      <c r="AL3" t="s">
        <v>40</v>
      </c>
      <c r="BA3">
        <v>2</v>
      </c>
      <c r="BB3" t="s">
        <v>41</v>
      </c>
      <c r="BC3">
        <v>2010215</v>
      </c>
      <c r="BD3" t="s">
        <v>33</v>
      </c>
      <c r="BE3" t="s">
        <v>34</v>
      </c>
      <c r="BF3" t="s">
        <v>35</v>
      </c>
      <c r="BG3">
        <v>0</v>
      </c>
      <c r="BH3">
        <v>0</v>
      </c>
      <c r="BI3">
        <v>0</v>
      </c>
      <c r="BJ3">
        <v>0</v>
      </c>
      <c r="BK3">
        <v>570</v>
      </c>
      <c r="BL3">
        <v>0</v>
      </c>
      <c r="BM3">
        <v>0</v>
      </c>
      <c r="BN3">
        <v>0</v>
      </c>
      <c r="BO3">
        <v>0</v>
      </c>
      <c r="BP3">
        <v>1000</v>
      </c>
      <c r="BQ3">
        <f>SUM(SimpleDashData810[[#This Row],[Convayance]:[Misc]])</f>
        <v>1570</v>
      </c>
      <c r="BR3">
        <v>500</v>
      </c>
      <c r="BS3">
        <v>210</v>
      </c>
      <c r="BT3">
        <v>190</v>
      </c>
      <c r="BU3">
        <f>SUM(SimpleDashData810[[#This Row],[Male]:[Child]])</f>
        <v>900</v>
      </c>
      <c r="BW3">
        <f>'[1]Expense Master June-26'!W8</f>
        <v>0</v>
      </c>
      <c r="BZ3">
        <f>SimpleDashData810[[#This Row],[Total Expense]]/SimpleDashData810[[#This Row],[Total Patients]]</f>
        <v>1.7444444444444445</v>
      </c>
      <c r="CA3">
        <v>0</v>
      </c>
    </row>
    <row r="4" spans="1:79" ht="25.05" customHeight="1" thickTop="1" thickBot="1" x14ac:dyDescent="0.35">
      <c r="A4" s="59" t="s">
        <v>224</v>
      </c>
      <c r="B4" s="83" t="s">
        <v>42</v>
      </c>
      <c r="C4" s="83"/>
      <c r="D4" s="81"/>
      <c r="E4" s="82"/>
      <c r="F4" s="1"/>
      <c r="G4" s="83" t="s">
        <v>43</v>
      </c>
      <c r="H4" s="83"/>
      <c r="I4" s="83"/>
      <c r="K4" s="57" t="s">
        <v>19</v>
      </c>
      <c r="L4" s="57" t="s">
        <v>31</v>
      </c>
      <c r="AK4" t="s">
        <v>10</v>
      </c>
      <c r="AL4" t="s">
        <v>20</v>
      </c>
      <c r="BA4">
        <v>3</v>
      </c>
      <c r="BB4" t="s">
        <v>44</v>
      </c>
      <c r="BC4">
        <v>2010298</v>
      </c>
      <c r="BD4" t="s">
        <v>33</v>
      </c>
      <c r="BE4" t="s">
        <v>34</v>
      </c>
      <c r="BF4" t="s">
        <v>35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f>SUM(SimpleDashData810[[#This Row],[Convayance]:[Misc]])</f>
        <v>0</v>
      </c>
      <c r="BR4">
        <v>718</v>
      </c>
      <c r="BS4">
        <v>1297</v>
      </c>
      <c r="BT4">
        <v>293</v>
      </c>
      <c r="BU4">
        <f>SUM(SimpleDashData810[[#This Row],[Male]:[Child]])</f>
        <v>2308</v>
      </c>
      <c r="BW4">
        <f>'[1]Expense Master June-26'!W9</f>
        <v>0</v>
      </c>
      <c r="BZ4">
        <f>SimpleDashData810[[#This Row],[Total Expense]]/SimpleDashData810[[#This Row],[Total Patients]]</f>
        <v>0</v>
      </c>
      <c r="CA4">
        <v>0</v>
      </c>
    </row>
    <row r="5" spans="1:79" ht="15" thickTop="1" x14ac:dyDescent="0.3">
      <c r="AI5" t="s">
        <v>45</v>
      </c>
      <c r="AJ5" t="s">
        <v>46</v>
      </c>
      <c r="AK5" t="s">
        <v>11</v>
      </c>
      <c r="AL5" t="s">
        <v>21</v>
      </c>
      <c r="BA5">
        <v>4</v>
      </c>
      <c r="BB5" t="s">
        <v>47</v>
      </c>
      <c r="BD5" t="s">
        <v>33</v>
      </c>
      <c r="BE5" t="s">
        <v>34</v>
      </c>
      <c r="BF5" t="s">
        <v>35</v>
      </c>
      <c r="BG5">
        <v>6000</v>
      </c>
      <c r="BH5">
        <v>3700</v>
      </c>
      <c r="BI5">
        <v>0</v>
      </c>
      <c r="BJ5">
        <v>0</v>
      </c>
      <c r="BK5">
        <v>0</v>
      </c>
      <c r="BL5">
        <v>0</v>
      </c>
      <c r="BM5">
        <v>600</v>
      </c>
      <c r="BN5">
        <v>0</v>
      </c>
      <c r="BO5">
        <v>0</v>
      </c>
      <c r="BP5">
        <v>1000</v>
      </c>
      <c r="BQ5">
        <f>SUM(SimpleDashData810[[#This Row],[Convayance]:[Misc]])</f>
        <v>11300</v>
      </c>
      <c r="BR5">
        <v>891</v>
      </c>
      <c r="BS5">
        <v>1325</v>
      </c>
      <c r="BT5">
        <v>431</v>
      </c>
      <c r="BU5">
        <f>SUM(SimpleDashData810[[#This Row],[Male]:[Child]])</f>
        <v>2647</v>
      </c>
      <c r="BW5">
        <f>'[1]Expense Master June-26'!W10</f>
        <v>0</v>
      </c>
      <c r="BZ5">
        <f>SimpleDashData810[[#This Row],[Total Expense]]/SimpleDashData810[[#This Row],[Total Patients]]</f>
        <v>4.2689837551945597</v>
      </c>
      <c r="CA5">
        <v>0</v>
      </c>
    </row>
    <row r="6" spans="1:79" x14ac:dyDescent="0.3">
      <c r="AI6" t="s">
        <v>9</v>
      </c>
      <c r="AJ6" s="2">
        <f>SUMIFS(SimpleDashData810[Convayance],SimpleDashData810[Section],IF($A$4="All Sections","&lt;&gt;",$A$4))</f>
        <v>156061</v>
      </c>
      <c r="AK6" t="s">
        <v>12</v>
      </c>
      <c r="AL6" t="s">
        <v>22</v>
      </c>
      <c r="BA6">
        <v>5</v>
      </c>
      <c r="BB6" t="s">
        <v>48</v>
      </c>
      <c r="BD6" t="s">
        <v>33</v>
      </c>
      <c r="BE6" t="s">
        <v>34</v>
      </c>
      <c r="BF6" t="s">
        <v>35</v>
      </c>
      <c r="BG6">
        <v>9750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1800</v>
      </c>
      <c r="BO6">
        <v>1000</v>
      </c>
      <c r="BP6">
        <v>0</v>
      </c>
      <c r="BQ6">
        <f>SUM(SimpleDashData810[[#This Row],[Convayance]:[Misc]])</f>
        <v>12550</v>
      </c>
      <c r="BR6">
        <v>1308</v>
      </c>
      <c r="BS6">
        <v>706</v>
      </c>
      <c r="BT6">
        <v>165</v>
      </c>
      <c r="BU6">
        <f>SUM(SimpleDashData810[[#This Row],[Male]:[Child]])</f>
        <v>2179</v>
      </c>
      <c r="BW6">
        <f>'[1]Expense Master June-26'!W11</f>
        <v>0</v>
      </c>
      <c r="BZ6">
        <f>SimpleDashData810[[#This Row],[Total Expense]]/SimpleDashData810[[#This Row],[Total Patients]]</f>
        <v>5.7595227168425884</v>
      </c>
      <c r="CA6">
        <v>0</v>
      </c>
    </row>
    <row r="7" spans="1:79" x14ac:dyDescent="0.3">
      <c r="A7" s="3" t="s">
        <v>19</v>
      </c>
      <c r="B7" s="4"/>
      <c r="C7" s="3" t="s">
        <v>23</v>
      </c>
      <c r="D7" s="4"/>
      <c r="E7" s="3" t="s">
        <v>49</v>
      </c>
      <c r="F7" s="4"/>
      <c r="G7" s="3" t="s">
        <v>50</v>
      </c>
      <c r="H7" s="4"/>
      <c r="I7" s="4"/>
      <c r="J7" s="3" t="s">
        <v>51</v>
      </c>
      <c r="K7" s="4"/>
      <c r="L7" s="3" t="s">
        <v>52</v>
      </c>
      <c r="M7" s="4"/>
      <c r="N7" s="4" t="s">
        <v>53</v>
      </c>
      <c r="O7" s="4"/>
      <c r="AI7" t="s">
        <v>10</v>
      </c>
      <c r="AJ7" s="2">
        <f>SUMIFS(SimpleDashData810[Purchasing],SimpleDashData810[Section],IF($A$4="All Sections","&lt;&gt;",$A$4))</f>
        <v>132426</v>
      </c>
      <c r="AK7" t="s">
        <v>13</v>
      </c>
      <c r="BA7">
        <v>6</v>
      </c>
      <c r="BB7" t="s">
        <v>54</v>
      </c>
      <c r="BD7" t="s">
        <v>33</v>
      </c>
      <c r="BE7" t="s">
        <v>34</v>
      </c>
      <c r="BF7" t="s">
        <v>35</v>
      </c>
      <c r="BG7">
        <v>0</v>
      </c>
      <c r="BH7">
        <v>500</v>
      </c>
      <c r="BI7">
        <v>0</v>
      </c>
      <c r="BJ7">
        <v>0</v>
      </c>
      <c r="BK7">
        <v>0</v>
      </c>
      <c r="BL7">
        <v>330</v>
      </c>
      <c r="BM7">
        <v>0</v>
      </c>
      <c r="BN7">
        <v>0</v>
      </c>
      <c r="BO7">
        <v>0</v>
      </c>
      <c r="BP7">
        <v>0</v>
      </c>
      <c r="BQ7">
        <f>SUM(SimpleDashData810[[#This Row],[Convayance]:[Misc]])</f>
        <v>830</v>
      </c>
      <c r="BR7">
        <v>1030</v>
      </c>
      <c r="BS7">
        <v>1377</v>
      </c>
      <c r="BT7">
        <v>300</v>
      </c>
      <c r="BU7">
        <f>SUM(SimpleDashData810[[#This Row],[Male]:[Child]])</f>
        <v>2707</v>
      </c>
      <c r="BW7">
        <f>'[1]Expense Master June-26'!W12</f>
        <v>0</v>
      </c>
      <c r="BZ7">
        <f>SimpleDashData810[[#This Row],[Total Expense]]/SimpleDashData810[[#This Row],[Total Patients]]</f>
        <v>0.30661248614702624</v>
      </c>
      <c r="CA7">
        <v>0</v>
      </c>
    </row>
    <row r="8" spans="1:79" x14ac:dyDescent="0.3">
      <c r="A8" s="5" cm="1">
        <f t="array" ref="A8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Sections",1,SimpleDashData810[Section]=$A$4))*SimpleDashData810[Total Expense])</f>
        <v>919633</v>
      </c>
      <c r="B8" s="6"/>
      <c r="C8" s="5" cm="1">
        <f t="array" ref="C8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Sections",1,SimpleDashData810[Section]=$A$4))*SimpleDashData810[Total Patients])</f>
        <v>240252</v>
      </c>
      <c r="D8" s="6"/>
      <c r="E8" s="5" cm="1">
        <f t="array" ref="E8">SUMPRODUCT((IF($D$4&lt;&gt;"",1,IF($B$4="All Regions",1,SimpleDashData810[Region]=$B$4)))*(IF($D$4&lt;&gt;"",SimpleDashData810[QCNM Name]=$D$4,IF($G$4="All Clinics",1,SimpleDashData810[QCNM Name]=$G$4)))*(IF($A$4="All Sections",1,SimpleDashData810[Section]=$A$4))*(SimpleDashData810[QCNM Name]&lt;&gt;""))</f>
        <v>136</v>
      </c>
      <c r="F8" s="6"/>
      <c r="G8" s="7">
        <f>IFERROR(A8/C8,0)</f>
        <v>3.827784992424621</v>
      </c>
      <c r="H8" s="6"/>
      <c r="I8" s="6"/>
      <c r="J8" s="5" cm="1">
        <f t="array" ref="J8">SUMPRODUCT((IF($D$4&lt;&gt;"",1,IF($B$4="All Regions",1,SimpleDashData810[Region]=$B$4)))*(IF($D$4&lt;&gt;"",SimpleDashData810[QCNM Name]=$D$4,IF($G$4="All Clinics",1,SimpleDashData810[QCNM Name]=$G$4)))*(IF($A$4="All Sections",1,SimpleDashData810[Section]=$A$4))*(SimpleDashData810[Section]="Public")*SimpleDashData810[Total Expense])</f>
        <v>387832</v>
      </c>
      <c r="K8" s="6"/>
      <c r="L8" s="5" cm="1">
        <f t="array" ref="L8">SUMPRODUCT((IF($D$4&lt;&gt;"",1,IF($B$4="All Regions",1,SimpleDashData810[Region]=$B$4)))*(IF($D$4&lt;&gt;"",SimpleDashData810[QCNM Name]=$D$4,IF($G$4="All Clinics",1,SimpleDashData810[QCNM Name]=$G$4)))*(IF($A$4="All Sections",1,SimpleDashData810[Section]=$A$4))*(SimpleDashData810[Section]="Prison")*SimpleDashData810[Total Expense])</f>
        <v>531801</v>
      </c>
      <c r="M8" s="8"/>
      <c r="N8" s="8" t="str">
        <f>IF($D$4&lt;&gt;"","Search: "&amp;$D$4&amp;" / "&amp;$A$4,$A$4&amp;" / "&amp;$B$4&amp;" / "&amp;$G$4)</f>
        <v>All Sections / All Regions / All Clinics</v>
      </c>
      <c r="O8" s="8"/>
      <c r="AI8" t="s">
        <v>11</v>
      </c>
      <c r="AJ8" s="2">
        <f>SUMIFS(SimpleDashData810[Freight],SimpleDashData810[Section],IF($A$4="All Sections","&lt;&gt;",$A$4))</f>
        <v>87208</v>
      </c>
      <c r="AK8" t="s">
        <v>14</v>
      </c>
      <c r="BA8">
        <v>7</v>
      </c>
      <c r="BB8" t="s">
        <v>55</v>
      </c>
      <c r="BD8" t="s">
        <v>33</v>
      </c>
      <c r="BE8" t="s">
        <v>34</v>
      </c>
      <c r="BF8" t="s">
        <v>35</v>
      </c>
      <c r="BG8">
        <v>0</v>
      </c>
      <c r="BH8">
        <v>2800</v>
      </c>
      <c r="BI8">
        <v>0</v>
      </c>
      <c r="BJ8">
        <v>0</v>
      </c>
      <c r="BK8">
        <v>0</v>
      </c>
      <c r="BL8">
        <v>360</v>
      </c>
      <c r="BM8">
        <v>0</v>
      </c>
      <c r="BN8">
        <v>0</v>
      </c>
      <c r="BO8">
        <v>0</v>
      </c>
      <c r="BP8">
        <v>0</v>
      </c>
      <c r="BQ8">
        <f>SUM(SimpleDashData810[[#This Row],[Convayance]:[Misc]])</f>
        <v>3160</v>
      </c>
      <c r="BR8">
        <v>190</v>
      </c>
      <c r="BS8">
        <v>1012</v>
      </c>
      <c r="BT8">
        <v>119</v>
      </c>
      <c r="BU8">
        <f>SUM(SimpleDashData810[[#This Row],[Male]:[Child]])</f>
        <v>1321</v>
      </c>
      <c r="BW8">
        <f>'[1]Expense Master June-26'!W13</f>
        <v>0</v>
      </c>
      <c r="BZ8">
        <f>SimpleDashData810[[#This Row],[Total Expense]]/SimpleDashData810[[#This Row],[Total Patients]]</f>
        <v>2.3921271763815293</v>
      </c>
      <c r="CA8">
        <v>0</v>
      </c>
    </row>
    <row r="9" spans="1:79" x14ac:dyDescent="0.3">
      <c r="C9" s="9"/>
      <c r="AI9" t="s">
        <v>12</v>
      </c>
      <c r="AJ9" s="2">
        <f>SUMIFS(SimpleDashData810[Packing],SimpleDashData810[Section],IF($A$4="All Sections","&lt;&gt;",$A$4))</f>
        <v>356425</v>
      </c>
      <c r="AK9" t="s">
        <v>15</v>
      </c>
      <c r="BA9">
        <v>8</v>
      </c>
      <c r="BB9" t="s">
        <v>56</v>
      </c>
      <c r="BD9" t="s">
        <v>33</v>
      </c>
      <c r="BE9" t="s">
        <v>34</v>
      </c>
      <c r="BF9" t="s">
        <v>35</v>
      </c>
      <c r="BG9">
        <v>0</v>
      </c>
      <c r="BH9">
        <v>1000</v>
      </c>
      <c r="BI9">
        <v>0</v>
      </c>
      <c r="BJ9">
        <v>0</v>
      </c>
      <c r="BK9">
        <v>0</v>
      </c>
      <c r="BL9">
        <v>490</v>
      </c>
      <c r="BM9">
        <v>0</v>
      </c>
      <c r="BN9">
        <v>200</v>
      </c>
      <c r="BO9">
        <v>0</v>
      </c>
      <c r="BP9">
        <v>0</v>
      </c>
      <c r="BQ9">
        <f>SUM(SimpleDashData810[[#This Row],[Convayance]:[Misc]])</f>
        <v>1690</v>
      </c>
      <c r="BR9">
        <v>427</v>
      </c>
      <c r="BS9">
        <v>1170</v>
      </c>
      <c r="BT9">
        <v>113</v>
      </c>
      <c r="BU9">
        <f>SUM(SimpleDashData810[[#This Row],[Male]:[Child]])</f>
        <v>1710</v>
      </c>
      <c r="BW9">
        <f>'[1]Expense Master June-26'!W14</f>
        <v>0</v>
      </c>
      <c r="BZ9">
        <f>SimpleDashData810[[#This Row],[Total Expense]]/SimpleDashData810[[#This Row],[Total Patients]]</f>
        <v>0.98830409356725146</v>
      </c>
      <c r="CA9">
        <v>0</v>
      </c>
    </row>
    <row r="10" spans="1:79" x14ac:dyDescent="0.3">
      <c r="H10" s="62" t="b">
        <v>0</v>
      </c>
      <c r="AI10" t="s">
        <v>13</v>
      </c>
      <c r="AJ10" s="2">
        <f>SUMIFS(SimpleDashData810[Postage],SimpleDashData810[Section],IF($A$4="All Sections","&lt;&gt;",$A$4))</f>
        <v>29060</v>
      </c>
      <c r="AK10" t="s">
        <v>16</v>
      </c>
      <c r="BA10">
        <v>9</v>
      </c>
      <c r="BB10" t="s">
        <v>57</v>
      </c>
      <c r="BD10" t="s">
        <v>33</v>
      </c>
      <c r="BE10" t="s">
        <v>34</v>
      </c>
      <c r="BF10" t="s">
        <v>35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f>SUM(SimpleDashData810[[#This Row],[Convayance]:[Misc]])</f>
        <v>0</v>
      </c>
      <c r="BR10">
        <v>718</v>
      </c>
      <c r="BS10">
        <v>1297</v>
      </c>
      <c r="BT10">
        <v>293</v>
      </c>
      <c r="BU10">
        <f>SUM(SimpleDashData810[[#This Row],[Male]:[Child]])</f>
        <v>2308</v>
      </c>
      <c r="BW10">
        <f>'[1]Expense Master June-26'!W15</f>
        <v>0</v>
      </c>
      <c r="BZ10">
        <f>SimpleDashData810[[#This Row],[Total Expense]]/SimpleDashData810[[#This Row],[Total Patients]]</f>
        <v>0</v>
      </c>
      <c r="CA10">
        <v>0</v>
      </c>
    </row>
    <row r="11" spans="1:79" x14ac:dyDescent="0.3">
      <c r="A11" s="10" t="s">
        <v>58</v>
      </c>
      <c r="B11" s="10" t="s">
        <v>59</v>
      </c>
      <c r="C11" s="10" t="s">
        <v>6</v>
      </c>
      <c r="D11" s="10" t="s">
        <v>7</v>
      </c>
      <c r="E11" s="10" t="s">
        <v>8</v>
      </c>
      <c r="F11" s="10" t="str">
        <f>IF($K$4="","Total Expense",$K$4)</f>
        <v>Total Expense</v>
      </c>
      <c r="G11" s="10" t="str">
        <f>IF($L$4="Expense Rank","Total Patients",$L$4&amp;" Patients")</f>
        <v>Total Patients</v>
      </c>
      <c r="H11" s="10" t="s">
        <v>60</v>
      </c>
      <c r="I11" s="10"/>
      <c r="J11" s="11" t="s">
        <v>58</v>
      </c>
      <c r="K11" s="11" t="s">
        <v>61</v>
      </c>
      <c r="L11" s="11" t="s">
        <v>46</v>
      </c>
      <c r="N11" s="11" t="s">
        <v>8</v>
      </c>
      <c r="O11" s="11" t="s">
        <v>62</v>
      </c>
      <c r="AI11" t="s">
        <v>14</v>
      </c>
      <c r="AJ11" s="2">
        <f>SUMIFS(SimpleDashData810[Printing],SimpleDashData810[Section],IF($A$4="All Sections","&lt;&gt;",$A$4))</f>
        <v>42044</v>
      </c>
      <c r="AK11" t="s">
        <v>17</v>
      </c>
      <c r="BA11">
        <v>10</v>
      </c>
      <c r="BB11" s="12" t="s">
        <v>63</v>
      </c>
      <c r="BC11">
        <v>2010259</v>
      </c>
      <c r="BD11" t="s">
        <v>33</v>
      </c>
      <c r="BE11" t="s">
        <v>34</v>
      </c>
      <c r="BF11" t="s">
        <v>64</v>
      </c>
      <c r="BG11">
        <v>0</v>
      </c>
      <c r="BH11">
        <v>0</v>
      </c>
      <c r="BI11">
        <v>0</v>
      </c>
      <c r="BJ11">
        <v>250</v>
      </c>
      <c r="BK11">
        <v>0</v>
      </c>
      <c r="BL11">
        <v>0</v>
      </c>
      <c r="BM11">
        <v>0</v>
      </c>
      <c r="BN11">
        <v>0</v>
      </c>
      <c r="BO11">
        <v>1000</v>
      </c>
      <c r="BP11">
        <v>0</v>
      </c>
      <c r="BQ11">
        <f>SUM(SimpleDashData810[[#This Row],[Convayance]:[Misc]])</f>
        <v>1250</v>
      </c>
      <c r="BR11">
        <v>2040</v>
      </c>
      <c r="BS11">
        <v>0</v>
      </c>
      <c r="BT11">
        <v>0</v>
      </c>
      <c r="BU11">
        <f>SUM(SimpleDashData810[[#This Row],[Male]:[Child]])</f>
        <v>2040</v>
      </c>
      <c r="BW11">
        <f>'[1]Expense Master June-26'!W16</f>
        <v>0</v>
      </c>
      <c r="BZ11">
        <f>SimpleDashData810[[#This Row],[Total Expense]]/SimpleDashData810[[#This Row],[Total Patients]]</f>
        <v>0.61274509803921573</v>
      </c>
      <c r="CA11">
        <v>0</v>
      </c>
    </row>
    <row r="12" spans="1:79" x14ac:dyDescent="0.3">
      <c r="A12" cm="1">
        <f t="array" ref="A12:A147">IFERROR(_xlfn.SEQUENCE(ROWS(_xlfn.ANCHORARRAY(B12))),"")</f>
        <v>1</v>
      </c>
      <c r="B12" t="str" cm="1">
        <f t="array" ref="B12:B147">_xlfn.LET(_xlpm.r,IF($D$4&lt;&gt;"",1,IF($B$4="All Regions",1,SimpleDashData810[Region]=$B$4)),_xlpm.c,IF($D$4&lt;&gt;"",SimpleDashData810[QCNM Name]=$D$4,IF($G$4="All Clinics",1,SimpleDashData810[QCNM Name]=$G$4)),_xlpm.s,IF($A$4="All Sections",1,SimpleDashData810[Section]=$A$4),_xlpm.m,_xlfn.SWITCH($L$4,"Total",SimpleDashData810[Total Patients],"Male",SimpleDashData810[Male],"Female",SimpleDashData810[Female],"Child",SimpleDashData810[Child],_xlfn.SWITCH($K$4,"Convayance",SimpleDashData810[Convayance],"Purchasing",SimpleDashData810[Purchasing],"Freight",SimpleDashData810[Freight],"Packing",SimpleDashData810[Packing],"Postage",SimpleDashData810[Postage],"Printing",SimpleDashData810[Printing],"Repair",SimpleDashData810[Repair],"Stationary",SimpleDashData810[Stationary],"Utilities",SimpleDashData810[Utilities],"Misc",SimpleDashData810[Misc],SimpleDashData810[Total Expense])),IFERROR(_xlfn.SORTBY(_xlfn._xlws.FILTER(SimpleDashData810[QCNM Name],_xlpm.r*_xlpm.c*_xlpm.s),_xlfn._xlws.FILTER(_xlpm.m,_xlpm.r*_xlpm.c*_xlpm.s),-1),""))</f>
        <v>QCNM Rawalakot, University of Poonch</v>
      </c>
      <c r="C12" t="str" cm="1">
        <f t="array" ref="C12:C147">IFERROR(_xlfn.XLOOKUP(_xlfn.ANCHORARRAY(B12),SimpleDashData810[QCNM Name],SimpleDashData810[Act]),"")</f>
        <v>Trust Act</v>
      </c>
      <c r="D12" t="str" cm="1">
        <f t="array" ref="D12:D147">IFERROR(_xlfn.XLOOKUP(_xlfn.ANCHORARRAY(B12),SimpleDashData810[QCNM Name],SimpleDashData810[Region]),"")</f>
        <v>Sindh, Balochistan &amp; AJK Region</v>
      </c>
      <c r="E12" t="str" cm="1">
        <f t="array" ref="E12:E147">IFERROR(_xlfn.XLOOKUP(_xlfn.ANCHORARRAY(B12),SimpleDashData810[QCNM Name],SimpleDashData810[Section]),"")</f>
        <v>Public</v>
      </c>
      <c r="F12" s="2" cm="1">
        <f t="array" ref="F12:F147">_xlfn.LET(_xlpm.m,_xlfn.SWITCH($K$4,"Convayance",SimpleDashData810[Convayance],"Purchasing",SimpleDashData810[Purchasing],"Freight",SimpleDashData810[Freight],"Packing",SimpleDashData810[Packing],"Postage",SimpleDashData810[Postage],"Printing",SimpleDashData810[Printing],"Repair",SimpleDashData810[Repair],"Stationary",SimpleDashData810[Stationary],"Utilities",SimpleDashData810[Utilities],"Misc",SimpleDashData810[Misc],SimpleDashData810[Total Expense]),IFERROR(_xlfn.XLOOKUP(_xlfn.ANCHORARRAY(B12),SimpleDashData810[QCNM Name],_xlpm.m),""))</f>
        <v>33420</v>
      </c>
      <c r="G12" s="2" cm="1">
        <f t="array" ref="G12:G147">_xlfn.LET(_xlpm.p,_xlfn.SWITCH($L$4,"Male",SimpleDashData810[Male],"Female",SimpleDashData810[Female],"Child",SimpleDashData810[Child],SimpleDashData810[Total Patients]),IFERROR(_xlfn.XLOOKUP(_xlfn.ANCHORARRAY(B12),SimpleDashData810[QCNM Name],_xlpm.p),""))</f>
        <v>1851</v>
      </c>
      <c r="H12" s="13" cm="1">
        <f t="array" ref="H12:H147">IFERROR(_xlfn.XLOOKUP(_xlfn.ANCHORARRAY(B12),SimpleDashData810[QCNM Name],SimpleDashData810[Expense Per Patient]),"")</f>
        <v>18.055105348460291</v>
      </c>
      <c r="I12" s="13"/>
      <c r="J12" s="14" cm="1">
        <f t="array" ref="J12:L21">_xlfn.LET(_xlpm.x,_xlfn.SORTBY($BF$152:$BG$161,$BG$152:$BG$161,-1),_xlfn.HSTACK(_xlfn.SEQUENCE(ROWS(_xlpm.x)),_xlpm.x))</f>
        <v>1</v>
      </c>
      <c r="K12" s="14" t="str">
        <v>Packing</v>
      </c>
      <c r="L12" s="15">
        <v>356425</v>
      </c>
      <c r="N12" s="14" t="s">
        <v>35</v>
      </c>
      <c r="O12" s="15" cm="1">
        <f t="array" ref="O12">SUMPRODUCT((IF($D$4&lt;&gt;"",1,IF($B$4="All Regions",1,SimpleDashData810[Region]=$B$4)))*(IF($D$4&lt;&gt;"",SimpleDashData810[QCNM Name]=$D$4,IF($G$4="All Clinics",1,SimpleDashData810[QCNM Name]=$G$4)))*(IF($A$4="All Sections",1,SimpleDashData810[Section]=$A$4))*(SimpleDashData810[Section]=N12)*SimpleDashData810[Total Expense])</f>
        <v>387832</v>
      </c>
      <c r="AI12" t="s">
        <v>15</v>
      </c>
      <c r="AJ12" s="2">
        <f>SUMIFS(SimpleDashData810[Repair],SimpleDashData810[Section],IF($A$4="All Sections","&lt;&gt;",$A$4))</f>
        <v>13170</v>
      </c>
      <c r="AK12" t="s">
        <v>18</v>
      </c>
      <c r="BA12">
        <v>11</v>
      </c>
      <c r="BB12" s="12" t="s">
        <v>65</v>
      </c>
      <c r="BC12">
        <v>2010274</v>
      </c>
      <c r="BD12" t="s">
        <v>33</v>
      </c>
      <c r="BE12" t="s">
        <v>34</v>
      </c>
      <c r="BF12" t="s">
        <v>64</v>
      </c>
      <c r="BG12">
        <v>5800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f>SUM(SimpleDashData810[[#This Row],[Convayance]:[Misc]])</f>
        <v>5800</v>
      </c>
      <c r="BR12">
        <v>2139</v>
      </c>
      <c r="BS12">
        <v>0</v>
      </c>
      <c r="BT12">
        <v>0</v>
      </c>
      <c r="BU12">
        <f>SUM(SimpleDashData810[[#This Row],[Male]:[Child]])</f>
        <v>2139</v>
      </c>
      <c r="BW12">
        <f>'[1]Expense Master June-26'!W17</f>
        <v>0</v>
      </c>
      <c r="BZ12">
        <f>SimpleDashData810[[#This Row],[Total Expense]]/SimpleDashData810[[#This Row],[Total Patients]]</f>
        <v>2.7115474520804113</v>
      </c>
      <c r="CA12">
        <v>0</v>
      </c>
    </row>
    <row r="13" spans="1:79" x14ac:dyDescent="0.3">
      <c r="A13">
        <v>2</v>
      </c>
      <c r="B13" t="str">
        <v>QCNM Khairpur, Central Jail</v>
      </c>
      <c r="C13" t="str">
        <v>Trust Act</v>
      </c>
      <c r="D13" t="str">
        <v>Sindh, Balochistan &amp; AJK Region</v>
      </c>
      <c r="E13" t="str">
        <v>Prison</v>
      </c>
      <c r="F13" s="2">
        <v>30530</v>
      </c>
      <c r="G13" s="2">
        <v>1670</v>
      </c>
      <c r="H13" s="13">
        <v>18.281437125748504</v>
      </c>
      <c r="I13" s="13"/>
      <c r="J13" s="14">
        <v>2</v>
      </c>
      <c r="K13" s="14" t="str">
        <v>Convayance</v>
      </c>
      <c r="L13" s="15">
        <v>156061</v>
      </c>
      <c r="N13" s="14" t="s">
        <v>64</v>
      </c>
      <c r="O13" s="15" cm="1">
        <f t="array" ref="O13">SUMPRODUCT((IF($D$4&lt;&gt;"",1,IF($B$4="All Regions",1,SimpleDashData810[Region]=$B$4)))*(IF($D$4&lt;&gt;"",SimpleDashData810[QCNM Name]=$D$4,IF($G$4="All Clinics",1,SimpleDashData810[QCNM Name]=$G$4)))*(IF($A$4="All Sections",1,SimpleDashData810[Section]=$A$4))*(SimpleDashData810[Section]=N13)*SimpleDashData810[Total Expense])</f>
        <v>531801</v>
      </c>
      <c r="AI13" t="s">
        <v>16</v>
      </c>
      <c r="AJ13" s="2">
        <f>SUMIFS(SimpleDashData810[Stationary],SimpleDashData810[Section],IF($A$4="All Sections","&lt;&gt;",$A$4))</f>
        <v>37086</v>
      </c>
      <c r="BA13">
        <v>12</v>
      </c>
      <c r="BB13" s="12" t="s">
        <v>66</v>
      </c>
      <c r="BC13">
        <v>2010281</v>
      </c>
      <c r="BD13" t="s">
        <v>33</v>
      </c>
      <c r="BE13" t="s">
        <v>34</v>
      </c>
      <c r="BF13" t="s">
        <v>64</v>
      </c>
      <c r="BG13">
        <v>0</v>
      </c>
      <c r="BH13">
        <v>1000</v>
      </c>
      <c r="BI13">
        <v>0</v>
      </c>
      <c r="BJ13">
        <v>5140</v>
      </c>
      <c r="BK13">
        <v>570</v>
      </c>
      <c r="BL13">
        <v>840</v>
      </c>
      <c r="BM13">
        <v>0</v>
      </c>
      <c r="BN13">
        <v>0</v>
      </c>
      <c r="BO13">
        <v>0</v>
      </c>
      <c r="BP13">
        <v>0</v>
      </c>
      <c r="BQ13">
        <f>SUM(SimpleDashData810[[#This Row],[Convayance]:[Misc]])</f>
        <v>7550</v>
      </c>
      <c r="BR13">
        <v>2442</v>
      </c>
      <c r="BS13">
        <v>0</v>
      </c>
      <c r="BT13">
        <v>0</v>
      </c>
      <c r="BU13">
        <f>SUM(SimpleDashData810[[#This Row],[Male]:[Child]])</f>
        <v>2442</v>
      </c>
      <c r="BW13">
        <f>'[1]Expense Master June-26'!W18</f>
        <v>0</v>
      </c>
      <c r="BZ13">
        <f>SimpleDashData810[[#This Row],[Total Expense]]/SimpleDashData810[[#This Row],[Total Patients]]</f>
        <v>3.0917280917280916</v>
      </c>
      <c r="CA13">
        <v>0</v>
      </c>
    </row>
    <row r="14" spans="1:79" x14ac:dyDescent="0.3">
      <c r="A14">
        <v>3</v>
      </c>
      <c r="B14" t="str">
        <v>QCNM Mamukanjan</v>
      </c>
      <c r="C14" t="str">
        <v>Trust Act</v>
      </c>
      <c r="D14" t="str">
        <v>Central Punjab Region</v>
      </c>
      <c r="E14" t="str">
        <v>Public</v>
      </c>
      <c r="F14" s="2">
        <v>23510</v>
      </c>
      <c r="G14" s="2">
        <v>1651</v>
      </c>
      <c r="H14" s="13">
        <v>14.239854633555421</v>
      </c>
      <c r="I14" s="13"/>
      <c r="J14" s="14">
        <v>3</v>
      </c>
      <c r="K14" s="14" t="str">
        <v>Purchasing</v>
      </c>
      <c r="L14" s="15">
        <v>132426</v>
      </c>
      <c r="O14" s="2"/>
      <c r="AI14" t="s">
        <v>17</v>
      </c>
      <c r="AJ14" s="2">
        <f>SUMIFS(SimpleDashData810[Utilities],SimpleDashData810[Section],IF($A$4="All Sections","&lt;&gt;",$A$4))</f>
        <v>34761</v>
      </c>
      <c r="BA14">
        <v>13</v>
      </c>
      <c r="BB14" s="12" t="s">
        <v>67</v>
      </c>
      <c r="BC14">
        <v>2010262</v>
      </c>
      <c r="BD14" t="s">
        <v>68</v>
      </c>
      <c r="BE14" t="s">
        <v>34</v>
      </c>
      <c r="BF14" t="s">
        <v>64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f>SUM(SimpleDashData810[[#This Row],[Convayance]:[Misc]])</f>
        <v>0</v>
      </c>
      <c r="BR14">
        <v>1610</v>
      </c>
      <c r="BS14">
        <v>3</v>
      </c>
      <c r="BT14">
        <v>0</v>
      </c>
      <c r="BU14">
        <f>SUM(SimpleDashData810[[#This Row],[Male]:[Child]])</f>
        <v>1613</v>
      </c>
      <c r="BW14">
        <f>'[1]Expense Master June-26'!W19</f>
        <v>0</v>
      </c>
      <c r="BZ14">
        <f>SimpleDashData810[[#This Row],[Total Expense]]/SimpleDashData810[[#This Row],[Total Patients]]</f>
        <v>0</v>
      </c>
      <c r="CA14">
        <v>0</v>
      </c>
    </row>
    <row r="15" spans="1:79" x14ac:dyDescent="0.3">
      <c r="A15">
        <v>4</v>
      </c>
      <c r="B15" t="str">
        <v>QCNM Bahawalnagar, Zainab Rafique</v>
      </c>
      <c r="C15" t="str">
        <v>Trust Act</v>
      </c>
      <c r="D15" t="str">
        <v>South &amp; North Punjab Region</v>
      </c>
      <c r="E15" t="str">
        <v>Public</v>
      </c>
      <c r="F15" s="2">
        <v>21690</v>
      </c>
      <c r="G15" s="2">
        <v>2132</v>
      </c>
      <c r="H15" s="13">
        <v>10.173545966228893</v>
      </c>
      <c r="I15" s="13"/>
      <c r="J15" s="14">
        <v>4</v>
      </c>
      <c r="K15" s="14" t="str">
        <v>Freight</v>
      </c>
      <c r="L15" s="15">
        <v>87208</v>
      </c>
      <c r="O15" s="2"/>
      <c r="AI15" t="s">
        <v>18</v>
      </c>
      <c r="AJ15" s="2">
        <f>SUMIFS(SimpleDashData810[Misc],SimpleDashData810[Section],IF($A$4="All Sections","&lt;&gt;",$A$4))</f>
        <v>31392</v>
      </c>
      <c r="BA15">
        <v>14</v>
      </c>
      <c r="BB15" s="12" t="s">
        <v>69</v>
      </c>
      <c r="BC15">
        <v>2010289</v>
      </c>
      <c r="BD15" t="s">
        <v>68</v>
      </c>
      <c r="BE15" t="s">
        <v>34</v>
      </c>
      <c r="BF15" t="s">
        <v>64</v>
      </c>
      <c r="BG15">
        <v>750</v>
      </c>
      <c r="BH15">
        <v>0</v>
      </c>
      <c r="BI15">
        <v>0</v>
      </c>
      <c r="BJ15">
        <v>0</v>
      </c>
      <c r="BK15">
        <v>0</v>
      </c>
      <c r="BL15">
        <v>180</v>
      </c>
      <c r="BM15">
        <v>0</v>
      </c>
      <c r="BN15">
        <v>0</v>
      </c>
      <c r="BO15">
        <v>0</v>
      </c>
      <c r="BP15">
        <v>1000</v>
      </c>
      <c r="BQ15">
        <f>SUM(SimpleDashData810[[#This Row],[Convayance]:[Misc]])</f>
        <v>1930</v>
      </c>
      <c r="BR15">
        <v>697</v>
      </c>
      <c r="BS15">
        <v>0</v>
      </c>
      <c r="BT15">
        <v>0</v>
      </c>
      <c r="BU15">
        <f>SUM(SimpleDashData810[[#This Row],[Male]:[Child]])</f>
        <v>697</v>
      </c>
      <c r="BW15">
        <f>'[1]Expense Master June-26'!W20</f>
        <v>0</v>
      </c>
      <c r="BZ15">
        <f>SimpleDashData810[[#This Row],[Total Expense]]/SimpleDashData810[[#This Row],[Total Patients]]</f>
        <v>2.7690100430416069</v>
      </c>
      <c r="CA15">
        <v>0</v>
      </c>
    </row>
    <row r="16" spans="1:79" x14ac:dyDescent="0.3">
      <c r="A16">
        <v>5</v>
      </c>
      <c r="B16" t="str">
        <v>QCNM Lahore, Nonarian</v>
      </c>
      <c r="C16" t="str">
        <v>Trust Act</v>
      </c>
      <c r="D16" t="str">
        <v>Central Punjab Region</v>
      </c>
      <c r="E16" t="str">
        <v>Public</v>
      </c>
      <c r="F16" s="2">
        <v>21675</v>
      </c>
      <c r="G16" s="2">
        <v>1894</v>
      </c>
      <c r="H16" s="13">
        <v>11.44403379091869</v>
      </c>
      <c r="I16" s="13"/>
      <c r="J16" s="14">
        <v>5</v>
      </c>
      <c r="K16" s="14" t="str">
        <v>Printing</v>
      </c>
      <c r="L16" s="15">
        <v>42044</v>
      </c>
      <c r="N16" s="11" t="s">
        <v>70</v>
      </c>
      <c r="O16" s="16" t="s">
        <v>71</v>
      </c>
      <c r="P16" s="16" t="s">
        <v>40</v>
      </c>
      <c r="BA16">
        <v>15</v>
      </c>
      <c r="BB16" s="12" t="s">
        <v>72</v>
      </c>
      <c r="BC16">
        <v>2010241</v>
      </c>
      <c r="BD16" t="s">
        <v>33</v>
      </c>
      <c r="BE16" t="s">
        <v>34</v>
      </c>
      <c r="BF16" t="s">
        <v>64</v>
      </c>
      <c r="BG16">
        <v>0</v>
      </c>
      <c r="BH16">
        <v>500</v>
      </c>
      <c r="BI16">
        <v>200</v>
      </c>
      <c r="BJ16">
        <v>480</v>
      </c>
      <c r="BK16">
        <v>560</v>
      </c>
      <c r="BL16">
        <v>0</v>
      </c>
      <c r="BM16">
        <v>0</v>
      </c>
      <c r="BN16">
        <v>340</v>
      </c>
      <c r="BO16">
        <v>0</v>
      </c>
      <c r="BP16">
        <v>0</v>
      </c>
      <c r="BQ16">
        <f>SUM(SimpleDashData810[[#This Row],[Convayance]:[Misc]])</f>
        <v>2080</v>
      </c>
      <c r="BR16">
        <v>1446</v>
      </c>
      <c r="BS16">
        <v>0</v>
      </c>
      <c r="BT16">
        <v>0</v>
      </c>
      <c r="BU16">
        <f>SUM(SimpleDashData810[[#This Row],[Male]:[Child]])</f>
        <v>1446</v>
      </c>
      <c r="BW16">
        <f>'[1]Expense Master June-26'!W21</f>
        <v>0</v>
      </c>
      <c r="BZ16">
        <f>SimpleDashData810[[#This Row],[Total Expense]]/SimpleDashData810[[#This Row],[Total Patients]]</f>
        <v>1.4384508990318119</v>
      </c>
      <c r="CA16">
        <v>0</v>
      </c>
    </row>
    <row r="17" spans="1:79" x14ac:dyDescent="0.3">
      <c r="A17">
        <v>6</v>
      </c>
      <c r="B17" t="str">
        <v>QCNM Lahore, Molvi Najjar Ashiana Housing</v>
      </c>
      <c r="C17" t="str">
        <v>Trust Act</v>
      </c>
      <c r="D17" t="str">
        <v>Central Punjab Region</v>
      </c>
      <c r="E17" t="str">
        <v>Public</v>
      </c>
      <c r="F17" s="2">
        <v>19164</v>
      </c>
      <c r="G17" s="2">
        <v>1338</v>
      </c>
      <c r="H17" s="13">
        <v>14.32286995515695</v>
      </c>
      <c r="I17" s="13"/>
      <c r="J17" s="14">
        <v>6</v>
      </c>
      <c r="K17" s="14" t="str">
        <v>Stationary</v>
      </c>
      <c r="L17" s="15">
        <v>37086</v>
      </c>
      <c r="N17" s="14" t="s">
        <v>20</v>
      </c>
      <c r="O17" s="15" cm="1">
        <f t="array" ref="O17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Sections",1,SimpleDashData810[Section]=$A$4))*SimpleDashData810[Male])</f>
        <v>190661</v>
      </c>
      <c r="P17" s="63">
        <f>SUM(O17:O19)</f>
        <v>240252</v>
      </c>
      <c r="BA17">
        <v>16</v>
      </c>
      <c r="BB17" s="12" t="s">
        <v>73</v>
      </c>
      <c r="BC17">
        <v>2010276</v>
      </c>
      <c r="BD17" t="s">
        <v>33</v>
      </c>
      <c r="BE17" t="s">
        <v>34</v>
      </c>
      <c r="BF17" t="s">
        <v>64</v>
      </c>
      <c r="BG17">
        <v>0</v>
      </c>
      <c r="BH17">
        <v>0</v>
      </c>
      <c r="BI17">
        <v>0</v>
      </c>
      <c r="BJ17">
        <v>1000</v>
      </c>
      <c r="BK17">
        <v>570</v>
      </c>
      <c r="BL17">
        <v>150</v>
      </c>
      <c r="BM17">
        <v>0</v>
      </c>
      <c r="BN17">
        <v>0</v>
      </c>
      <c r="BO17">
        <v>800</v>
      </c>
      <c r="BP17">
        <v>0</v>
      </c>
      <c r="BQ17">
        <f>SUM(SimpleDashData810[[#This Row],[Convayance]:[Misc]])</f>
        <v>2520</v>
      </c>
      <c r="BR17">
        <v>2382</v>
      </c>
      <c r="BS17">
        <v>0</v>
      </c>
      <c r="BT17">
        <v>0</v>
      </c>
      <c r="BU17">
        <f>SUM(SimpleDashData810[[#This Row],[Male]:[Child]])</f>
        <v>2382</v>
      </c>
      <c r="BW17">
        <f>'[1]Expense Master June-26'!W22</f>
        <v>0</v>
      </c>
      <c r="BZ17">
        <f>SimpleDashData810[[#This Row],[Total Expense]]/SimpleDashData810[[#This Row],[Total Patients]]</f>
        <v>1.0579345088161209</v>
      </c>
      <c r="CA17">
        <v>0</v>
      </c>
    </row>
    <row r="18" spans="1:79" x14ac:dyDescent="0.3">
      <c r="A18">
        <v>7</v>
      </c>
      <c r="B18" t="str">
        <v>QCNM Sialkot, District Jail</v>
      </c>
      <c r="C18" t="str">
        <v>Trust Act</v>
      </c>
      <c r="D18" t="str">
        <v>Central Punjab Region</v>
      </c>
      <c r="E18" t="str">
        <v>Prison</v>
      </c>
      <c r="F18" s="2">
        <v>16830</v>
      </c>
      <c r="G18" s="2">
        <v>3976</v>
      </c>
      <c r="H18" s="13">
        <v>4.2328973843058346</v>
      </c>
      <c r="I18" s="13"/>
      <c r="J18" s="14">
        <v>7</v>
      </c>
      <c r="K18" s="14" t="str">
        <v>Utilities</v>
      </c>
      <c r="L18" s="15">
        <v>34761</v>
      </c>
      <c r="N18" s="14" t="s">
        <v>21</v>
      </c>
      <c r="O18" s="15" cm="1">
        <f t="array" ref="O18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Sections",1,SimpleDashData810[Section]=$A$4))*SimpleDashData810[Female])</f>
        <v>35165</v>
      </c>
      <c r="P18" s="64"/>
      <c r="BA18">
        <v>17</v>
      </c>
      <c r="BB18" s="12" t="s">
        <v>74</v>
      </c>
      <c r="BC18">
        <v>2010284</v>
      </c>
      <c r="BD18" t="s">
        <v>33</v>
      </c>
      <c r="BE18" t="s">
        <v>34</v>
      </c>
      <c r="BF18" t="s">
        <v>64</v>
      </c>
      <c r="BG18">
        <v>500</v>
      </c>
      <c r="BH18">
        <v>0</v>
      </c>
      <c r="BI18">
        <v>0</v>
      </c>
      <c r="BJ18">
        <v>0</v>
      </c>
      <c r="BK18">
        <v>620</v>
      </c>
      <c r="BL18">
        <v>350</v>
      </c>
      <c r="BM18">
        <v>0</v>
      </c>
      <c r="BN18">
        <v>0</v>
      </c>
      <c r="BO18">
        <v>0</v>
      </c>
      <c r="BP18">
        <v>0</v>
      </c>
      <c r="BQ18">
        <f>SUM(SimpleDashData810[[#This Row],[Convayance]:[Misc]])</f>
        <v>1470</v>
      </c>
      <c r="BR18">
        <v>1911</v>
      </c>
      <c r="BS18">
        <v>358</v>
      </c>
      <c r="BT18">
        <v>177</v>
      </c>
      <c r="BU18">
        <f>SUM(SimpleDashData810[[#This Row],[Male]:[Child]])</f>
        <v>2446</v>
      </c>
      <c r="BW18">
        <f>'[1]Expense Master June-26'!W23</f>
        <v>0</v>
      </c>
      <c r="BZ18">
        <f>SimpleDashData810[[#This Row],[Total Expense]]/SimpleDashData810[[#This Row],[Total Patients]]</f>
        <v>0.60098119378577264</v>
      </c>
      <c r="CA18">
        <v>0</v>
      </c>
    </row>
    <row r="19" spans="1:79" x14ac:dyDescent="0.3">
      <c r="A19">
        <v>8</v>
      </c>
      <c r="B19" t="str">
        <v>QCNM Lahore, District (Camp) Jail</v>
      </c>
      <c r="C19" t="str">
        <v>Trust Act</v>
      </c>
      <c r="D19" t="str">
        <v>Central Punjab Region</v>
      </c>
      <c r="E19" t="str">
        <v>Prison</v>
      </c>
      <c r="F19" s="2">
        <v>16415</v>
      </c>
      <c r="G19" s="2">
        <v>3504</v>
      </c>
      <c r="H19" s="13">
        <v>4.684646118721461</v>
      </c>
      <c r="I19" s="13"/>
      <c r="J19" s="14">
        <v>8</v>
      </c>
      <c r="K19" s="14" t="str">
        <v>Misc</v>
      </c>
      <c r="L19" s="15">
        <v>31392</v>
      </c>
      <c r="N19" s="14" t="s">
        <v>22</v>
      </c>
      <c r="O19" s="15" cm="1">
        <f t="array" ref="O19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Sections",1,SimpleDashData810[Section]=$A$4))*SimpleDashData810[Child])</f>
        <v>14426</v>
      </c>
      <c r="P19" s="64"/>
      <c r="BA19">
        <v>18</v>
      </c>
      <c r="BB19" s="12" t="s">
        <v>75</v>
      </c>
      <c r="BC19">
        <v>2010260</v>
      </c>
      <c r="BD19" t="s">
        <v>33</v>
      </c>
      <c r="BE19" t="s">
        <v>34</v>
      </c>
      <c r="BF19" t="s">
        <v>64</v>
      </c>
      <c r="BG19">
        <v>400</v>
      </c>
      <c r="BH19">
        <v>0</v>
      </c>
      <c r="BI19">
        <v>500</v>
      </c>
      <c r="BJ19">
        <v>5400</v>
      </c>
      <c r="BK19">
        <v>400</v>
      </c>
      <c r="BL19">
        <v>440</v>
      </c>
      <c r="BM19">
        <v>800</v>
      </c>
      <c r="BN19">
        <v>300</v>
      </c>
      <c r="BO19">
        <v>0</v>
      </c>
      <c r="BP19">
        <v>0</v>
      </c>
      <c r="BQ19">
        <f>SUM(SimpleDashData810[[#This Row],[Convayance]:[Misc]])</f>
        <v>8240</v>
      </c>
      <c r="BR19">
        <v>1687</v>
      </c>
      <c r="BS19">
        <v>0</v>
      </c>
      <c r="BT19">
        <v>0</v>
      </c>
      <c r="BU19">
        <f>SUM(SimpleDashData810[[#This Row],[Male]:[Child]])</f>
        <v>1687</v>
      </c>
      <c r="BW19">
        <f>'[1]Expense Master June-26'!W24</f>
        <v>0</v>
      </c>
      <c r="BZ19">
        <f>SimpleDashData810[[#This Row],[Total Expense]]/SimpleDashData810[[#This Row],[Total Patients]]</f>
        <v>4.8844101956135155</v>
      </c>
      <c r="CA19">
        <v>0</v>
      </c>
    </row>
    <row r="20" spans="1:79" x14ac:dyDescent="0.3">
      <c r="A20">
        <v>9</v>
      </c>
      <c r="B20" t="str">
        <v>QCNM Lahore, Chauburji</v>
      </c>
      <c r="C20" t="str">
        <v>Trust Act</v>
      </c>
      <c r="D20" t="str">
        <v>Central Punjab Region</v>
      </c>
      <c r="E20" t="str">
        <v>Public</v>
      </c>
      <c r="F20" s="2">
        <v>16198</v>
      </c>
      <c r="G20" s="2">
        <v>1937</v>
      </c>
      <c r="H20" s="13">
        <v>8.3624161073825505</v>
      </c>
      <c r="I20" s="13"/>
      <c r="J20" s="14">
        <v>9</v>
      </c>
      <c r="K20" s="14" t="str">
        <v>Postage</v>
      </c>
      <c r="L20" s="15">
        <v>29060</v>
      </c>
      <c r="BA20">
        <v>19</v>
      </c>
      <c r="BB20" s="12" t="s">
        <v>76</v>
      </c>
      <c r="BC20">
        <v>2010266</v>
      </c>
      <c r="BD20" t="s">
        <v>33</v>
      </c>
      <c r="BE20" t="s">
        <v>34</v>
      </c>
      <c r="BF20" t="s">
        <v>64</v>
      </c>
      <c r="BG20">
        <v>300</v>
      </c>
      <c r="BH20">
        <v>1000</v>
      </c>
      <c r="BI20">
        <v>2300</v>
      </c>
      <c r="BJ20">
        <v>7200</v>
      </c>
      <c r="BK20">
        <v>190</v>
      </c>
      <c r="BL20">
        <v>420</v>
      </c>
      <c r="BM20">
        <v>0</v>
      </c>
      <c r="BN20">
        <v>0</v>
      </c>
      <c r="BO20">
        <v>0</v>
      </c>
      <c r="BP20">
        <v>0</v>
      </c>
      <c r="BQ20">
        <f>SUM(SimpleDashData810[[#This Row],[Convayance]:[Misc]])</f>
        <v>11410</v>
      </c>
      <c r="BR20">
        <v>2243</v>
      </c>
      <c r="BS20">
        <v>443</v>
      </c>
      <c r="BT20">
        <v>148</v>
      </c>
      <c r="BU20">
        <f>SUM(SimpleDashData810[[#This Row],[Male]:[Child]])</f>
        <v>2834</v>
      </c>
      <c r="BW20">
        <f>'[1]Expense Master June-26'!W25</f>
        <v>0</v>
      </c>
      <c r="BZ20">
        <f>SimpleDashData810[[#This Row],[Total Expense]]/SimpleDashData810[[#This Row],[Total Patients]]</f>
        <v>4.0261115031757235</v>
      </c>
      <c r="CA20">
        <v>0</v>
      </c>
    </row>
    <row r="21" spans="1:79" x14ac:dyDescent="0.3">
      <c r="A21">
        <v>10</v>
      </c>
      <c r="B21" t="str">
        <v>QCNM Hafizabad, Dist Jail</v>
      </c>
      <c r="C21" t="str">
        <v>Trust Act</v>
      </c>
      <c r="D21" t="str">
        <v>South &amp; North Punjab Region</v>
      </c>
      <c r="E21" t="str">
        <v>Prison</v>
      </c>
      <c r="F21" s="2">
        <v>16130</v>
      </c>
      <c r="G21" s="2">
        <v>3459</v>
      </c>
      <c r="H21" s="13">
        <v>4.6631974559121137</v>
      </c>
      <c r="I21" s="13"/>
      <c r="J21" s="14">
        <v>10</v>
      </c>
      <c r="K21" s="14" t="str">
        <v>Repair</v>
      </c>
      <c r="L21" s="15">
        <v>13170</v>
      </c>
      <c r="BA21">
        <v>20</v>
      </c>
      <c r="BB21" s="12" t="s">
        <v>77</v>
      </c>
      <c r="BC21">
        <v>2010267</v>
      </c>
      <c r="BD21" t="s">
        <v>33</v>
      </c>
      <c r="BE21" t="s">
        <v>34</v>
      </c>
      <c r="BF21" t="s">
        <v>64</v>
      </c>
      <c r="BG21">
        <v>500</v>
      </c>
      <c r="BH21">
        <v>1000</v>
      </c>
      <c r="BI21">
        <v>0</v>
      </c>
      <c r="BJ21">
        <v>4910</v>
      </c>
      <c r="BK21">
        <v>560</v>
      </c>
      <c r="BL21">
        <v>1330</v>
      </c>
      <c r="BM21">
        <v>0</v>
      </c>
      <c r="BN21">
        <v>380</v>
      </c>
      <c r="BO21">
        <v>0</v>
      </c>
      <c r="BP21">
        <v>0</v>
      </c>
      <c r="BQ21">
        <f>SUM(SimpleDashData810[[#This Row],[Convayance]:[Misc]])</f>
        <v>8680</v>
      </c>
      <c r="BR21">
        <v>3787</v>
      </c>
      <c r="BS21">
        <v>0</v>
      </c>
      <c r="BT21">
        <v>0</v>
      </c>
      <c r="BU21">
        <f>SUM(SimpleDashData810[[#This Row],[Male]:[Child]])</f>
        <v>3787</v>
      </c>
      <c r="BW21">
        <f>'[1]Expense Master June-26'!W26</f>
        <v>0</v>
      </c>
      <c r="BZ21">
        <f>SimpleDashData810[[#This Row],[Total Expense]]/SimpleDashData810[[#This Row],[Total Patients]]</f>
        <v>2.2920517560073939</v>
      </c>
      <c r="CA21">
        <v>0</v>
      </c>
    </row>
    <row r="22" spans="1:79" x14ac:dyDescent="0.3">
      <c r="A22">
        <v>11</v>
      </c>
      <c r="B22" t="str">
        <v>QCNM Lahore, Kot Lakhpat Jail</v>
      </c>
      <c r="C22" t="str">
        <v>Trust Act</v>
      </c>
      <c r="D22" t="str">
        <v>Central Punjab Region</v>
      </c>
      <c r="E22" t="str">
        <v>Prison</v>
      </c>
      <c r="F22" s="2">
        <v>15825</v>
      </c>
      <c r="G22" s="2">
        <v>2706</v>
      </c>
      <c r="H22" s="13">
        <v>5.8481152993348111</v>
      </c>
      <c r="I22" s="13"/>
      <c r="L22" s="17">
        <f>SUM(L12:L21)</f>
        <v>919633</v>
      </c>
      <c r="BA22">
        <v>21</v>
      </c>
      <c r="BB22" s="12" t="s">
        <v>78</v>
      </c>
      <c r="BC22">
        <v>2010293</v>
      </c>
      <c r="BD22" t="s">
        <v>33</v>
      </c>
      <c r="BE22" t="s">
        <v>34</v>
      </c>
      <c r="BF22" t="s">
        <v>64</v>
      </c>
      <c r="BG22">
        <v>2630</v>
      </c>
      <c r="BH22">
        <v>500</v>
      </c>
      <c r="BI22">
        <v>0</v>
      </c>
      <c r="BJ22">
        <v>8200</v>
      </c>
      <c r="BK22">
        <v>660</v>
      </c>
      <c r="BL22">
        <v>430</v>
      </c>
      <c r="BM22">
        <v>0</v>
      </c>
      <c r="BN22">
        <v>0</v>
      </c>
      <c r="BO22">
        <v>0</v>
      </c>
      <c r="BP22">
        <v>0</v>
      </c>
      <c r="BQ22">
        <f>SUM(SimpleDashData810[[#This Row],[Convayance]:[Misc]])</f>
        <v>12420</v>
      </c>
      <c r="BR22">
        <v>1902</v>
      </c>
      <c r="BS22">
        <v>324</v>
      </c>
      <c r="BT22">
        <v>153</v>
      </c>
      <c r="BU22">
        <f>SUM(SimpleDashData810[[#This Row],[Male]:[Child]])</f>
        <v>2379</v>
      </c>
      <c r="BW22">
        <f>'[1]Expense Master June-26'!W27</f>
        <v>0</v>
      </c>
      <c r="BZ22">
        <f>SimpleDashData810[[#This Row],[Total Expense]]/SimpleDashData810[[#This Row],[Total Patients]]</f>
        <v>5.2206809583858762</v>
      </c>
      <c r="CA22">
        <v>0</v>
      </c>
    </row>
    <row r="23" spans="1:79" x14ac:dyDescent="0.3">
      <c r="A23">
        <v>12</v>
      </c>
      <c r="B23" t="str">
        <v>QCNM Bahawalpur, Borstal Jail</v>
      </c>
      <c r="C23" t="str">
        <v>Trust Act</v>
      </c>
      <c r="D23" t="str">
        <v>South &amp; North Punjab Region</v>
      </c>
      <c r="E23" t="str">
        <v>Prison</v>
      </c>
      <c r="F23" s="2">
        <v>15110</v>
      </c>
      <c r="G23" s="2">
        <v>2585</v>
      </c>
      <c r="H23" s="13">
        <v>5.8452611218568666</v>
      </c>
      <c r="I23" s="13"/>
      <c r="J23" s="65" t="s">
        <v>79</v>
      </c>
      <c r="K23" s="65"/>
      <c r="L23" s="65"/>
      <c r="M23" s="65"/>
      <c r="N23" s="65"/>
      <c r="P23" s="65" t="s">
        <v>80</v>
      </c>
      <c r="Q23" s="65"/>
      <c r="R23" s="65"/>
      <c r="S23" s="65"/>
      <c r="T23" s="65"/>
      <c r="V23" s="66" t="s">
        <v>81</v>
      </c>
      <c r="W23" s="67"/>
      <c r="X23" s="68"/>
      <c r="BA23">
        <v>22</v>
      </c>
      <c r="BB23" s="12" t="s">
        <v>82</v>
      </c>
      <c r="BC23">
        <v>2010297</v>
      </c>
      <c r="BD23" t="s">
        <v>33</v>
      </c>
      <c r="BE23" t="s">
        <v>34</v>
      </c>
      <c r="BF23" t="s">
        <v>64</v>
      </c>
      <c r="BG23">
        <v>800</v>
      </c>
      <c r="BH23">
        <v>0</v>
      </c>
      <c r="BI23">
        <v>0</v>
      </c>
      <c r="BJ23">
        <v>850</v>
      </c>
      <c r="BK23">
        <v>0</v>
      </c>
      <c r="BL23">
        <v>300</v>
      </c>
      <c r="BM23">
        <v>0</v>
      </c>
      <c r="BN23">
        <v>110</v>
      </c>
      <c r="BO23">
        <v>500</v>
      </c>
      <c r="BP23">
        <v>0</v>
      </c>
      <c r="BQ23">
        <f>SUM(SimpleDashData810[[#This Row],[Convayance]:[Misc]])</f>
        <v>2560</v>
      </c>
      <c r="BR23">
        <v>1820</v>
      </c>
      <c r="BS23">
        <v>0</v>
      </c>
      <c r="BT23">
        <v>81</v>
      </c>
      <c r="BU23">
        <f>SUM(SimpleDashData810[[#This Row],[Male]:[Child]])</f>
        <v>1901</v>
      </c>
      <c r="BW23">
        <f>'[1]Expense Master June-26'!W28</f>
        <v>0</v>
      </c>
      <c r="BZ23">
        <f>SimpleDashData810[[#This Row],[Total Expense]]/SimpleDashData810[[#This Row],[Total Patients]]</f>
        <v>1.3466596528143082</v>
      </c>
      <c r="CA23">
        <v>0</v>
      </c>
    </row>
    <row r="24" spans="1:79" x14ac:dyDescent="0.3">
      <c r="A24">
        <v>13</v>
      </c>
      <c r="B24" t="str">
        <v>QCNM Gujranwala, Central Jail</v>
      </c>
      <c r="C24" t="str">
        <v>Trust Act</v>
      </c>
      <c r="D24" t="str">
        <v>Central Punjab Region</v>
      </c>
      <c r="E24" t="str">
        <v>Prison</v>
      </c>
      <c r="F24" s="2">
        <v>15000</v>
      </c>
      <c r="G24" s="2">
        <v>4999</v>
      </c>
      <c r="H24" s="13">
        <v>3.0006001200240049</v>
      </c>
      <c r="I24" s="13"/>
      <c r="J24" s="18" t="s">
        <v>58</v>
      </c>
      <c r="K24" s="18" t="s">
        <v>7</v>
      </c>
      <c r="L24" s="18" t="s">
        <v>23</v>
      </c>
      <c r="M24" s="18" t="s">
        <v>49</v>
      </c>
      <c r="N24" s="18" t="s">
        <v>83</v>
      </c>
      <c r="P24" s="18" t="s">
        <v>58</v>
      </c>
      <c r="Q24" s="18" t="s">
        <v>7</v>
      </c>
      <c r="R24" s="18" t="s">
        <v>19</v>
      </c>
      <c r="S24" s="18" t="s">
        <v>49</v>
      </c>
      <c r="T24" s="18" t="s">
        <v>50</v>
      </c>
      <c r="V24" s="18" t="s">
        <v>58</v>
      </c>
      <c r="W24" s="18" t="s">
        <v>84</v>
      </c>
      <c r="X24" s="18" t="s">
        <v>19</v>
      </c>
      <c r="BA24">
        <v>23</v>
      </c>
      <c r="BB24" s="12" t="s">
        <v>85</v>
      </c>
      <c r="BC24">
        <v>2010401</v>
      </c>
      <c r="BD24" t="s">
        <v>68</v>
      </c>
      <c r="BE24" t="s">
        <v>34</v>
      </c>
      <c r="BF24" t="s">
        <v>64</v>
      </c>
      <c r="BG24">
        <v>2800</v>
      </c>
      <c r="BH24">
        <v>0</v>
      </c>
      <c r="BI24">
        <v>0</v>
      </c>
      <c r="BJ24">
        <v>0</v>
      </c>
      <c r="BK24">
        <v>0</v>
      </c>
      <c r="BL24">
        <v>220</v>
      </c>
      <c r="BM24">
        <v>0</v>
      </c>
      <c r="BN24">
        <v>1330</v>
      </c>
      <c r="BO24">
        <v>500</v>
      </c>
      <c r="BP24">
        <v>0</v>
      </c>
      <c r="BQ24">
        <f>SUM(SimpleDashData810[[#This Row],[Convayance]:[Misc]])</f>
        <v>4850</v>
      </c>
      <c r="BR24">
        <v>738</v>
      </c>
      <c r="BS24">
        <v>108</v>
      </c>
      <c r="BT24">
        <v>49</v>
      </c>
      <c r="BU24">
        <f>SUM(SimpleDashData810[[#This Row],[Male]:[Child]])</f>
        <v>895</v>
      </c>
      <c r="BW24">
        <f>'[1]Expense Master June-26'!W29</f>
        <v>0</v>
      </c>
      <c r="BZ24">
        <f>SimpleDashData810[[#This Row],[Total Expense]]/SimpleDashData810[[#This Row],[Total Patients]]</f>
        <v>5.4189944134078214</v>
      </c>
      <c r="CA24">
        <v>0</v>
      </c>
    </row>
    <row r="25" spans="1:79" ht="27.6" x14ac:dyDescent="0.3">
      <c r="A25">
        <v>14</v>
      </c>
      <c r="B25" t="str">
        <v>QCNM Hattar</v>
      </c>
      <c r="C25" t="str">
        <v>Trust Act</v>
      </c>
      <c r="D25" t="str">
        <v>Capital Region</v>
      </c>
      <c r="E25" t="str">
        <v>Public</v>
      </c>
      <c r="F25" s="2">
        <v>14900</v>
      </c>
      <c r="G25" s="2">
        <v>2505</v>
      </c>
      <c r="H25" s="13">
        <v>5.9481037924151696</v>
      </c>
      <c r="I25" s="13"/>
      <c r="J25" s="19" cm="1">
        <f t="array" ref="J25:J28">_xlfn.SEQUENCE(ROWS(_xlfn.ANCHORARRAY(K25)))</f>
        <v>1</v>
      </c>
      <c r="K25" s="20" t="str" cm="1">
        <f t="array" ref="K25:K28">_xlfn.LET(_xlpm.z,IF($A$4="All Sections","&lt;&gt;",$A$4),_xlpm.u,_xlfn.UNIQUE(_xlfn._xlws.FILTER(SimpleDashData810[Region],IF($A$4="All Sections",SimpleDashData810[Section]&lt;&gt;"",SimpleDashData810[Section]=$A$4))),_xlfn.SORTBY(_xlpm.u,SUMIFS(SimpleDashData810[Total Patients],SimpleDashData810[Region],_xlpm.u,SimpleDashData810[Section],_xlpm.z),-1))</f>
        <v>South &amp; North Punjab Region</v>
      </c>
      <c r="L25" s="21" cm="1">
        <f t="array" ref="L25:L28">SUMIFS(SimpleDashData810[Total Patients],SimpleDashData810[Region],_xlfn.ANCHORARRAY(K25),SimpleDashData810[Section],IF($A$4="All Sections","&lt;&gt;",$A$4))</f>
        <v>79921</v>
      </c>
      <c r="M25" s="21" cm="1">
        <f t="array" ref="M25:M28">COUNTIFS(SimpleDashData810[Region],_xlfn.ANCHORARRAY(K25),SimpleDashData810[Section],IF($A$4="All Sections","&lt;&gt;",$A$4))</f>
        <v>36</v>
      </c>
      <c r="N25" s="22" cm="1">
        <f t="array" ref="N25:N28">_xlfn.ANCHORARRAY(L25)/_xlfn.ANCHORARRAY(M25)</f>
        <v>2220.0277777777778</v>
      </c>
      <c r="P25" s="19" cm="1">
        <f t="array" ref="P25:P28">_xlfn.SEQUENCE(ROWS(_xlfn.ANCHORARRAY(Q25)))</f>
        <v>1</v>
      </c>
      <c r="Q25" s="20" t="str" cm="1">
        <f t="array" ref="Q25:Q28">_xlfn.LET(_xlpm.z,IF($A$4="All Sections","&lt;&gt;",$A$4),_xlpm.u,_xlfn.UNIQUE(_xlfn._xlws.FILTER(SimpleDashData810[Region],IF($A$4="All Sections",SimpleDashData810[Section]&lt;&gt;"",SimpleDashData810[Section]=$A$4))),_xlfn.SORTBY(_xlpm.u,SUMIFS(SimpleDashData810[Total Expense],SimpleDashData810[Region],_xlpm.u,SimpleDashData810[Section],_xlpm.z),-1))</f>
        <v>Central Punjab Region</v>
      </c>
      <c r="R25" s="21" cm="1">
        <f t="array" ref="R25:R28">SUMIFS(SimpleDashData810[Total Expense],SimpleDashData810[Region],_xlfn.ANCHORARRAY(Q25),SimpleDashData810[Section],IF($A$4="All Sections","&lt;&gt;",$A$4))</f>
        <v>290176</v>
      </c>
      <c r="S25" s="21" cm="1">
        <f t="array" ref="S25:S28">COUNTIFS(SimpleDashData810[Region],_xlfn.ANCHORARRAY(Q25),SimpleDashData810[Section],IF($A$4="All Sections","&lt;&gt;",$A$4))</f>
        <v>34</v>
      </c>
      <c r="T25" s="23" cm="1">
        <f t="array" ref="T25:T28">IFERROR(_xlfn.ANCHORARRAY(R25)/SUMIFS(SimpleDashData810[Total Patients],SimpleDashData810[Region],_xlfn.ANCHORARRAY(Q25),SimpleDashData810[Section],IF($A$4="All Sections","&lt;&gt;",$A$4)),0)</f>
        <v>5.3053478380107872</v>
      </c>
      <c r="V25" s="19">
        <v>1</v>
      </c>
      <c r="W25" s="20" t="s">
        <v>33</v>
      </c>
      <c r="X25" s="21">
        <v>824500</v>
      </c>
      <c r="BA25">
        <v>24</v>
      </c>
      <c r="BB25" s="12" t="s">
        <v>86</v>
      </c>
      <c r="BC25">
        <v>2010299</v>
      </c>
      <c r="BD25" t="s">
        <v>68</v>
      </c>
      <c r="BE25" t="s">
        <v>34</v>
      </c>
      <c r="BF25" t="s">
        <v>64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470</v>
      </c>
      <c r="BM25">
        <v>0</v>
      </c>
      <c r="BN25">
        <v>0</v>
      </c>
      <c r="BO25">
        <v>500</v>
      </c>
      <c r="BP25">
        <v>0</v>
      </c>
      <c r="BQ25">
        <f>SUM(SimpleDashData810[[#This Row],[Convayance]:[Misc]])</f>
        <v>970</v>
      </c>
      <c r="BR25">
        <v>855</v>
      </c>
      <c r="BS25">
        <v>0</v>
      </c>
      <c r="BT25">
        <v>0</v>
      </c>
      <c r="BU25">
        <f>SUM(SimpleDashData810[[#This Row],[Male]:[Child]])</f>
        <v>855</v>
      </c>
      <c r="BW25">
        <f>'[1]Expense Master June-26'!W30</f>
        <v>0</v>
      </c>
      <c r="BZ25">
        <f>SimpleDashData810[[#This Row],[Total Expense]]/SimpleDashData810[[#This Row],[Total Patients]]</f>
        <v>1.1345029239766082</v>
      </c>
      <c r="CA25">
        <v>0</v>
      </c>
    </row>
    <row r="26" spans="1:79" ht="27.6" x14ac:dyDescent="0.3">
      <c r="A26">
        <v>15</v>
      </c>
      <c r="B26" t="str">
        <v>QCNM Burhan, Doke Mughalan</v>
      </c>
      <c r="C26" t="str">
        <v>Trust Act</v>
      </c>
      <c r="D26" t="str">
        <v>South &amp; North Punjab Region</v>
      </c>
      <c r="E26" t="str">
        <v>Public</v>
      </c>
      <c r="F26" s="2">
        <v>14350</v>
      </c>
      <c r="G26" s="2">
        <v>1453</v>
      </c>
      <c r="H26" s="13">
        <v>9.8761183757742597</v>
      </c>
      <c r="I26" s="13"/>
      <c r="J26" s="19">
        <v>2</v>
      </c>
      <c r="K26" s="20" t="str">
        <v>Capital Region</v>
      </c>
      <c r="L26" s="21">
        <v>65773</v>
      </c>
      <c r="M26" s="21">
        <v>34</v>
      </c>
      <c r="N26" s="22">
        <v>1934.5</v>
      </c>
      <c r="P26" s="19">
        <v>2</v>
      </c>
      <c r="Q26" s="20" t="str">
        <v>South &amp; North Punjab Region</v>
      </c>
      <c r="R26" s="21">
        <v>260953</v>
      </c>
      <c r="S26" s="21">
        <v>36</v>
      </c>
      <c r="T26" s="23">
        <v>3.2651368226123298</v>
      </c>
      <c r="V26" s="19">
        <v>2</v>
      </c>
      <c r="W26" s="20" t="s">
        <v>87</v>
      </c>
      <c r="X26" s="21">
        <v>17905</v>
      </c>
      <c r="BA26">
        <v>25</v>
      </c>
      <c r="BB26" s="12" t="s">
        <v>88</v>
      </c>
      <c r="BC26">
        <v>2010295</v>
      </c>
      <c r="BD26" t="s">
        <v>33</v>
      </c>
      <c r="BE26" t="s">
        <v>34</v>
      </c>
      <c r="BF26" t="s">
        <v>64</v>
      </c>
      <c r="BG26">
        <v>0</v>
      </c>
      <c r="BH26">
        <v>0</v>
      </c>
      <c r="BI26">
        <v>0</v>
      </c>
      <c r="BJ26">
        <v>1650</v>
      </c>
      <c r="BK26">
        <v>710</v>
      </c>
      <c r="BL26">
        <v>570</v>
      </c>
      <c r="BM26">
        <v>0</v>
      </c>
      <c r="BN26">
        <v>410</v>
      </c>
      <c r="BO26">
        <v>770</v>
      </c>
      <c r="BP26">
        <v>500</v>
      </c>
      <c r="BQ26">
        <f>SUM(SimpleDashData810[[#This Row],[Convayance]:[Misc]])</f>
        <v>4610</v>
      </c>
      <c r="BR26">
        <v>1261</v>
      </c>
      <c r="BS26">
        <v>0</v>
      </c>
      <c r="BT26">
        <v>0</v>
      </c>
      <c r="BU26">
        <f>SUM(SimpleDashData810[[#This Row],[Male]:[Child]])</f>
        <v>1261</v>
      </c>
      <c r="BZ26">
        <f>SimpleDashData810[[#This Row],[Total Expense]]/SimpleDashData810[[#This Row],[Total Patients]]</f>
        <v>3.655828707375099</v>
      </c>
      <c r="CA26">
        <v>0</v>
      </c>
    </row>
    <row r="27" spans="1:79" ht="41.4" x14ac:dyDescent="0.3">
      <c r="A27">
        <v>16</v>
      </c>
      <c r="B27" t="str">
        <v>QCNM Sheikhupura, District Jail</v>
      </c>
      <c r="C27" t="str">
        <v>Trust Act</v>
      </c>
      <c r="D27" t="str">
        <v>Central Punjab Region</v>
      </c>
      <c r="E27" t="str">
        <v>Prison</v>
      </c>
      <c r="F27" s="2">
        <v>14120</v>
      </c>
      <c r="G27" s="2">
        <v>3325</v>
      </c>
      <c r="H27" s="13">
        <v>4.2466165413533838</v>
      </c>
      <c r="I27" s="13"/>
      <c r="J27" s="19">
        <v>3</v>
      </c>
      <c r="K27" s="20" t="str">
        <v>Central Punjab Region</v>
      </c>
      <c r="L27" s="21">
        <v>54695</v>
      </c>
      <c r="M27" s="21">
        <v>34</v>
      </c>
      <c r="N27" s="22">
        <v>1608.6764705882354</v>
      </c>
      <c r="P27" s="19">
        <v>3</v>
      </c>
      <c r="Q27" s="20" t="str">
        <v>Sindh, Balochistan &amp; AJK Region</v>
      </c>
      <c r="R27" s="21">
        <v>206322</v>
      </c>
      <c r="S27" s="21">
        <v>32</v>
      </c>
      <c r="T27" s="23">
        <v>5.1757770363494968</v>
      </c>
      <c r="V27" s="19">
        <v>3</v>
      </c>
      <c r="W27" s="20" t="s">
        <v>89</v>
      </c>
      <c r="X27" s="21">
        <v>8900</v>
      </c>
      <c r="BA27">
        <v>26</v>
      </c>
      <c r="BB27" s="12" t="s">
        <v>90</v>
      </c>
      <c r="BC27">
        <v>2010294</v>
      </c>
      <c r="BD27" t="s">
        <v>33</v>
      </c>
      <c r="BE27" t="s">
        <v>34</v>
      </c>
      <c r="BF27" t="s">
        <v>64</v>
      </c>
      <c r="BG27">
        <v>5600</v>
      </c>
      <c r="BH27">
        <v>500</v>
      </c>
      <c r="BI27">
        <v>0</v>
      </c>
      <c r="BJ27">
        <v>1350</v>
      </c>
      <c r="BK27">
        <v>610</v>
      </c>
      <c r="BL27">
        <v>550</v>
      </c>
      <c r="BM27">
        <v>0</v>
      </c>
      <c r="BN27">
        <v>450</v>
      </c>
      <c r="BO27">
        <v>0</v>
      </c>
      <c r="BP27">
        <v>0</v>
      </c>
      <c r="BQ27">
        <f>SUM(SimpleDashData810[[#This Row],[Convayance]:[Misc]])</f>
        <v>9060</v>
      </c>
      <c r="BR27">
        <v>1841</v>
      </c>
      <c r="BS27">
        <v>209</v>
      </c>
      <c r="BT27">
        <v>104</v>
      </c>
      <c r="BU27">
        <f>SUM(SimpleDashData810[[#This Row],[Male]:[Child]])</f>
        <v>2154</v>
      </c>
      <c r="BZ27">
        <f>SimpleDashData810[[#This Row],[Total Expense]]/SimpleDashData810[[#This Row],[Total Patients]]</f>
        <v>4.2061281337047358</v>
      </c>
      <c r="CA27">
        <v>0</v>
      </c>
    </row>
    <row r="28" spans="1:79" ht="27.6" x14ac:dyDescent="0.3">
      <c r="A28">
        <v>17</v>
      </c>
      <c r="B28" t="str">
        <v>QCNM Gujrat, District Jail</v>
      </c>
      <c r="C28" t="str">
        <v>Trust Act</v>
      </c>
      <c r="D28" t="str">
        <v>Central Punjab Region</v>
      </c>
      <c r="E28" t="str">
        <v>Prison</v>
      </c>
      <c r="F28" s="2">
        <v>13160</v>
      </c>
      <c r="G28" s="2">
        <v>1540</v>
      </c>
      <c r="H28" s="13">
        <v>8.545454545454545</v>
      </c>
      <c r="I28" s="13"/>
      <c r="J28" s="19">
        <v>4</v>
      </c>
      <c r="K28" s="20" t="str">
        <v>Sindh, Balochistan &amp; AJK Region</v>
      </c>
      <c r="L28" s="21">
        <v>39863</v>
      </c>
      <c r="M28" s="21">
        <v>32</v>
      </c>
      <c r="N28" s="22">
        <v>1245.71875</v>
      </c>
      <c r="P28" s="19">
        <v>4</v>
      </c>
      <c r="Q28" s="20" t="str">
        <v>Capital Region</v>
      </c>
      <c r="R28" s="21">
        <v>162182</v>
      </c>
      <c r="S28" s="21">
        <v>34</v>
      </c>
      <c r="T28" s="23">
        <v>2.465783832271601</v>
      </c>
      <c r="V28" s="19"/>
      <c r="W28" s="24" t="s">
        <v>40</v>
      </c>
      <c r="X28" s="25">
        <f>SUM(X25:X27)</f>
        <v>851305</v>
      </c>
      <c r="BA28">
        <v>27</v>
      </c>
      <c r="BB28" s="12" t="s">
        <v>91</v>
      </c>
      <c r="BC28">
        <v>2010409</v>
      </c>
      <c r="BD28" t="s">
        <v>33</v>
      </c>
      <c r="BE28" t="s">
        <v>34</v>
      </c>
      <c r="BF28" t="s">
        <v>64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f>SUM(SimpleDashData810[[#This Row],[Convayance]:[Misc]])</f>
        <v>0</v>
      </c>
      <c r="BR28">
        <v>2025</v>
      </c>
      <c r="BS28">
        <v>0</v>
      </c>
      <c r="BT28">
        <v>0</v>
      </c>
      <c r="BU28">
        <f>SUM(SimpleDashData810[[#This Row],[Male]:[Child]])</f>
        <v>2025</v>
      </c>
      <c r="BZ28">
        <f>SimpleDashData810[[#This Row],[Total Expense]]/SimpleDashData810[[#This Row],[Total Patients]]</f>
        <v>0</v>
      </c>
      <c r="CA28">
        <v>0</v>
      </c>
    </row>
    <row r="29" spans="1:79" x14ac:dyDescent="0.3">
      <c r="A29">
        <v>18</v>
      </c>
      <c r="B29" t="str">
        <v>Lahore, QCNM Saggian</v>
      </c>
      <c r="C29" t="str">
        <v>Trust Act</v>
      </c>
      <c r="D29" t="str">
        <v>Central Punjab Region</v>
      </c>
      <c r="E29" t="str">
        <v>Public</v>
      </c>
      <c r="F29" s="2">
        <v>12730</v>
      </c>
      <c r="G29" s="2">
        <v>1174</v>
      </c>
      <c r="H29" s="13">
        <v>10.843270868824531</v>
      </c>
      <c r="I29" s="13"/>
      <c r="L29" s="26">
        <f>SUM(_xlfn.ANCHORARRAY(L25))</f>
        <v>240252</v>
      </c>
      <c r="M29" s="2">
        <f>SUM(_xlfn.ANCHORARRAY(M25))</f>
        <v>136</v>
      </c>
      <c r="N29" s="2">
        <f>SUM(_xlfn.ANCHORARRAY(N25))</f>
        <v>7008.9229983660125</v>
      </c>
      <c r="R29" s="26">
        <f>SUM(_xlfn.ANCHORARRAY(R25))</f>
        <v>919633</v>
      </c>
      <c r="S29" s="2">
        <f>SUM(_xlfn.ANCHORARRAY(S25))</f>
        <v>136</v>
      </c>
      <c r="T29" s="2"/>
      <c r="BA29">
        <v>28</v>
      </c>
      <c r="BB29" s="12" t="s">
        <v>92</v>
      </c>
      <c r="BC29">
        <v>2010405</v>
      </c>
      <c r="BD29" t="s">
        <v>33</v>
      </c>
      <c r="BE29" t="s">
        <v>34</v>
      </c>
      <c r="BF29" t="s">
        <v>64</v>
      </c>
      <c r="BG29">
        <v>0</v>
      </c>
      <c r="BH29">
        <v>500</v>
      </c>
      <c r="BI29">
        <v>450</v>
      </c>
      <c r="BJ29">
        <v>9050</v>
      </c>
      <c r="BK29">
        <v>0</v>
      </c>
      <c r="BL29">
        <v>650</v>
      </c>
      <c r="BM29">
        <v>0</v>
      </c>
      <c r="BN29">
        <v>0</v>
      </c>
      <c r="BO29">
        <v>0</v>
      </c>
      <c r="BP29">
        <v>800</v>
      </c>
      <c r="BQ29">
        <f>SUM(SimpleDashData810[[#This Row],[Convayance]:[Misc]])</f>
        <v>11450</v>
      </c>
      <c r="BR29">
        <v>2970</v>
      </c>
      <c r="BS29">
        <v>0</v>
      </c>
      <c r="BT29">
        <v>0</v>
      </c>
      <c r="BU29">
        <f>SUM(SimpleDashData810[[#This Row],[Male]:[Child]])</f>
        <v>2970</v>
      </c>
      <c r="BZ29">
        <f>SimpleDashData810[[#This Row],[Total Expense]]/SimpleDashData810[[#This Row],[Total Patients]]</f>
        <v>3.8552188552188551</v>
      </c>
      <c r="CA29">
        <v>0</v>
      </c>
    </row>
    <row r="30" spans="1:79" x14ac:dyDescent="0.3">
      <c r="A30">
        <v>19</v>
      </c>
      <c r="B30" t="str">
        <v>QCNM Bannu, USTB University</v>
      </c>
      <c r="C30" t="str">
        <v>Trust Act</v>
      </c>
      <c r="D30" t="str">
        <v>Capital Region</v>
      </c>
      <c r="E30" t="str">
        <v>Public</v>
      </c>
      <c r="F30" s="2">
        <v>12550</v>
      </c>
      <c r="G30" s="2">
        <v>2179</v>
      </c>
      <c r="H30" s="13">
        <v>5.7595227168425884</v>
      </c>
      <c r="I30" s="13"/>
      <c r="BA30">
        <v>29</v>
      </c>
      <c r="BB30" s="12" t="s">
        <v>93</v>
      </c>
      <c r="BC30">
        <v>2010403</v>
      </c>
      <c r="BD30" t="s">
        <v>33</v>
      </c>
      <c r="BE30" t="s">
        <v>34</v>
      </c>
      <c r="BF30" t="s">
        <v>64</v>
      </c>
      <c r="BG30">
        <v>0</v>
      </c>
      <c r="BH30">
        <v>500</v>
      </c>
      <c r="BI30">
        <v>0</v>
      </c>
      <c r="BJ30">
        <v>6750</v>
      </c>
      <c r="BK30">
        <v>360</v>
      </c>
      <c r="BL30">
        <v>630</v>
      </c>
      <c r="BM30">
        <v>0</v>
      </c>
      <c r="BN30">
        <v>0</v>
      </c>
      <c r="BO30">
        <v>0</v>
      </c>
      <c r="BP30">
        <v>0</v>
      </c>
      <c r="BQ30">
        <f>SUM(SimpleDashData810[[#This Row],[Convayance]:[Misc]])</f>
        <v>8240</v>
      </c>
      <c r="BR30">
        <v>1542</v>
      </c>
      <c r="BS30">
        <v>555</v>
      </c>
      <c r="BT30">
        <v>235</v>
      </c>
      <c r="BU30">
        <f>SUM(SimpleDashData810[[#This Row],[Male]:[Child]])</f>
        <v>2332</v>
      </c>
      <c r="BZ30">
        <f>SimpleDashData810[[#This Row],[Total Expense]]/SimpleDashData810[[#This Row],[Total Patients]]</f>
        <v>3.5334476843910805</v>
      </c>
      <c r="CA30">
        <v>0</v>
      </c>
    </row>
    <row r="31" spans="1:79" x14ac:dyDescent="0.3">
      <c r="A31">
        <v>20</v>
      </c>
      <c r="B31" t="str">
        <v>QCNM Swat, District Jail</v>
      </c>
      <c r="C31" t="str">
        <v>Trust Act</v>
      </c>
      <c r="D31" t="str">
        <v>Capital Region</v>
      </c>
      <c r="E31" t="str">
        <v>Prison</v>
      </c>
      <c r="F31" s="2">
        <v>12420</v>
      </c>
      <c r="G31" s="2">
        <v>2379</v>
      </c>
      <c r="H31" s="13">
        <v>5.2206809583858762</v>
      </c>
      <c r="I31" s="13"/>
      <c r="BA31">
        <v>30</v>
      </c>
      <c r="BB31" s="12" t="s">
        <v>94</v>
      </c>
      <c r="BC31">
        <v>2010404</v>
      </c>
      <c r="BD31" t="s">
        <v>33</v>
      </c>
      <c r="BE31" t="s">
        <v>34</v>
      </c>
      <c r="BF31" t="s">
        <v>64</v>
      </c>
      <c r="BG31">
        <v>2700</v>
      </c>
      <c r="BH31">
        <v>500</v>
      </c>
      <c r="BI31">
        <v>0</v>
      </c>
      <c r="BJ31">
        <v>0</v>
      </c>
      <c r="BK31">
        <v>660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f>SUM(SimpleDashData810[[#This Row],[Convayance]:[Misc]])</f>
        <v>3860</v>
      </c>
      <c r="BR31">
        <v>1525</v>
      </c>
      <c r="BS31">
        <v>444</v>
      </c>
      <c r="BT31">
        <v>138</v>
      </c>
      <c r="BU31">
        <f>SUM(SimpleDashData810[[#This Row],[Male]:[Child]])</f>
        <v>2107</v>
      </c>
      <c r="BZ31">
        <f>SimpleDashData810[[#This Row],[Total Expense]]/SimpleDashData810[[#This Row],[Total Patients]]</f>
        <v>1.8319886093972473</v>
      </c>
      <c r="CA31">
        <v>0</v>
      </c>
    </row>
    <row r="32" spans="1:79" x14ac:dyDescent="0.3">
      <c r="A32">
        <v>21</v>
      </c>
      <c r="B32" t="str">
        <v>QCNM Sadda, Sub Jail</v>
      </c>
      <c r="C32" t="str">
        <v>Trust Act</v>
      </c>
      <c r="D32" t="str">
        <v>Capital Region</v>
      </c>
      <c r="E32" t="str">
        <v>Prison</v>
      </c>
      <c r="F32" s="2">
        <v>11450</v>
      </c>
      <c r="G32" s="2">
        <v>2970</v>
      </c>
      <c r="H32" s="13">
        <v>3.8552188552188551</v>
      </c>
      <c r="I32" s="13"/>
      <c r="BA32">
        <v>31</v>
      </c>
      <c r="BB32" s="12" t="s">
        <v>95</v>
      </c>
      <c r="BC32">
        <v>2010406</v>
      </c>
      <c r="BD32" t="s">
        <v>33</v>
      </c>
      <c r="BE32" t="s">
        <v>34</v>
      </c>
      <c r="BF32" t="s">
        <v>64</v>
      </c>
      <c r="BG32">
        <v>0</v>
      </c>
      <c r="BH32">
        <v>0</v>
      </c>
      <c r="BI32">
        <v>0</v>
      </c>
      <c r="BJ32">
        <v>0</v>
      </c>
      <c r="BK32">
        <v>610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f>SUM(SimpleDashData810[[#This Row],[Convayance]:[Misc]])</f>
        <v>610</v>
      </c>
      <c r="BR32">
        <v>1167</v>
      </c>
      <c r="BS32">
        <v>13</v>
      </c>
      <c r="BT32">
        <v>15</v>
      </c>
      <c r="BU32">
        <f>SUM(SimpleDashData810[[#This Row],[Male]:[Child]])</f>
        <v>1195</v>
      </c>
      <c r="BZ32">
        <f>SimpleDashData810[[#This Row],[Total Expense]]/SimpleDashData810[[#This Row],[Total Patients]]</f>
        <v>0.5104602510460251</v>
      </c>
      <c r="CA32">
        <v>0</v>
      </c>
    </row>
    <row r="33" spans="1:79" x14ac:dyDescent="0.3">
      <c r="A33">
        <v>22</v>
      </c>
      <c r="B33" t="str">
        <v>QCNM Narowal, Disst Jail</v>
      </c>
      <c r="C33" t="str">
        <v>Trust Act</v>
      </c>
      <c r="D33" t="str">
        <v>Central Punjab Region</v>
      </c>
      <c r="E33" t="str">
        <v>Prison</v>
      </c>
      <c r="F33" s="2">
        <v>11415</v>
      </c>
      <c r="G33" s="2">
        <v>1961</v>
      </c>
      <c r="H33" s="13">
        <v>5.8210096889342173</v>
      </c>
      <c r="I33" s="13"/>
      <c r="BA33">
        <v>32</v>
      </c>
      <c r="BB33" s="12" t="s">
        <v>96</v>
      </c>
      <c r="BC33">
        <v>2010407</v>
      </c>
      <c r="BD33" t="s">
        <v>33</v>
      </c>
      <c r="BE33" t="s">
        <v>34</v>
      </c>
      <c r="BF33" t="s">
        <v>64</v>
      </c>
      <c r="BG33">
        <v>0</v>
      </c>
      <c r="BH33">
        <v>0</v>
      </c>
      <c r="BI33">
        <v>0</v>
      </c>
      <c r="BJ33">
        <v>4500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500</v>
      </c>
      <c r="BQ33">
        <f>SUM(SimpleDashData810[[#This Row],[Convayance]:[Misc]])</f>
        <v>5000</v>
      </c>
      <c r="BR33">
        <v>1469</v>
      </c>
      <c r="BS33">
        <v>376</v>
      </c>
      <c r="BT33">
        <v>275</v>
      </c>
      <c r="BU33">
        <f>SUM(SimpleDashData810[[#This Row],[Male]:[Child]])</f>
        <v>2120</v>
      </c>
      <c r="BZ33">
        <f>SimpleDashData810[[#This Row],[Total Expense]]/SimpleDashData810[[#This Row],[Total Patients]]</f>
        <v>2.358490566037736</v>
      </c>
      <c r="CA33">
        <v>0</v>
      </c>
    </row>
    <row r="34" spans="1:79" x14ac:dyDescent="0.3">
      <c r="A34">
        <v>23</v>
      </c>
      <c r="B34" t="str">
        <v>QCNM Mardan, Central Jail</v>
      </c>
      <c r="C34" t="str">
        <v>Trust Act</v>
      </c>
      <c r="D34" t="str">
        <v>Capital Region</v>
      </c>
      <c r="E34" t="str">
        <v>Prison</v>
      </c>
      <c r="F34" s="2">
        <v>11410</v>
      </c>
      <c r="G34" s="2">
        <v>2834</v>
      </c>
      <c r="H34" s="13">
        <v>4.0261115031757235</v>
      </c>
      <c r="I34" s="13"/>
      <c r="BA34">
        <v>33</v>
      </c>
      <c r="BB34" s="12" t="s">
        <v>97</v>
      </c>
      <c r="BC34">
        <v>2010408</v>
      </c>
      <c r="BD34" t="s">
        <v>33</v>
      </c>
      <c r="BE34" t="s">
        <v>34</v>
      </c>
      <c r="BF34" t="s">
        <v>64</v>
      </c>
      <c r="BG34">
        <v>0</v>
      </c>
      <c r="BH34">
        <v>500</v>
      </c>
      <c r="BI34">
        <v>0</v>
      </c>
      <c r="BJ34">
        <v>0</v>
      </c>
      <c r="BK34">
        <v>0</v>
      </c>
      <c r="BL34">
        <v>792</v>
      </c>
      <c r="BM34">
        <v>0</v>
      </c>
      <c r="BN34">
        <v>200</v>
      </c>
      <c r="BO34">
        <v>130</v>
      </c>
      <c r="BP34">
        <v>0</v>
      </c>
      <c r="BQ34">
        <f>SUM(SimpleDashData810[[#This Row],[Convayance]:[Misc]])</f>
        <v>1622</v>
      </c>
      <c r="BR34">
        <v>1481</v>
      </c>
      <c r="BS34">
        <v>0</v>
      </c>
      <c r="BT34">
        <v>0</v>
      </c>
      <c r="BU34">
        <f>SUM(SimpleDashData810[[#This Row],[Male]:[Child]])</f>
        <v>1481</v>
      </c>
      <c r="BZ34">
        <f>SimpleDashData810[[#This Row],[Total Expense]]/SimpleDashData810[[#This Row],[Total Patients]]</f>
        <v>1.0952059419311275</v>
      </c>
      <c r="CA34">
        <v>0</v>
      </c>
    </row>
    <row r="35" spans="1:79" x14ac:dyDescent="0.3">
      <c r="A35">
        <v>24</v>
      </c>
      <c r="B35" t="str">
        <v>QCNM FUUAST Islamabad</v>
      </c>
      <c r="C35" t="str">
        <v>Trust Act</v>
      </c>
      <c r="D35" t="str">
        <v>Capital Region</v>
      </c>
      <c r="E35" t="str">
        <v>Public</v>
      </c>
      <c r="F35" s="2">
        <v>11300</v>
      </c>
      <c r="G35" s="2">
        <v>2647</v>
      </c>
      <c r="H35" s="13">
        <v>4.2689837551945597</v>
      </c>
      <c r="I35" s="13"/>
      <c r="BA35">
        <v>34</v>
      </c>
      <c r="BB35" s="12" t="s">
        <v>98</v>
      </c>
      <c r="BD35" t="s">
        <v>33</v>
      </c>
      <c r="BE35" t="s">
        <v>34</v>
      </c>
      <c r="BF35" t="s">
        <v>64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f>SUM(SimpleDashData810[[#This Row],[Convayance]:[Misc]])</f>
        <v>0</v>
      </c>
      <c r="BR35">
        <v>0</v>
      </c>
      <c r="BS35">
        <v>0</v>
      </c>
      <c r="BT35">
        <v>0</v>
      </c>
      <c r="BU35">
        <f>SUM(SimpleDashData810[[#This Row],[Male]:[Child]])</f>
        <v>0</v>
      </c>
      <c r="BZ35" t="e">
        <f>SimpleDashData810[[#This Row],[Total Expense]]/SimpleDashData810[[#This Row],[Total Patients]]</f>
        <v>#DIV/0!</v>
      </c>
      <c r="CA35">
        <v>0</v>
      </c>
    </row>
    <row r="36" spans="1:79" x14ac:dyDescent="0.3">
      <c r="A36">
        <v>25</v>
      </c>
      <c r="B36" t="str">
        <v>QCNM Sardar Bahdur Khan University</v>
      </c>
      <c r="C36" t="str">
        <v>Trust Act</v>
      </c>
      <c r="D36" t="str">
        <v>Sindh, Balochistan &amp; AJK Region</v>
      </c>
      <c r="E36" t="str">
        <v>Public</v>
      </c>
      <c r="F36" s="2">
        <v>11220</v>
      </c>
      <c r="G36" s="2">
        <v>594</v>
      </c>
      <c r="H36" s="13">
        <v>18.888888888888889</v>
      </c>
      <c r="I36" s="13"/>
      <c r="BA36">
        <v>35</v>
      </c>
      <c r="BB36" s="27" t="s">
        <v>99</v>
      </c>
      <c r="BC36">
        <v>2010252</v>
      </c>
      <c r="BD36" t="s">
        <v>33</v>
      </c>
      <c r="BE36" t="s">
        <v>100</v>
      </c>
      <c r="BF36" t="s">
        <v>35</v>
      </c>
      <c r="BG36">
        <v>8100</v>
      </c>
      <c r="BH36">
        <v>1000</v>
      </c>
      <c r="BI36">
        <v>0</v>
      </c>
      <c r="BJ36">
        <v>8990</v>
      </c>
      <c r="BK36">
        <v>440</v>
      </c>
      <c r="BL36">
        <v>0</v>
      </c>
      <c r="BM36">
        <v>0</v>
      </c>
      <c r="BN36">
        <v>1220</v>
      </c>
      <c r="BO36">
        <v>0</v>
      </c>
      <c r="BP36">
        <v>3760</v>
      </c>
      <c r="BQ36">
        <f>SUM(SimpleDashData810[[#This Row],[Convayance]:[Misc]])</f>
        <v>23510</v>
      </c>
      <c r="BR36">
        <v>562</v>
      </c>
      <c r="BS36">
        <v>695</v>
      </c>
      <c r="BT36">
        <v>394</v>
      </c>
      <c r="BU36">
        <f>SUM(SimpleDashData810[[#This Row],[Male]:[Child]])</f>
        <v>1651</v>
      </c>
      <c r="BZ36">
        <f>SimpleDashData810[[#This Row],[Total Expense]]/SimpleDashData810[[#This Row],[Total Patients]]</f>
        <v>14.239854633555421</v>
      </c>
      <c r="CA36">
        <v>0</v>
      </c>
    </row>
    <row r="37" spans="1:79" x14ac:dyDescent="0.3">
      <c r="A37">
        <v>26</v>
      </c>
      <c r="B37" t="str">
        <v>QCNM Bahawalpur EMH</v>
      </c>
      <c r="C37" t="str">
        <v>Trust Act</v>
      </c>
      <c r="D37" t="str">
        <v>South &amp; North Punjab Region</v>
      </c>
      <c r="E37" t="str">
        <v>Public</v>
      </c>
      <c r="F37" s="2">
        <v>11148</v>
      </c>
      <c r="G37" s="2">
        <v>2423</v>
      </c>
      <c r="H37" s="13">
        <v>4.6009079653322331</v>
      </c>
      <c r="I37" s="13"/>
      <c r="BA37">
        <v>36</v>
      </c>
      <c r="BB37" s="27" t="s">
        <v>101</v>
      </c>
      <c r="BC37">
        <v>2010202</v>
      </c>
      <c r="BD37" t="s">
        <v>33</v>
      </c>
      <c r="BE37" t="s">
        <v>100</v>
      </c>
      <c r="BF37" t="s">
        <v>35</v>
      </c>
      <c r="BG37">
        <v>450</v>
      </c>
      <c r="BH37">
        <v>0</v>
      </c>
      <c r="BI37">
        <v>1158</v>
      </c>
      <c r="BJ37">
        <v>11610</v>
      </c>
      <c r="BK37">
        <v>0</v>
      </c>
      <c r="BL37">
        <v>130</v>
      </c>
      <c r="BM37">
        <v>650</v>
      </c>
      <c r="BN37">
        <v>0</v>
      </c>
      <c r="BO37">
        <v>2200</v>
      </c>
      <c r="BP37">
        <v>0</v>
      </c>
      <c r="BQ37">
        <f>SUM(SimpleDashData810[[#This Row],[Convayance]:[Misc]])</f>
        <v>16198</v>
      </c>
      <c r="BR37">
        <v>1074</v>
      </c>
      <c r="BS37">
        <v>661</v>
      </c>
      <c r="BT37">
        <v>202</v>
      </c>
      <c r="BU37">
        <f>SUM(SimpleDashData810[[#This Row],[Male]:[Child]])</f>
        <v>1937</v>
      </c>
      <c r="BZ37">
        <f>SimpleDashData810[[#This Row],[Total Expense]]/SimpleDashData810[[#This Row],[Total Patients]]</f>
        <v>8.3624161073825505</v>
      </c>
      <c r="CA37">
        <v>0</v>
      </c>
    </row>
    <row r="38" spans="1:79" x14ac:dyDescent="0.3">
      <c r="A38">
        <v>27</v>
      </c>
      <c r="B38" t="str">
        <v>QCNM University of Sindh</v>
      </c>
      <c r="C38" t="str">
        <v>Trust Act</v>
      </c>
      <c r="D38" t="str">
        <v>Sindh, Balochistan &amp; AJK Region</v>
      </c>
      <c r="E38" t="str">
        <v>Public</v>
      </c>
      <c r="F38" s="2">
        <v>11080</v>
      </c>
      <c r="G38" s="2">
        <v>2035</v>
      </c>
      <c r="H38" s="13">
        <v>5.4447174447174449</v>
      </c>
      <c r="I38" s="13"/>
      <c r="BA38">
        <v>37</v>
      </c>
      <c r="BB38" s="27" t="s">
        <v>102</v>
      </c>
      <c r="BC38">
        <v>2010203</v>
      </c>
      <c r="BD38" t="s">
        <v>33</v>
      </c>
      <c r="BE38" t="s">
        <v>100</v>
      </c>
      <c r="BF38" t="s">
        <v>35</v>
      </c>
      <c r="BG38">
        <v>1600</v>
      </c>
      <c r="BH38">
        <v>0</v>
      </c>
      <c r="BI38">
        <v>400</v>
      </c>
      <c r="BJ38">
        <v>16900</v>
      </c>
      <c r="BK38">
        <v>0</v>
      </c>
      <c r="BL38">
        <v>200</v>
      </c>
      <c r="BM38">
        <v>0</v>
      </c>
      <c r="BN38">
        <v>2575</v>
      </c>
      <c r="BO38">
        <v>0</v>
      </c>
      <c r="BP38">
        <v>0</v>
      </c>
      <c r="BQ38">
        <f>SUM(SimpleDashData810[[#This Row],[Convayance]:[Misc]])</f>
        <v>21675</v>
      </c>
      <c r="BR38">
        <v>900</v>
      </c>
      <c r="BS38">
        <v>843</v>
      </c>
      <c r="BT38">
        <v>151</v>
      </c>
      <c r="BU38">
        <f>SUM(SimpleDashData810[[#This Row],[Male]:[Child]])</f>
        <v>1894</v>
      </c>
      <c r="BZ38">
        <f>SimpleDashData810[[#This Row],[Total Expense]]/SimpleDashData810[[#This Row],[Total Patients]]</f>
        <v>11.44403379091869</v>
      </c>
      <c r="CA38">
        <v>0</v>
      </c>
    </row>
    <row r="39" spans="1:79" x14ac:dyDescent="0.3">
      <c r="A39">
        <v>28</v>
      </c>
      <c r="B39" t="str">
        <v>QCNM RAHMA Hospital Janpur</v>
      </c>
      <c r="C39" t="str">
        <v>Trust Act</v>
      </c>
      <c r="D39" t="str">
        <v>South &amp; North Punjab Region</v>
      </c>
      <c r="E39" t="str">
        <v>Public</v>
      </c>
      <c r="F39" s="2">
        <v>10985</v>
      </c>
      <c r="G39" s="2">
        <v>2019</v>
      </c>
      <c r="H39" s="13">
        <v>5.4408122833085688</v>
      </c>
      <c r="I39" s="13"/>
      <c r="BA39">
        <v>38</v>
      </c>
      <c r="BB39" s="27" t="s">
        <v>103</v>
      </c>
      <c r="BC39">
        <v>2010244</v>
      </c>
      <c r="BD39" t="s">
        <v>33</v>
      </c>
      <c r="BE39" t="s">
        <v>100</v>
      </c>
      <c r="BF39" t="s">
        <v>35</v>
      </c>
      <c r="BG39">
        <v>3100</v>
      </c>
      <c r="BH39">
        <v>1000</v>
      </c>
      <c r="BI39">
        <v>0</v>
      </c>
      <c r="BJ39">
        <v>9140</v>
      </c>
      <c r="BK39">
        <v>0</v>
      </c>
      <c r="BL39">
        <v>160</v>
      </c>
      <c r="BM39">
        <v>1500</v>
      </c>
      <c r="BN39">
        <v>610</v>
      </c>
      <c r="BO39">
        <v>3014</v>
      </c>
      <c r="BP39">
        <v>640</v>
      </c>
      <c r="BQ39">
        <f>SUM(SimpleDashData810[[#This Row],[Convayance]:[Misc]])</f>
        <v>19164</v>
      </c>
      <c r="BR39">
        <v>506</v>
      </c>
      <c r="BS39">
        <v>625</v>
      </c>
      <c r="BT39">
        <v>207</v>
      </c>
      <c r="BU39">
        <f>SUM(SimpleDashData810[[#This Row],[Male]:[Child]])</f>
        <v>1338</v>
      </c>
      <c r="BZ39">
        <f>SimpleDashData810[[#This Row],[Total Expense]]/SimpleDashData810[[#This Row],[Total Patients]]</f>
        <v>14.32286995515695</v>
      </c>
      <c r="CA39">
        <v>0</v>
      </c>
    </row>
    <row r="40" spans="1:79" x14ac:dyDescent="0.3">
      <c r="A40">
        <v>29</v>
      </c>
      <c r="B40" t="str">
        <v>QCNM Mandibhaudin, District Jail</v>
      </c>
      <c r="C40" t="str">
        <v>Trust Act</v>
      </c>
      <c r="D40" t="str">
        <v>South &amp; North Punjab Region</v>
      </c>
      <c r="E40" t="str">
        <v>Prison</v>
      </c>
      <c r="F40" s="2">
        <v>10920</v>
      </c>
      <c r="G40" s="2">
        <v>2683</v>
      </c>
      <c r="H40" s="13">
        <v>4.0700708162504657</v>
      </c>
      <c r="I40" s="13"/>
      <c r="BA40">
        <v>39</v>
      </c>
      <c r="BB40" s="27" t="s">
        <v>104</v>
      </c>
      <c r="BC40">
        <v>2010269</v>
      </c>
      <c r="BD40" t="s">
        <v>33</v>
      </c>
      <c r="BE40" t="s">
        <v>100</v>
      </c>
      <c r="BF40" t="s">
        <v>35</v>
      </c>
      <c r="BG40">
        <v>500</v>
      </c>
      <c r="BH40">
        <v>1000</v>
      </c>
      <c r="BI40">
        <v>1200</v>
      </c>
      <c r="BJ40">
        <v>2300</v>
      </c>
      <c r="BK40">
        <v>0</v>
      </c>
      <c r="BL40">
        <v>0</v>
      </c>
      <c r="BM40">
        <v>0</v>
      </c>
      <c r="BN40">
        <v>300</v>
      </c>
      <c r="BO40">
        <v>2630</v>
      </c>
      <c r="BP40">
        <v>4800</v>
      </c>
      <c r="BQ40">
        <f>SUM(SimpleDashData810[[#This Row],[Convayance]:[Misc]])</f>
        <v>12730</v>
      </c>
      <c r="BR40">
        <v>448</v>
      </c>
      <c r="BS40">
        <v>315</v>
      </c>
      <c r="BT40">
        <v>411</v>
      </c>
      <c r="BU40">
        <f>SUM(SimpleDashData810[[#This Row],[Male]:[Child]])</f>
        <v>1174</v>
      </c>
      <c r="BZ40">
        <f>SimpleDashData810[[#This Row],[Total Expense]]/SimpleDashData810[[#This Row],[Total Patients]]</f>
        <v>10.843270868824531</v>
      </c>
      <c r="CA40">
        <v>0</v>
      </c>
    </row>
    <row r="41" spans="1:79" x14ac:dyDescent="0.3">
      <c r="A41">
        <v>30</v>
      </c>
      <c r="B41" t="str">
        <v>QCNM Rawalpindi Adayala Jail</v>
      </c>
      <c r="C41" t="str">
        <v>Trust Act</v>
      </c>
      <c r="D41" t="str">
        <v>South &amp; North Punjab Region</v>
      </c>
      <c r="E41" t="str">
        <v>Prison</v>
      </c>
      <c r="F41" s="2">
        <v>10720</v>
      </c>
      <c r="G41" s="2">
        <v>2922</v>
      </c>
      <c r="H41" s="13">
        <v>3.6687200547570158</v>
      </c>
      <c r="I41" s="13"/>
      <c r="BA41">
        <v>40</v>
      </c>
      <c r="BB41" s="27" t="s">
        <v>105</v>
      </c>
      <c r="BC41">
        <v>2010263</v>
      </c>
      <c r="BD41" t="s">
        <v>33</v>
      </c>
      <c r="BE41" t="s">
        <v>100</v>
      </c>
      <c r="BF41" t="s">
        <v>35</v>
      </c>
      <c r="BG41">
        <v>150</v>
      </c>
      <c r="BH41">
        <v>1000</v>
      </c>
      <c r="BI41">
        <v>0</v>
      </c>
      <c r="BJ41">
        <v>1850</v>
      </c>
      <c r="BK41">
        <v>0</v>
      </c>
      <c r="BL41">
        <v>380</v>
      </c>
      <c r="BM41">
        <v>0</v>
      </c>
      <c r="BN41">
        <v>0</v>
      </c>
      <c r="BO41">
        <v>0</v>
      </c>
      <c r="BP41">
        <v>0</v>
      </c>
      <c r="BQ41">
        <f>SUM(SimpleDashData810[[#This Row],[Convayance]:[Misc]])</f>
        <v>3380</v>
      </c>
      <c r="BR41">
        <v>150</v>
      </c>
      <c r="BS41">
        <v>173</v>
      </c>
      <c r="BT41">
        <v>33</v>
      </c>
      <c r="BU41">
        <f>SUM(SimpleDashData810[[#This Row],[Male]:[Child]])</f>
        <v>356</v>
      </c>
      <c r="BZ41">
        <f>SimpleDashData810[[#This Row],[Total Expense]]/SimpleDashData810[[#This Row],[Total Patients]]</f>
        <v>9.4943820224719104</v>
      </c>
      <c r="CA41">
        <v>0</v>
      </c>
    </row>
    <row r="42" spans="1:79" x14ac:dyDescent="0.3">
      <c r="A42">
        <v>31</v>
      </c>
      <c r="B42" t="str">
        <v>QCNM Faisalabad, Central Jail</v>
      </c>
      <c r="C42" t="str">
        <v>Trust Act</v>
      </c>
      <c r="D42" t="str">
        <v>Central Punjab Region</v>
      </c>
      <c r="E42" t="str">
        <v>Prison</v>
      </c>
      <c r="F42" s="2">
        <v>10690</v>
      </c>
      <c r="G42" s="2">
        <v>3130</v>
      </c>
      <c r="H42" s="13">
        <v>3.4153354632587858</v>
      </c>
      <c r="I42" s="13"/>
      <c r="BA42">
        <v>41</v>
      </c>
      <c r="BB42" s="27" t="s">
        <v>106</v>
      </c>
      <c r="BC42">
        <v>2010206</v>
      </c>
      <c r="BD42" t="s">
        <v>33</v>
      </c>
      <c r="BE42" t="s">
        <v>100</v>
      </c>
      <c r="BF42" t="s">
        <v>35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f>SUM(SimpleDashData810[[#This Row],[Convayance]:[Misc]])</f>
        <v>0</v>
      </c>
      <c r="BR42">
        <v>0</v>
      </c>
      <c r="BS42">
        <v>207</v>
      </c>
      <c r="BT42">
        <v>0</v>
      </c>
      <c r="BU42">
        <f>SUM(SimpleDashData810[[#This Row],[Male]:[Child]])</f>
        <v>207</v>
      </c>
      <c r="BZ42">
        <f>SimpleDashData810[[#This Row],[Total Expense]]/SimpleDashData810[[#This Row],[Total Patients]]</f>
        <v>0</v>
      </c>
      <c r="CA42">
        <v>0</v>
      </c>
    </row>
    <row r="43" spans="1:79" x14ac:dyDescent="0.3">
      <c r="A43">
        <v>32</v>
      </c>
      <c r="B43" t="str">
        <v>QCNM Layyah, District Jail</v>
      </c>
      <c r="C43" t="str">
        <v>Trust Act</v>
      </c>
      <c r="D43" t="str">
        <v>South &amp; North Punjab Region</v>
      </c>
      <c r="E43" t="str">
        <v>Prison</v>
      </c>
      <c r="F43" s="2">
        <v>10460</v>
      </c>
      <c r="G43" s="2">
        <v>2860</v>
      </c>
      <c r="H43" s="13">
        <v>3.6573426573426575</v>
      </c>
      <c r="I43" s="13"/>
      <c r="BA43">
        <v>42</v>
      </c>
      <c r="BB43" s="27" t="s">
        <v>107</v>
      </c>
      <c r="BC43">
        <v>2010221</v>
      </c>
      <c r="BD43" t="s">
        <v>33</v>
      </c>
      <c r="BE43" t="s">
        <v>100</v>
      </c>
      <c r="BF43" t="s">
        <v>35</v>
      </c>
      <c r="BG43">
        <v>450</v>
      </c>
      <c r="BH43">
        <v>1000</v>
      </c>
      <c r="BI43">
        <v>0</v>
      </c>
      <c r="BJ43">
        <v>0</v>
      </c>
      <c r="BK43">
        <v>0</v>
      </c>
      <c r="BL43">
        <v>300</v>
      </c>
      <c r="BM43">
        <v>530</v>
      </c>
      <c r="BN43">
        <v>0</v>
      </c>
      <c r="BO43">
        <v>4600</v>
      </c>
      <c r="BP43">
        <v>0</v>
      </c>
      <c r="BQ43">
        <f>SUM(SimpleDashData810[[#This Row],[Convayance]:[Misc]])</f>
        <v>6880</v>
      </c>
      <c r="BR43">
        <v>710</v>
      </c>
      <c r="BS43">
        <v>123</v>
      </c>
      <c r="BT43">
        <v>52</v>
      </c>
      <c r="BU43">
        <f>SUM(SimpleDashData810[[#This Row],[Male]:[Child]])</f>
        <v>885</v>
      </c>
      <c r="BZ43">
        <f>SimpleDashData810[[#This Row],[Total Expense]]/SimpleDashData810[[#This Row],[Total Patients]]</f>
        <v>7.7740112994350286</v>
      </c>
      <c r="CA43">
        <v>0</v>
      </c>
    </row>
    <row r="44" spans="1:79" x14ac:dyDescent="0.3">
      <c r="A44">
        <v>33</v>
      </c>
      <c r="B44" t="str">
        <v>QCNM University of Loralai</v>
      </c>
      <c r="C44" t="str">
        <v>Trust Act</v>
      </c>
      <c r="D44" t="str">
        <v>Sindh, Balochistan &amp; AJK Region</v>
      </c>
      <c r="E44" t="str">
        <v>Public</v>
      </c>
      <c r="F44" s="2">
        <v>10130</v>
      </c>
      <c r="G44" s="2">
        <v>443</v>
      </c>
      <c r="H44" s="13">
        <v>22.866817155756209</v>
      </c>
      <c r="I44" s="13"/>
      <c r="BA44">
        <v>43</v>
      </c>
      <c r="BB44" s="27" t="s">
        <v>108</v>
      </c>
      <c r="BC44">
        <v>2010209</v>
      </c>
      <c r="BD44" t="s">
        <v>33</v>
      </c>
      <c r="BE44" t="s">
        <v>100</v>
      </c>
      <c r="BF44" t="s">
        <v>35</v>
      </c>
      <c r="BG44">
        <v>0</v>
      </c>
      <c r="BH44">
        <v>1000</v>
      </c>
      <c r="BI44">
        <v>0</v>
      </c>
      <c r="BJ44">
        <v>3600</v>
      </c>
      <c r="BK44">
        <v>0</v>
      </c>
      <c r="BL44">
        <v>0</v>
      </c>
      <c r="BM44">
        <v>0</v>
      </c>
      <c r="BN44">
        <v>200</v>
      </c>
      <c r="BO44">
        <v>0</v>
      </c>
      <c r="BP44">
        <v>270</v>
      </c>
      <c r="BQ44">
        <f>SUM(SimpleDashData810[[#This Row],[Convayance]:[Misc]])</f>
        <v>5070</v>
      </c>
      <c r="BR44">
        <v>741</v>
      </c>
      <c r="BS44">
        <v>616</v>
      </c>
      <c r="BT44">
        <v>437</v>
      </c>
      <c r="BU44">
        <f>SUM(SimpleDashData810[[#This Row],[Male]:[Child]])</f>
        <v>1794</v>
      </c>
      <c r="BZ44">
        <f>SimpleDashData810[[#This Row],[Total Expense]]/SimpleDashData810[[#This Row],[Total Patients]]</f>
        <v>2.8260869565217392</v>
      </c>
      <c r="CA44">
        <v>0</v>
      </c>
    </row>
    <row r="45" spans="1:79" x14ac:dyDescent="0.3">
      <c r="A45">
        <v>34</v>
      </c>
      <c r="B45" t="str">
        <v>QCNM Sargodha, District Jail</v>
      </c>
      <c r="C45" t="str">
        <v>Trust Act</v>
      </c>
      <c r="D45" t="str">
        <v>South &amp; North Punjab Region</v>
      </c>
      <c r="E45" t="str">
        <v>Prison</v>
      </c>
      <c r="F45" s="2">
        <v>10105</v>
      </c>
      <c r="G45" s="2">
        <v>2227</v>
      </c>
      <c r="H45" s="13">
        <v>4.5374943870678042</v>
      </c>
      <c r="I45" s="13"/>
      <c r="BA45">
        <v>44</v>
      </c>
      <c r="BB45" s="27" t="s">
        <v>109</v>
      </c>
      <c r="BC45">
        <v>2010234</v>
      </c>
      <c r="BD45" t="s">
        <v>33</v>
      </c>
      <c r="BE45" t="s">
        <v>100</v>
      </c>
      <c r="BF45" t="s">
        <v>35</v>
      </c>
      <c r="BG45">
        <v>5144</v>
      </c>
      <c r="BH45">
        <v>1000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f>SUM(SimpleDashData810[[#This Row],[Convayance]:[Misc]])</f>
        <v>6144</v>
      </c>
      <c r="BR45">
        <v>304</v>
      </c>
      <c r="BS45">
        <v>313</v>
      </c>
      <c r="BT45">
        <v>209</v>
      </c>
      <c r="BU45">
        <f>SUM(SimpleDashData810[[#This Row],[Male]:[Child]])</f>
        <v>826</v>
      </c>
      <c r="BZ45">
        <f>SimpleDashData810[[#This Row],[Total Expense]]/SimpleDashData810[[#This Row],[Total Patients]]</f>
        <v>7.438256658595642</v>
      </c>
      <c r="CA45">
        <v>0</v>
      </c>
    </row>
    <row r="46" spans="1:79" x14ac:dyDescent="0.3">
      <c r="A46">
        <v>35</v>
      </c>
      <c r="B46" t="str">
        <v>QCNM Khanewal, District Jail</v>
      </c>
      <c r="C46" t="str">
        <v>Trust Act</v>
      </c>
      <c r="D46" t="str">
        <v>South &amp; North Punjab Region</v>
      </c>
      <c r="E46" t="str">
        <v>Prison</v>
      </c>
      <c r="F46" s="2">
        <v>9940</v>
      </c>
      <c r="G46" s="2">
        <v>2445</v>
      </c>
      <c r="H46" s="13">
        <v>4.0654396728016362</v>
      </c>
      <c r="I46" s="13"/>
      <c r="BA46">
        <v>45</v>
      </c>
      <c r="BB46" s="27" t="s">
        <v>110</v>
      </c>
      <c r="BD46" t="s">
        <v>33</v>
      </c>
      <c r="BE46" t="s">
        <v>100</v>
      </c>
      <c r="BF46" t="s">
        <v>35</v>
      </c>
      <c r="BG46">
        <v>0</v>
      </c>
      <c r="BH46">
        <v>3581</v>
      </c>
      <c r="BI46">
        <v>0</v>
      </c>
      <c r="BJ46">
        <v>0</v>
      </c>
      <c r="BK46">
        <v>0</v>
      </c>
      <c r="BL46">
        <v>0</v>
      </c>
      <c r="BM46">
        <v>500</v>
      </c>
      <c r="BN46">
        <v>310</v>
      </c>
      <c r="BO46">
        <v>0</v>
      </c>
      <c r="BP46">
        <v>0</v>
      </c>
      <c r="BQ46">
        <f>SUM(SimpleDashData810[[#This Row],[Convayance]:[Misc]])</f>
        <v>4391</v>
      </c>
      <c r="BR46">
        <v>353</v>
      </c>
      <c r="BS46">
        <v>193</v>
      </c>
      <c r="BT46">
        <v>49</v>
      </c>
      <c r="BU46">
        <f>SUM(SimpleDashData810[[#This Row],[Male]:[Child]])</f>
        <v>595</v>
      </c>
      <c r="BZ46">
        <f>SimpleDashData810[[#This Row],[Total Expense]]/SimpleDashData810[[#This Row],[Total Patients]]</f>
        <v>7.3798319327731097</v>
      </c>
      <c r="CA46">
        <v>0</v>
      </c>
    </row>
    <row r="47" spans="1:79" x14ac:dyDescent="0.3">
      <c r="A47">
        <v>36</v>
      </c>
      <c r="B47" t="str">
        <v>QCNM The Islamia Uni of Bahawalpur</v>
      </c>
      <c r="C47" t="str">
        <v>Trust Act</v>
      </c>
      <c r="D47" t="str">
        <v>South &amp; North Punjab Region</v>
      </c>
      <c r="E47" t="str">
        <v>Public</v>
      </c>
      <c r="F47" s="2">
        <v>9480</v>
      </c>
      <c r="G47" s="2">
        <v>2222</v>
      </c>
      <c r="H47" s="13">
        <v>4.2664266426642667</v>
      </c>
      <c r="I47" s="13"/>
      <c r="BA47">
        <v>46</v>
      </c>
      <c r="BB47" s="27" t="s">
        <v>111</v>
      </c>
      <c r="BD47" t="s">
        <v>33</v>
      </c>
      <c r="BE47" t="s">
        <v>100</v>
      </c>
      <c r="BF47" t="s">
        <v>35</v>
      </c>
      <c r="BG47">
        <v>0</v>
      </c>
      <c r="BH47">
        <v>1000</v>
      </c>
      <c r="BI47">
        <v>2100</v>
      </c>
      <c r="BJ47">
        <v>3500</v>
      </c>
      <c r="BK47">
        <v>0</v>
      </c>
      <c r="BL47">
        <v>500</v>
      </c>
      <c r="BM47">
        <v>0</v>
      </c>
      <c r="BN47">
        <v>370</v>
      </c>
      <c r="BO47">
        <v>0</v>
      </c>
      <c r="BP47">
        <v>0</v>
      </c>
      <c r="BQ47">
        <f>SUM(SimpleDashData810[[#This Row],[Convayance]:[Misc]])</f>
        <v>7470</v>
      </c>
      <c r="BR47">
        <v>403</v>
      </c>
      <c r="BS47">
        <v>558</v>
      </c>
      <c r="BT47">
        <v>380</v>
      </c>
      <c r="BU47">
        <f>SUM(SimpleDashData810[[#This Row],[Male]:[Child]])</f>
        <v>1341</v>
      </c>
      <c r="BZ47">
        <f>SimpleDashData810[[#This Row],[Total Expense]]/SimpleDashData810[[#This Row],[Total Patients]]</f>
        <v>5.5704697986577179</v>
      </c>
      <c r="CA47">
        <v>0</v>
      </c>
    </row>
    <row r="48" spans="1:79" x14ac:dyDescent="0.3">
      <c r="A48">
        <v>37</v>
      </c>
      <c r="B48" t="str">
        <v>QCNM Kisan Centre</v>
      </c>
      <c r="C48" t="str">
        <v>Trust Act</v>
      </c>
      <c r="D48" t="str">
        <v>Central Punjab Region</v>
      </c>
      <c r="E48" t="str">
        <v>Public</v>
      </c>
      <c r="F48" s="2">
        <v>9450</v>
      </c>
      <c r="G48" s="2">
        <v>750</v>
      </c>
      <c r="H48" s="13">
        <v>12.6</v>
      </c>
      <c r="I48" s="13"/>
      <c r="BA48">
        <v>47</v>
      </c>
      <c r="BB48" s="27" t="s">
        <v>112</v>
      </c>
      <c r="BD48" t="s">
        <v>33</v>
      </c>
      <c r="BE48" t="s">
        <v>100</v>
      </c>
      <c r="BF48" t="s">
        <v>35</v>
      </c>
      <c r="BG48">
        <v>1600</v>
      </c>
      <c r="BH48">
        <v>500</v>
      </c>
      <c r="BI48">
        <v>0</v>
      </c>
      <c r="BJ48">
        <v>6150</v>
      </c>
      <c r="BK48">
        <v>0</v>
      </c>
      <c r="BL48">
        <v>0</v>
      </c>
      <c r="BM48">
        <v>0</v>
      </c>
      <c r="BN48">
        <v>1200</v>
      </c>
      <c r="BO48">
        <v>0</v>
      </c>
      <c r="BP48">
        <v>0</v>
      </c>
      <c r="BQ48">
        <f>SUM(SimpleDashData810[[#This Row],[Convayance]:[Misc]])</f>
        <v>9450</v>
      </c>
      <c r="BR48">
        <v>269</v>
      </c>
      <c r="BS48">
        <v>329</v>
      </c>
      <c r="BT48">
        <v>152</v>
      </c>
      <c r="BU48">
        <f>SUM(SimpleDashData810[[#This Row],[Male]:[Child]])</f>
        <v>750</v>
      </c>
      <c r="BZ48">
        <f>SimpleDashData810[[#This Row],[Total Expense]]/SimpleDashData810[[#This Row],[Total Patients]]</f>
        <v>12.6</v>
      </c>
      <c r="CA48">
        <v>0</v>
      </c>
    </row>
    <row r="49" spans="1:79" x14ac:dyDescent="0.3">
      <c r="A49">
        <v>38</v>
      </c>
      <c r="B49" t="str">
        <v>QCNM University of Karachi</v>
      </c>
      <c r="C49" t="str">
        <v>Trust Act</v>
      </c>
      <c r="D49" t="str">
        <v>Sindh, Balochistan &amp; AJK Region</v>
      </c>
      <c r="E49" t="str">
        <v>Public</v>
      </c>
      <c r="F49" s="2">
        <v>9120</v>
      </c>
      <c r="G49" s="2">
        <v>1804</v>
      </c>
      <c r="H49" s="13">
        <v>5.0554323725055434</v>
      </c>
      <c r="I49" s="13"/>
      <c r="BA49">
        <v>48</v>
      </c>
      <c r="BB49" s="27" t="s">
        <v>113</v>
      </c>
      <c r="BD49" t="s">
        <v>33</v>
      </c>
      <c r="BE49" t="s">
        <v>100</v>
      </c>
      <c r="BF49" t="s">
        <v>35</v>
      </c>
      <c r="BG49">
        <v>1843</v>
      </c>
      <c r="BH49">
        <v>350</v>
      </c>
      <c r="BI49">
        <v>0</v>
      </c>
      <c r="BJ49">
        <v>0</v>
      </c>
      <c r="BK49">
        <v>0</v>
      </c>
      <c r="BL49">
        <v>3937</v>
      </c>
      <c r="BM49">
        <v>0</v>
      </c>
      <c r="BN49">
        <v>0</v>
      </c>
      <c r="BO49">
        <v>0</v>
      </c>
      <c r="BP49">
        <v>0</v>
      </c>
      <c r="BQ49">
        <f>SUM(SimpleDashData810[[#This Row],[Convayance]:[Misc]])</f>
        <v>6130</v>
      </c>
      <c r="BR49">
        <v>43</v>
      </c>
      <c r="BS49">
        <v>13</v>
      </c>
      <c r="BT49">
        <v>0</v>
      </c>
      <c r="BU49">
        <f>SUM(SimpleDashData810[[#This Row],[Male]:[Child]])</f>
        <v>56</v>
      </c>
      <c r="BZ49">
        <f>SimpleDashData810[[#This Row],[Total Expense]]/SimpleDashData810[[#This Row],[Total Patients]]</f>
        <v>109.46428571428571</v>
      </c>
      <c r="CA49">
        <v>0</v>
      </c>
    </row>
    <row r="50" spans="1:79" x14ac:dyDescent="0.3">
      <c r="A50">
        <v>39</v>
      </c>
      <c r="B50" t="str">
        <v>QCNM Timergara, District Jail</v>
      </c>
      <c r="C50" t="str">
        <v>Trust Act</v>
      </c>
      <c r="D50" t="str">
        <v>Capital Region</v>
      </c>
      <c r="E50" t="str">
        <v>Prison</v>
      </c>
      <c r="F50" s="2">
        <v>9060</v>
      </c>
      <c r="G50" s="2">
        <v>2154</v>
      </c>
      <c r="H50" s="13">
        <v>4.2061281337047358</v>
      </c>
      <c r="I50" s="13"/>
      <c r="BA50">
        <v>49</v>
      </c>
      <c r="BB50" s="27" t="s">
        <v>114</v>
      </c>
      <c r="BD50" t="s">
        <v>33</v>
      </c>
      <c r="BE50" t="s">
        <v>100</v>
      </c>
      <c r="BF50" t="s">
        <v>35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f>SUM(SimpleDashData810[[#This Row],[Convayance]:[Misc]])</f>
        <v>0</v>
      </c>
      <c r="BR50">
        <v>256</v>
      </c>
      <c r="BS50">
        <v>496</v>
      </c>
      <c r="BT50">
        <v>152</v>
      </c>
      <c r="BU50">
        <f>SUM(SimpleDashData810[[#This Row],[Male]:[Child]])</f>
        <v>904</v>
      </c>
      <c r="BZ50">
        <f>SimpleDashData810[[#This Row],[Total Expense]]/SimpleDashData810[[#This Row],[Total Patients]]</f>
        <v>0</v>
      </c>
      <c r="CA50">
        <v>0</v>
      </c>
    </row>
    <row r="51" spans="1:79" ht="28.8" x14ac:dyDescent="0.3">
      <c r="A51">
        <v>40</v>
      </c>
      <c r="B51" t="str">
        <v>QCNM Quetta, District Jail</v>
      </c>
      <c r="C51" t="str">
        <v>U/S 42</v>
      </c>
      <c r="D51" t="str">
        <v>Sindh, Balochistan &amp; AJK Region</v>
      </c>
      <c r="E51" t="str">
        <v>Prison</v>
      </c>
      <c r="F51" s="2">
        <v>8795</v>
      </c>
      <c r="G51" s="2">
        <v>1699</v>
      </c>
      <c r="H51" s="13">
        <v>5.1765744555620952</v>
      </c>
      <c r="I51" s="13"/>
      <c r="BA51">
        <v>50</v>
      </c>
      <c r="BB51" s="27" t="s">
        <v>115</v>
      </c>
      <c r="BD51" t="s">
        <v>33</v>
      </c>
      <c r="BE51" t="s">
        <v>100</v>
      </c>
      <c r="BF51" t="s">
        <v>35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f>SUM(SimpleDashData810[[#This Row],[Convayance]:[Misc]])</f>
        <v>0</v>
      </c>
      <c r="BR51">
        <v>0</v>
      </c>
      <c r="BS51">
        <v>108</v>
      </c>
      <c r="BT51">
        <v>0</v>
      </c>
      <c r="BU51">
        <f>SUM(SimpleDashData810[[#This Row],[Male]:[Child]])</f>
        <v>108</v>
      </c>
      <c r="BZ51">
        <f>SimpleDashData810[[#This Row],[Total Expense]]/SimpleDashData810[[#This Row],[Total Patients]]</f>
        <v>0</v>
      </c>
      <c r="CA51">
        <v>0</v>
      </c>
    </row>
    <row r="52" spans="1:79" x14ac:dyDescent="0.3">
      <c r="A52">
        <v>41</v>
      </c>
      <c r="B52" t="str">
        <v>QCNM Larkana, District Jail</v>
      </c>
      <c r="C52" t="str">
        <v>Trust Act</v>
      </c>
      <c r="D52" t="str">
        <v>Sindh, Balochistan &amp; AJK Region</v>
      </c>
      <c r="E52" t="str">
        <v>Prison</v>
      </c>
      <c r="F52" s="2">
        <v>8790</v>
      </c>
      <c r="G52" s="2">
        <v>1567</v>
      </c>
      <c r="H52" s="13">
        <v>5.6094447989789407</v>
      </c>
      <c r="I52" s="13"/>
      <c r="BA52">
        <v>51</v>
      </c>
      <c r="BB52" s="27" t="s">
        <v>116</v>
      </c>
      <c r="BD52" t="s">
        <v>33</v>
      </c>
      <c r="BE52" t="s">
        <v>100</v>
      </c>
      <c r="BF52" t="s">
        <v>35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f>SUM(SimpleDashData810[[#This Row],[Convayance]:[Misc]])</f>
        <v>0</v>
      </c>
      <c r="BR52">
        <v>147</v>
      </c>
      <c r="BS52">
        <v>216</v>
      </c>
      <c r="BT52">
        <v>65</v>
      </c>
      <c r="BU52">
        <f>SUM(SimpleDashData810[[#This Row],[Male]:[Child]])</f>
        <v>428</v>
      </c>
      <c r="BZ52">
        <f>SimpleDashData810[[#This Row],[Total Expense]]/SimpleDashData810[[#This Row],[Total Patients]]</f>
        <v>0</v>
      </c>
      <c r="CA52">
        <v>0</v>
      </c>
    </row>
    <row r="53" spans="1:79" x14ac:dyDescent="0.3">
      <c r="A53">
        <v>42</v>
      </c>
      <c r="B53" t="str">
        <v>QCNM Peshawar, Central Prison</v>
      </c>
      <c r="C53" t="str">
        <v>Trust Act</v>
      </c>
      <c r="D53" t="str">
        <v>Capital Region</v>
      </c>
      <c r="E53" t="str">
        <v>Prison</v>
      </c>
      <c r="F53" s="2">
        <v>8680</v>
      </c>
      <c r="G53" s="2">
        <v>3787</v>
      </c>
      <c r="H53" s="13">
        <v>2.2920517560073939</v>
      </c>
      <c r="I53" s="13"/>
      <c r="BA53">
        <v>52</v>
      </c>
      <c r="BB53" s="12" t="s">
        <v>117</v>
      </c>
      <c r="BC53">
        <v>2010246</v>
      </c>
      <c r="BD53" t="s">
        <v>33</v>
      </c>
      <c r="BE53" t="s">
        <v>100</v>
      </c>
      <c r="BF53" t="s">
        <v>35</v>
      </c>
      <c r="BG53">
        <v>300</v>
      </c>
      <c r="BH53">
        <v>1000</v>
      </c>
      <c r="BI53">
        <v>0</v>
      </c>
      <c r="BJ53">
        <v>1825</v>
      </c>
      <c r="BK53">
        <v>0</v>
      </c>
      <c r="BL53">
        <v>90</v>
      </c>
      <c r="BM53">
        <v>0</v>
      </c>
      <c r="BN53">
        <v>50</v>
      </c>
      <c r="BO53">
        <v>0</v>
      </c>
      <c r="BP53">
        <v>250</v>
      </c>
      <c r="BQ53">
        <f>SUM(SimpleDashData810[[#This Row],[Convayance]:[Misc]])</f>
        <v>3515</v>
      </c>
      <c r="BR53">
        <v>594</v>
      </c>
      <c r="BS53">
        <v>658</v>
      </c>
      <c r="BT53">
        <v>288</v>
      </c>
      <c r="BU53">
        <f>SUM(SimpleDashData810[[#This Row],[Male]:[Child]])</f>
        <v>1540</v>
      </c>
      <c r="BZ53">
        <f>SimpleDashData810[[#This Row],[Total Expense]]/SimpleDashData810[[#This Row],[Total Patients]]</f>
        <v>2.2824675324675323</v>
      </c>
      <c r="CA53">
        <v>0</v>
      </c>
    </row>
    <row r="54" spans="1:79" x14ac:dyDescent="0.3">
      <c r="A54">
        <v>43</v>
      </c>
      <c r="B54" t="str">
        <v>QCNM, Fedral Urdu University</v>
      </c>
      <c r="C54" t="str">
        <v>Trust Act</v>
      </c>
      <c r="D54" t="str">
        <v>Sindh, Balochistan &amp; AJK Region</v>
      </c>
      <c r="E54" t="str">
        <v>Public</v>
      </c>
      <c r="F54" s="2">
        <v>8550</v>
      </c>
      <c r="G54" s="2">
        <v>1332</v>
      </c>
      <c r="H54" s="13">
        <v>6.4189189189189193</v>
      </c>
      <c r="I54" s="13"/>
      <c r="BA54">
        <v>53</v>
      </c>
      <c r="BB54" s="12" t="s">
        <v>118</v>
      </c>
      <c r="BD54" t="s">
        <v>33</v>
      </c>
      <c r="BE54" t="s">
        <v>100</v>
      </c>
      <c r="BF54" t="s">
        <v>35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f>SUM(SimpleDashData810[[#This Row],[Convayance]:[Misc]])</f>
        <v>0</v>
      </c>
      <c r="BR54">
        <v>43</v>
      </c>
      <c r="BS54">
        <v>30</v>
      </c>
      <c r="BT54">
        <v>0</v>
      </c>
      <c r="BU54">
        <f>SUM(SimpleDashData810[[#This Row],[Male]:[Child]])</f>
        <v>73</v>
      </c>
      <c r="BZ54">
        <f>SimpleDashData810[[#This Row],[Total Expense]]/SimpleDashData810[[#This Row],[Total Patients]]</f>
        <v>0</v>
      </c>
      <c r="CA54">
        <v>0</v>
      </c>
    </row>
    <row r="55" spans="1:79" x14ac:dyDescent="0.3">
      <c r="A55">
        <v>44</v>
      </c>
      <c r="B55" t="str">
        <v>QCNM Multan, Central Jail</v>
      </c>
      <c r="C55" t="str">
        <v>Trust Act</v>
      </c>
      <c r="D55" t="str">
        <v>South &amp; North Punjab Region</v>
      </c>
      <c r="E55" t="str">
        <v>Prison</v>
      </c>
      <c r="F55" s="2">
        <v>8430</v>
      </c>
      <c r="G55" s="2">
        <v>1646</v>
      </c>
      <c r="H55" s="13">
        <v>5.1215066828675573</v>
      </c>
      <c r="I55" s="13"/>
      <c r="BA55">
        <v>54</v>
      </c>
      <c r="BB55" s="27" t="s">
        <v>119</v>
      </c>
      <c r="BC55">
        <v>2010227</v>
      </c>
      <c r="BD55" t="s">
        <v>33</v>
      </c>
      <c r="BE55" t="s">
        <v>100</v>
      </c>
      <c r="BF55" t="s">
        <v>64</v>
      </c>
      <c r="BG55">
        <v>600</v>
      </c>
      <c r="BH55">
        <v>0</v>
      </c>
      <c r="BI55">
        <v>0</v>
      </c>
      <c r="BJ55">
        <v>3760</v>
      </c>
      <c r="BK55">
        <v>460</v>
      </c>
      <c r="BL55">
        <v>460</v>
      </c>
      <c r="BM55">
        <v>0</v>
      </c>
      <c r="BN55">
        <v>0</v>
      </c>
      <c r="BO55">
        <v>4360</v>
      </c>
      <c r="BP55">
        <v>1050</v>
      </c>
      <c r="BQ55">
        <f>SUM(SimpleDashData810[[#This Row],[Convayance]:[Misc]])</f>
        <v>10690</v>
      </c>
      <c r="BR55">
        <v>3130</v>
      </c>
      <c r="BS55">
        <v>0</v>
      </c>
      <c r="BT55">
        <v>0</v>
      </c>
      <c r="BU55">
        <f>SUM(SimpleDashData810[[#This Row],[Male]:[Child]])</f>
        <v>3130</v>
      </c>
      <c r="BZ55">
        <f>SimpleDashData810[[#This Row],[Total Expense]]/SimpleDashData810[[#This Row],[Total Patients]]</f>
        <v>3.4153354632587858</v>
      </c>
      <c r="CA55">
        <v>0</v>
      </c>
    </row>
    <row r="56" spans="1:79" x14ac:dyDescent="0.3">
      <c r="A56">
        <v>45</v>
      </c>
      <c r="B56" t="str">
        <v>QCNM Multan, District Jail</v>
      </c>
      <c r="C56" t="str">
        <v>Trust Act</v>
      </c>
      <c r="D56" t="str">
        <v>South &amp; North Punjab Region</v>
      </c>
      <c r="E56" t="str">
        <v>Prison</v>
      </c>
      <c r="F56" s="2">
        <v>8320</v>
      </c>
      <c r="G56" s="2">
        <v>2220</v>
      </c>
      <c r="H56" s="13">
        <v>3.7477477477477477</v>
      </c>
      <c r="I56" s="13"/>
      <c r="BA56">
        <v>55</v>
      </c>
      <c r="BB56" s="27" t="s">
        <v>120</v>
      </c>
      <c r="BC56">
        <v>2010201</v>
      </c>
      <c r="BD56" t="s">
        <v>33</v>
      </c>
      <c r="BE56" t="s">
        <v>100</v>
      </c>
      <c r="BF56" t="s">
        <v>64</v>
      </c>
      <c r="BG56">
        <v>3150</v>
      </c>
      <c r="BH56">
        <v>1000</v>
      </c>
      <c r="BI56">
        <v>0</v>
      </c>
      <c r="BJ56">
        <v>1710</v>
      </c>
      <c r="BK56">
        <v>300</v>
      </c>
      <c r="BL56">
        <v>630</v>
      </c>
      <c r="BM56">
        <v>0</v>
      </c>
      <c r="BN56">
        <v>0</v>
      </c>
      <c r="BO56">
        <v>0</v>
      </c>
      <c r="BP56">
        <v>0</v>
      </c>
      <c r="BQ56">
        <f>SUM(SimpleDashData810[[#This Row],[Convayance]:[Misc]])</f>
        <v>6790</v>
      </c>
      <c r="BR56">
        <v>2712</v>
      </c>
      <c r="BS56">
        <v>173</v>
      </c>
      <c r="BT56">
        <v>73</v>
      </c>
      <c r="BU56">
        <f>SUM(SimpleDashData810[[#This Row],[Male]:[Child]])</f>
        <v>2958</v>
      </c>
      <c r="BZ56">
        <f>SimpleDashData810[[#This Row],[Total Expense]]/SimpleDashData810[[#This Row],[Total Patients]]</f>
        <v>2.2954699121027722</v>
      </c>
      <c r="CA56">
        <v>0</v>
      </c>
    </row>
    <row r="57" spans="1:79" x14ac:dyDescent="0.3">
      <c r="A57">
        <v>46</v>
      </c>
      <c r="B57" t="str">
        <v>QCNM Mansehra, District Jail</v>
      </c>
      <c r="C57" t="str">
        <v>Trust Act</v>
      </c>
      <c r="D57" t="str">
        <v>Capital Region</v>
      </c>
      <c r="E57" t="str">
        <v>Prison</v>
      </c>
      <c r="F57" s="2">
        <v>8240</v>
      </c>
      <c r="G57" s="2">
        <v>1687</v>
      </c>
      <c r="H57" s="13">
        <v>4.8844101956135155</v>
      </c>
      <c r="I57" s="13"/>
      <c r="BA57">
        <v>56</v>
      </c>
      <c r="BB57" s="27" t="s">
        <v>121</v>
      </c>
      <c r="BC57">
        <v>2010230</v>
      </c>
      <c r="BD57" t="s">
        <v>33</v>
      </c>
      <c r="BE57" t="s">
        <v>100</v>
      </c>
      <c r="BF57" t="s">
        <v>64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f>SUM(SimpleDashData810[[#This Row],[Convayance]:[Misc]])</f>
        <v>0</v>
      </c>
      <c r="BR57">
        <v>20</v>
      </c>
      <c r="BS57">
        <v>0</v>
      </c>
      <c r="BT57">
        <v>167</v>
      </c>
      <c r="BU57">
        <f>SUM(SimpleDashData810[[#This Row],[Male]:[Child]])</f>
        <v>187</v>
      </c>
      <c r="BZ57">
        <f>SimpleDashData810[[#This Row],[Total Expense]]/SimpleDashData810[[#This Row],[Total Patients]]</f>
        <v>0</v>
      </c>
      <c r="CA57">
        <v>0</v>
      </c>
    </row>
    <row r="58" spans="1:79" x14ac:dyDescent="0.3">
      <c r="A58">
        <v>47</v>
      </c>
      <c r="B58" t="str">
        <v>QCNM Nowshera, Sub Jail</v>
      </c>
      <c r="C58" t="str">
        <v>Trust Act</v>
      </c>
      <c r="D58" t="str">
        <v>Capital Region</v>
      </c>
      <c r="E58" t="str">
        <v>Prison</v>
      </c>
      <c r="F58" s="2">
        <v>8240</v>
      </c>
      <c r="G58" s="2">
        <v>2332</v>
      </c>
      <c r="H58" s="13">
        <v>3.5334476843910805</v>
      </c>
      <c r="I58" s="13"/>
      <c r="BA58">
        <v>57</v>
      </c>
      <c r="BB58" s="27" t="s">
        <v>122</v>
      </c>
      <c r="BC58">
        <v>2010223</v>
      </c>
      <c r="BD58" t="s">
        <v>33</v>
      </c>
      <c r="BE58" t="s">
        <v>100</v>
      </c>
      <c r="BF58" t="s">
        <v>64</v>
      </c>
      <c r="BG58">
        <v>0</v>
      </c>
      <c r="BH58">
        <v>0</v>
      </c>
      <c r="BI58">
        <v>0</v>
      </c>
      <c r="BJ58">
        <v>14540</v>
      </c>
      <c r="BK58">
        <v>460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f>SUM(SimpleDashData810[[#This Row],[Convayance]:[Misc]])</f>
        <v>15000</v>
      </c>
      <c r="BR58">
        <v>4999</v>
      </c>
      <c r="BS58">
        <v>0</v>
      </c>
      <c r="BT58">
        <v>0</v>
      </c>
      <c r="BU58">
        <f>SUM(SimpleDashData810[[#This Row],[Male]:[Child]])</f>
        <v>4999</v>
      </c>
      <c r="BZ58">
        <f>SimpleDashData810[[#This Row],[Total Expense]]/SimpleDashData810[[#This Row],[Total Patients]]</f>
        <v>3.0006001200240049</v>
      </c>
      <c r="CA58">
        <v>0</v>
      </c>
    </row>
    <row r="59" spans="1:79" x14ac:dyDescent="0.3">
      <c r="A59">
        <v>48</v>
      </c>
      <c r="B59" t="str">
        <v>QCNM Minchinabad Jamia</v>
      </c>
      <c r="C59" t="str">
        <v>Trust Act</v>
      </c>
      <c r="D59" t="str">
        <v>South &amp; North Punjab Region</v>
      </c>
      <c r="E59" t="str">
        <v>Public</v>
      </c>
      <c r="F59" s="2">
        <v>8175</v>
      </c>
      <c r="G59" s="2">
        <v>3188</v>
      </c>
      <c r="H59" s="13">
        <v>2.5643036386449185</v>
      </c>
      <c r="I59" s="13"/>
      <c r="BA59">
        <v>58</v>
      </c>
      <c r="BB59" s="27" t="s">
        <v>123</v>
      </c>
      <c r="BC59">
        <v>2010235</v>
      </c>
      <c r="BD59" t="s">
        <v>33</v>
      </c>
      <c r="BE59" t="s">
        <v>100</v>
      </c>
      <c r="BF59" t="s">
        <v>64</v>
      </c>
      <c r="BG59">
        <v>0</v>
      </c>
      <c r="BH59">
        <v>1000</v>
      </c>
      <c r="BI59">
        <v>0</v>
      </c>
      <c r="BJ59">
        <v>1580</v>
      </c>
      <c r="BK59">
        <v>545</v>
      </c>
      <c r="BL59">
        <v>200</v>
      </c>
      <c r="BM59">
        <v>0</v>
      </c>
      <c r="BN59">
        <v>0</v>
      </c>
      <c r="BO59">
        <v>0</v>
      </c>
      <c r="BP59">
        <v>0</v>
      </c>
      <c r="BQ59">
        <f>SUM(SimpleDashData810[[#This Row],[Convayance]:[Misc]])</f>
        <v>3325</v>
      </c>
      <c r="BR59">
        <v>2800</v>
      </c>
      <c r="BS59">
        <v>0</v>
      </c>
      <c r="BT59">
        <v>1</v>
      </c>
      <c r="BU59">
        <f>SUM(SimpleDashData810[[#This Row],[Male]:[Child]])</f>
        <v>2801</v>
      </c>
      <c r="BZ59">
        <f>SimpleDashData810[[#This Row],[Total Expense]]/SimpleDashData810[[#This Row],[Total Patients]]</f>
        <v>1.1870760442699035</v>
      </c>
      <c r="CA59">
        <v>0</v>
      </c>
    </row>
    <row r="60" spans="1:79" x14ac:dyDescent="0.3">
      <c r="A60">
        <v>49</v>
      </c>
      <c r="B60" t="str">
        <v>QCNM Loralai, District Jail</v>
      </c>
      <c r="C60" t="str">
        <v>U/S 42</v>
      </c>
      <c r="D60" t="str">
        <v>Sindh, Balochistan &amp; AJK Region</v>
      </c>
      <c r="E60" t="str">
        <v>Prison</v>
      </c>
      <c r="F60" s="2">
        <v>7610</v>
      </c>
      <c r="G60" s="2">
        <v>1447</v>
      </c>
      <c r="H60" s="13">
        <v>5.2591568762957843</v>
      </c>
      <c r="I60" s="13"/>
      <c r="BA60">
        <v>59</v>
      </c>
      <c r="BB60" s="27" t="s">
        <v>124</v>
      </c>
      <c r="BC60">
        <v>2010225</v>
      </c>
      <c r="BD60" t="s">
        <v>33</v>
      </c>
      <c r="BE60" t="s">
        <v>100</v>
      </c>
      <c r="BF60" t="s">
        <v>64</v>
      </c>
      <c r="BG60">
        <v>0</v>
      </c>
      <c r="BH60">
        <v>850</v>
      </c>
      <c r="BI60">
        <v>0</v>
      </c>
      <c r="BJ60">
        <v>3800</v>
      </c>
      <c r="BK60">
        <v>350</v>
      </c>
      <c r="BL60">
        <v>630</v>
      </c>
      <c r="BM60">
        <v>0</v>
      </c>
      <c r="BN60">
        <v>1340</v>
      </c>
      <c r="BO60">
        <v>0</v>
      </c>
      <c r="BP60">
        <v>0</v>
      </c>
      <c r="BQ60">
        <f>SUM(SimpleDashData810[[#This Row],[Convayance]:[Misc]])</f>
        <v>6970</v>
      </c>
      <c r="BR60">
        <v>2827</v>
      </c>
      <c r="BS60">
        <v>0</v>
      </c>
      <c r="BT60">
        <v>37</v>
      </c>
      <c r="BU60">
        <f>SUM(SimpleDashData810[[#This Row],[Male]:[Child]])</f>
        <v>2864</v>
      </c>
      <c r="BZ60">
        <f>SimpleDashData810[[#This Row],[Total Expense]]/SimpleDashData810[[#This Row],[Total Patients]]</f>
        <v>2.433659217877095</v>
      </c>
      <c r="CA60">
        <v>0</v>
      </c>
    </row>
    <row r="61" spans="1:79" x14ac:dyDescent="0.3">
      <c r="A61">
        <v>50</v>
      </c>
      <c r="B61" t="str">
        <v>QCNM D.I Khan, Central Jail</v>
      </c>
      <c r="C61" t="str">
        <v>Trust Act</v>
      </c>
      <c r="D61" t="str">
        <v>Capital Region</v>
      </c>
      <c r="E61" t="str">
        <v>Prison</v>
      </c>
      <c r="F61" s="2">
        <v>7550</v>
      </c>
      <c r="G61" s="2">
        <v>2442</v>
      </c>
      <c r="H61" s="13">
        <v>3.0917280917280916</v>
      </c>
      <c r="I61" s="13"/>
      <c r="BA61">
        <v>60</v>
      </c>
      <c r="BB61" s="27" t="s">
        <v>125</v>
      </c>
      <c r="BC61">
        <v>2010207</v>
      </c>
      <c r="BD61" t="s">
        <v>33</v>
      </c>
      <c r="BE61" t="s">
        <v>100</v>
      </c>
      <c r="BF61" t="s">
        <v>64</v>
      </c>
      <c r="BG61">
        <v>0</v>
      </c>
      <c r="BH61">
        <v>1000</v>
      </c>
      <c r="BI61">
        <v>600</v>
      </c>
      <c r="BJ61">
        <v>13810</v>
      </c>
      <c r="BK61">
        <v>105</v>
      </c>
      <c r="BL61">
        <v>350</v>
      </c>
      <c r="BM61">
        <v>0</v>
      </c>
      <c r="BN61">
        <v>550</v>
      </c>
      <c r="BO61">
        <v>0</v>
      </c>
      <c r="BP61">
        <v>0</v>
      </c>
      <c r="BQ61">
        <f>SUM(SimpleDashData810[[#This Row],[Convayance]:[Misc]])</f>
        <v>16415</v>
      </c>
      <c r="BR61">
        <v>3504</v>
      </c>
      <c r="BS61">
        <v>0</v>
      </c>
      <c r="BT61">
        <v>0</v>
      </c>
      <c r="BU61">
        <f>SUM(SimpleDashData810[[#This Row],[Male]:[Child]])</f>
        <v>3504</v>
      </c>
      <c r="BZ61">
        <f>SimpleDashData810[[#This Row],[Total Expense]]/SimpleDashData810[[#This Row],[Total Patients]]</f>
        <v>4.684646118721461</v>
      </c>
      <c r="CA61">
        <v>0</v>
      </c>
    </row>
    <row r="62" spans="1:79" x14ac:dyDescent="0.3">
      <c r="A62">
        <v>51</v>
      </c>
      <c r="B62" t="str">
        <v>QCNM Shahpur, Dist Jail</v>
      </c>
      <c r="C62" t="str">
        <v>Trust Act</v>
      </c>
      <c r="D62" t="str">
        <v>South &amp; North Punjab Region</v>
      </c>
      <c r="E62" t="str">
        <v>Prison</v>
      </c>
      <c r="F62" s="2">
        <v>7520</v>
      </c>
      <c r="G62" s="2">
        <v>3099</v>
      </c>
      <c r="H62" s="13">
        <v>2.4265892223297838</v>
      </c>
      <c r="I62" s="13"/>
      <c r="BA62">
        <v>61</v>
      </c>
      <c r="BB62" s="27" t="s">
        <v>126</v>
      </c>
      <c r="BC62">
        <v>2010208</v>
      </c>
      <c r="BD62" t="s">
        <v>33</v>
      </c>
      <c r="BE62" t="s">
        <v>100</v>
      </c>
      <c r="BF62" t="s">
        <v>64</v>
      </c>
      <c r="BG62">
        <v>930</v>
      </c>
      <c r="BH62">
        <v>1000</v>
      </c>
      <c r="BI62">
        <v>780</v>
      </c>
      <c r="BJ62">
        <v>9710</v>
      </c>
      <c r="BK62">
        <v>0</v>
      </c>
      <c r="BL62">
        <v>665</v>
      </c>
      <c r="BM62">
        <v>0</v>
      </c>
      <c r="BN62">
        <v>1220</v>
      </c>
      <c r="BO62">
        <v>0</v>
      </c>
      <c r="BP62">
        <v>1520</v>
      </c>
      <c r="BQ62">
        <f>SUM(SimpleDashData810[[#This Row],[Convayance]:[Misc]])</f>
        <v>15825</v>
      </c>
      <c r="BR62">
        <v>2544</v>
      </c>
      <c r="BS62">
        <v>17</v>
      </c>
      <c r="BT62">
        <v>145</v>
      </c>
      <c r="BU62">
        <f>SUM(SimpleDashData810[[#This Row],[Male]:[Child]])</f>
        <v>2706</v>
      </c>
      <c r="BZ62">
        <f>SimpleDashData810[[#This Row],[Total Expense]]/SimpleDashData810[[#This Row],[Total Patients]]</f>
        <v>5.8481152993348111</v>
      </c>
      <c r="CA62">
        <v>0</v>
      </c>
    </row>
    <row r="63" spans="1:79" x14ac:dyDescent="0.3">
      <c r="A63">
        <v>52</v>
      </c>
      <c r="B63" t="str">
        <v>QCNM Hadi Free Hospital</v>
      </c>
      <c r="C63" t="str">
        <v>Trust Act</v>
      </c>
      <c r="D63" t="str">
        <v>Central Punjab Region</v>
      </c>
      <c r="E63" t="str">
        <v>Public</v>
      </c>
      <c r="F63" s="2">
        <v>7470</v>
      </c>
      <c r="G63" s="2">
        <v>1341</v>
      </c>
      <c r="H63" s="13">
        <v>5.5704697986577179</v>
      </c>
      <c r="I63" s="13"/>
      <c r="BA63">
        <v>62</v>
      </c>
      <c r="BB63" s="28" t="s">
        <v>127</v>
      </c>
      <c r="BC63">
        <v>2010254</v>
      </c>
      <c r="BD63" t="s">
        <v>33</v>
      </c>
      <c r="BE63" t="s">
        <v>100</v>
      </c>
      <c r="BF63" t="s">
        <v>64</v>
      </c>
      <c r="BG63">
        <v>0</v>
      </c>
      <c r="BH63">
        <v>1000</v>
      </c>
      <c r="BI63">
        <v>500</v>
      </c>
      <c r="BJ63">
        <v>7980</v>
      </c>
      <c r="BK63">
        <v>460</v>
      </c>
      <c r="BL63">
        <v>445</v>
      </c>
      <c r="BM63">
        <v>0</v>
      </c>
      <c r="BN63">
        <v>550</v>
      </c>
      <c r="BO63">
        <v>480</v>
      </c>
      <c r="BP63">
        <v>0</v>
      </c>
      <c r="BQ63">
        <f>SUM(SimpleDashData810[[#This Row],[Convayance]:[Misc]])</f>
        <v>11415</v>
      </c>
      <c r="BR63">
        <v>1961</v>
      </c>
      <c r="BS63">
        <v>0</v>
      </c>
      <c r="BT63">
        <v>0</v>
      </c>
      <c r="BU63">
        <f>SUM(SimpleDashData810[[#This Row],[Male]:[Child]])</f>
        <v>1961</v>
      </c>
      <c r="BZ63">
        <f>SimpleDashData810[[#This Row],[Total Expense]]/SimpleDashData810[[#This Row],[Total Patients]]</f>
        <v>5.8210096889342173</v>
      </c>
      <c r="CA63">
        <v>0</v>
      </c>
    </row>
    <row r="64" spans="1:79" x14ac:dyDescent="0.3">
      <c r="A64">
        <v>53</v>
      </c>
      <c r="B64" t="str">
        <v>OCNM SIBI ( MCKRU) University</v>
      </c>
      <c r="C64" t="str">
        <v>Trust Act</v>
      </c>
      <c r="D64" t="str">
        <v>Sindh, Balochistan &amp; AJK Region</v>
      </c>
      <c r="E64" t="str">
        <v>Public</v>
      </c>
      <c r="F64" s="2">
        <v>7360</v>
      </c>
      <c r="G64" s="2">
        <v>2263</v>
      </c>
      <c r="H64" s="13">
        <v>3.2523199292973928</v>
      </c>
      <c r="I64" s="13"/>
      <c r="BA64">
        <v>63</v>
      </c>
      <c r="BB64" s="27" t="s">
        <v>128</v>
      </c>
      <c r="BC64">
        <v>2010224</v>
      </c>
      <c r="BD64" t="s">
        <v>33</v>
      </c>
      <c r="BE64" t="s">
        <v>100</v>
      </c>
      <c r="BF64" t="s">
        <v>64</v>
      </c>
      <c r="BG64">
        <v>0</v>
      </c>
      <c r="BH64">
        <v>1000</v>
      </c>
      <c r="BI64">
        <v>0</v>
      </c>
      <c r="BJ64">
        <v>9600</v>
      </c>
      <c r="BK64">
        <v>460</v>
      </c>
      <c r="BL64">
        <v>0</v>
      </c>
      <c r="BM64">
        <v>0</v>
      </c>
      <c r="BN64">
        <v>1510</v>
      </c>
      <c r="BO64">
        <v>0</v>
      </c>
      <c r="BP64">
        <v>1550</v>
      </c>
      <c r="BQ64">
        <f>SUM(SimpleDashData810[[#This Row],[Convayance]:[Misc]])</f>
        <v>14120</v>
      </c>
      <c r="BR64">
        <v>3325</v>
      </c>
      <c r="BS64">
        <v>0</v>
      </c>
      <c r="BT64">
        <v>0</v>
      </c>
      <c r="BU64">
        <f>SUM(SimpleDashData810[[#This Row],[Male]:[Child]])</f>
        <v>3325</v>
      </c>
      <c r="BZ64">
        <f>SimpleDashData810[[#This Row],[Total Expense]]/SimpleDashData810[[#This Row],[Total Patients]]</f>
        <v>4.2466165413533838</v>
      </c>
      <c r="CA64">
        <v>0</v>
      </c>
    </row>
    <row r="65" spans="1:79" x14ac:dyDescent="0.3">
      <c r="A65">
        <v>54</v>
      </c>
      <c r="B65" t="str">
        <v>QCNM Loralai</v>
      </c>
      <c r="C65" t="str">
        <v>Trust Act</v>
      </c>
      <c r="D65" t="str">
        <v>Sindh, Balochistan &amp; AJK Region</v>
      </c>
      <c r="E65" t="str">
        <v>Public</v>
      </c>
      <c r="F65" s="2">
        <v>7195</v>
      </c>
      <c r="G65" s="2">
        <v>1234</v>
      </c>
      <c r="H65" s="13">
        <v>5.8306320907617506</v>
      </c>
      <c r="I65" s="13"/>
      <c r="BA65">
        <v>64</v>
      </c>
      <c r="BB65" s="27" t="s">
        <v>129</v>
      </c>
      <c r="BC65">
        <v>2010229</v>
      </c>
      <c r="BD65" t="s">
        <v>33</v>
      </c>
      <c r="BE65" t="s">
        <v>100</v>
      </c>
      <c r="BF65" t="s">
        <v>64</v>
      </c>
      <c r="BG65">
        <v>0</v>
      </c>
      <c r="BH65">
        <v>0</v>
      </c>
      <c r="BI65">
        <v>0</v>
      </c>
      <c r="BJ65">
        <v>15380</v>
      </c>
      <c r="BK65">
        <v>400</v>
      </c>
      <c r="BL65">
        <v>530</v>
      </c>
      <c r="BM65">
        <v>0</v>
      </c>
      <c r="BN65">
        <v>520</v>
      </c>
      <c r="BO65">
        <v>0</v>
      </c>
      <c r="BP65">
        <v>0</v>
      </c>
      <c r="BQ65">
        <f>SUM(SimpleDashData810[[#This Row],[Convayance]:[Misc]])</f>
        <v>16830</v>
      </c>
      <c r="BR65">
        <v>3976</v>
      </c>
      <c r="BS65">
        <v>0</v>
      </c>
      <c r="BT65">
        <v>0</v>
      </c>
      <c r="BU65">
        <f>SUM(SimpleDashData810[[#This Row],[Male]:[Child]])</f>
        <v>3976</v>
      </c>
      <c r="BZ65">
        <f>SimpleDashData810[[#This Row],[Total Expense]]/SimpleDashData810[[#This Row],[Total Patients]]</f>
        <v>4.2328973843058346</v>
      </c>
      <c r="CA65">
        <v>0</v>
      </c>
    </row>
    <row r="66" spans="1:79" x14ac:dyDescent="0.3">
      <c r="A66">
        <v>55</v>
      </c>
      <c r="B66" t="str">
        <v>QCNM Toba Tek singh,District Jail</v>
      </c>
      <c r="C66" t="str">
        <v>Trust Act</v>
      </c>
      <c r="D66" t="str">
        <v>Central Punjab Region</v>
      </c>
      <c r="E66" t="str">
        <v>Prison</v>
      </c>
      <c r="F66" s="2">
        <v>7179</v>
      </c>
      <c r="G66" s="2">
        <v>2770</v>
      </c>
      <c r="H66" s="13">
        <v>2.591696750902527</v>
      </c>
      <c r="I66" s="13"/>
      <c r="BA66">
        <v>65</v>
      </c>
      <c r="BB66" s="27" t="s">
        <v>130</v>
      </c>
      <c r="BC66">
        <v>2010256</v>
      </c>
      <c r="BD66" t="s">
        <v>33</v>
      </c>
      <c r="BE66" t="s">
        <v>100</v>
      </c>
      <c r="BF66" t="s">
        <v>64</v>
      </c>
      <c r="BG66">
        <v>3289</v>
      </c>
      <c r="BH66">
        <v>950</v>
      </c>
      <c r="BI66">
        <v>0</v>
      </c>
      <c r="BJ66">
        <v>1650</v>
      </c>
      <c r="BK66">
        <v>540</v>
      </c>
      <c r="BL66">
        <v>0</v>
      </c>
      <c r="BM66">
        <v>0</v>
      </c>
      <c r="BN66">
        <v>750</v>
      </c>
      <c r="BO66">
        <v>0</v>
      </c>
      <c r="BP66">
        <v>0</v>
      </c>
      <c r="BQ66">
        <f>SUM(SimpleDashData810[[#This Row],[Convayance]:[Misc]])</f>
        <v>7179</v>
      </c>
      <c r="BR66">
        <v>2770</v>
      </c>
      <c r="BS66">
        <v>0</v>
      </c>
      <c r="BT66">
        <v>0</v>
      </c>
      <c r="BU66">
        <f>SUM(SimpleDashData810[[#This Row],[Male]:[Child]])</f>
        <v>2770</v>
      </c>
      <c r="BZ66">
        <f>SimpleDashData810[[#This Row],[Total Expense]]/SimpleDashData810[[#This Row],[Total Patients]]</f>
        <v>2.591696750902527</v>
      </c>
      <c r="CA66">
        <v>0</v>
      </c>
    </row>
    <row r="67" spans="1:79" x14ac:dyDescent="0.3">
      <c r="A67">
        <v>56</v>
      </c>
      <c r="B67" t="str">
        <v>QCNM Hyderabad, Central Prison</v>
      </c>
      <c r="C67" t="str">
        <v>Trust Act</v>
      </c>
      <c r="D67" t="str">
        <v>Sindh, Balochistan &amp; AJK Region</v>
      </c>
      <c r="E67" t="str">
        <v>Prison</v>
      </c>
      <c r="F67" s="2">
        <v>6980</v>
      </c>
      <c r="G67" s="2">
        <v>2120</v>
      </c>
      <c r="H67" s="13">
        <v>3.2924528301886791</v>
      </c>
      <c r="I67" s="13"/>
      <c r="BA67">
        <v>66</v>
      </c>
      <c r="BB67" s="27" t="s">
        <v>131</v>
      </c>
      <c r="BD67" t="s">
        <v>33</v>
      </c>
      <c r="BE67" t="s">
        <v>100</v>
      </c>
      <c r="BF67" t="s">
        <v>64</v>
      </c>
      <c r="BG67">
        <v>3600</v>
      </c>
      <c r="BH67">
        <v>500</v>
      </c>
      <c r="BI67">
        <v>0</v>
      </c>
      <c r="BJ67">
        <v>0</v>
      </c>
      <c r="BK67">
        <v>0</v>
      </c>
      <c r="BL67">
        <v>250</v>
      </c>
      <c r="BM67">
        <v>0</v>
      </c>
      <c r="BN67">
        <v>400</v>
      </c>
      <c r="BO67">
        <v>0</v>
      </c>
      <c r="BP67">
        <v>2000</v>
      </c>
      <c r="BQ67">
        <f>SUM(SimpleDashData810[[#This Row],[Convayance]:[Misc]])</f>
        <v>6750</v>
      </c>
      <c r="BR67">
        <v>0</v>
      </c>
      <c r="BS67">
        <v>43</v>
      </c>
      <c r="BT67">
        <v>5</v>
      </c>
      <c r="BU67">
        <f>SUM(SimpleDashData810[[#This Row],[Male]:[Child]])</f>
        <v>48</v>
      </c>
      <c r="BZ67">
        <f>SimpleDashData810[[#This Row],[Total Expense]]/SimpleDashData810[[#This Row],[Total Patients]]</f>
        <v>140.625</v>
      </c>
      <c r="CA67">
        <v>0</v>
      </c>
    </row>
    <row r="68" spans="1:79" x14ac:dyDescent="0.3">
      <c r="A68">
        <v>57</v>
      </c>
      <c r="B68" t="str">
        <v>QCNM Kasur, District Jail</v>
      </c>
      <c r="C68" t="str">
        <v>Trust Act</v>
      </c>
      <c r="D68" t="str">
        <v>Central Punjab Region</v>
      </c>
      <c r="E68" t="str">
        <v>Prison</v>
      </c>
      <c r="F68" s="2">
        <v>6970</v>
      </c>
      <c r="G68" s="2">
        <v>2864</v>
      </c>
      <c r="H68" s="13">
        <v>2.433659217877095</v>
      </c>
      <c r="I68" s="13"/>
      <c r="BA68">
        <v>67</v>
      </c>
      <c r="BB68" s="27" t="s">
        <v>132</v>
      </c>
      <c r="BD68" t="s">
        <v>33</v>
      </c>
      <c r="BE68" t="s">
        <v>100</v>
      </c>
      <c r="BF68" t="s">
        <v>64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f>SUM(SimpleDashData810[[#This Row],[Convayance]:[Misc]])</f>
        <v>0</v>
      </c>
      <c r="BR68">
        <v>0</v>
      </c>
      <c r="BS68">
        <v>60</v>
      </c>
      <c r="BT68">
        <v>9</v>
      </c>
      <c r="BU68">
        <f>SUM(SimpleDashData810[[#This Row],[Male]:[Child]])</f>
        <v>69</v>
      </c>
      <c r="BZ68">
        <f>SimpleDashData810[[#This Row],[Total Expense]]/SimpleDashData810[[#This Row],[Total Patients]]</f>
        <v>0</v>
      </c>
      <c r="CA68">
        <v>0</v>
      </c>
    </row>
    <row r="69" spans="1:79" x14ac:dyDescent="0.3">
      <c r="A69">
        <v>58</v>
      </c>
      <c r="B69" t="str">
        <v>Lahore, Jamia Ashrafia</v>
      </c>
      <c r="C69" t="str">
        <v>Trust Act</v>
      </c>
      <c r="D69" t="str">
        <v>Central Punjab Region</v>
      </c>
      <c r="E69" t="str">
        <v>Public</v>
      </c>
      <c r="F69" s="2">
        <v>6880</v>
      </c>
      <c r="G69" s="2">
        <v>885</v>
      </c>
      <c r="H69" s="13">
        <v>7.7740112994350286</v>
      </c>
      <c r="I69" s="13"/>
      <c r="BA69">
        <v>68</v>
      </c>
      <c r="BB69" s="12" t="s">
        <v>133</v>
      </c>
      <c r="BC69">
        <v>2010245</v>
      </c>
      <c r="BD69" t="s">
        <v>33</v>
      </c>
      <c r="BE69" t="s">
        <v>100</v>
      </c>
      <c r="BF69" t="s">
        <v>64</v>
      </c>
      <c r="BG69">
        <v>0</v>
      </c>
      <c r="BH69">
        <v>0</v>
      </c>
      <c r="BI69">
        <v>0</v>
      </c>
      <c r="BJ69">
        <v>8820</v>
      </c>
      <c r="BK69">
        <v>440</v>
      </c>
      <c r="BL69">
        <v>1250</v>
      </c>
      <c r="BM69">
        <v>0</v>
      </c>
      <c r="BN69">
        <v>1650</v>
      </c>
      <c r="BO69">
        <v>0</v>
      </c>
      <c r="BP69">
        <v>1000</v>
      </c>
      <c r="BQ69">
        <f>SUM(SimpleDashData810[[#This Row],[Convayance]:[Misc]])</f>
        <v>13160</v>
      </c>
      <c r="BR69">
        <v>594</v>
      </c>
      <c r="BS69">
        <v>658</v>
      </c>
      <c r="BT69">
        <v>288</v>
      </c>
      <c r="BU69">
        <f>SUM(SimpleDashData810[[#This Row],[Male]:[Child]])</f>
        <v>1540</v>
      </c>
      <c r="BZ69">
        <f>SimpleDashData810[[#This Row],[Total Expense]]/SimpleDashData810[[#This Row],[Total Patients]]</f>
        <v>8.545454545454545</v>
      </c>
      <c r="CA69">
        <v>0</v>
      </c>
    </row>
    <row r="70" spans="1:79" x14ac:dyDescent="0.3">
      <c r="A70">
        <v>59</v>
      </c>
      <c r="B70" t="str">
        <v>QCNM Faisalabad, District Jail</v>
      </c>
      <c r="C70" t="str">
        <v>Trust Act</v>
      </c>
      <c r="D70" t="str">
        <v>Central Punjab Region</v>
      </c>
      <c r="E70" t="str">
        <v>Prison</v>
      </c>
      <c r="F70" s="2">
        <v>6790</v>
      </c>
      <c r="G70" s="2">
        <v>2958</v>
      </c>
      <c r="H70" s="13">
        <v>2.2954699121027722</v>
      </c>
      <c r="I70" s="13"/>
      <c r="BA70">
        <v>69</v>
      </c>
      <c r="BB70" s="12" t="s">
        <v>134</v>
      </c>
      <c r="BD70" t="s">
        <v>33</v>
      </c>
      <c r="BE70" t="s">
        <v>135</v>
      </c>
      <c r="BF70" t="s">
        <v>35</v>
      </c>
      <c r="BG70">
        <v>4500</v>
      </c>
      <c r="BH70">
        <v>0</v>
      </c>
      <c r="BI70">
        <v>0</v>
      </c>
      <c r="BJ70">
        <v>9570</v>
      </c>
      <c r="BK70">
        <v>0</v>
      </c>
      <c r="BL70">
        <v>280</v>
      </c>
      <c r="BM70">
        <v>0</v>
      </c>
      <c r="BN70">
        <v>0</v>
      </c>
      <c r="BO70">
        <v>0</v>
      </c>
      <c r="BP70">
        <v>0</v>
      </c>
      <c r="BQ70">
        <f>SUM(SimpleDashData810[[#This Row],[Convayance]:[Misc]])</f>
        <v>14350</v>
      </c>
      <c r="BR70">
        <v>467</v>
      </c>
      <c r="BS70">
        <v>538</v>
      </c>
      <c r="BT70">
        <v>448</v>
      </c>
      <c r="BU70">
        <f>SUM(SimpleDashData810[[#This Row],[Male]:[Child]])</f>
        <v>1453</v>
      </c>
      <c r="BZ70">
        <f>SimpleDashData810[[#This Row],[Total Expense]]/SimpleDashData810[[#This Row],[Total Patients]]</f>
        <v>9.8761183757742597</v>
      </c>
      <c r="CA70">
        <v>0</v>
      </c>
    </row>
    <row r="71" spans="1:79" x14ac:dyDescent="0.3">
      <c r="A71">
        <v>60</v>
      </c>
      <c r="B71" t="str">
        <v>QCNM Lahore, Women Central Jail</v>
      </c>
      <c r="C71" t="str">
        <v>Trust Act</v>
      </c>
      <c r="D71" t="str">
        <v>Central Punjab Region</v>
      </c>
      <c r="E71" t="str">
        <v>Prison</v>
      </c>
      <c r="F71" s="2">
        <v>6750</v>
      </c>
      <c r="G71" s="2">
        <v>48</v>
      </c>
      <c r="H71" s="13">
        <v>140.625</v>
      </c>
      <c r="I71" s="13"/>
      <c r="BA71">
        <v>70</v>
      </c>
      <c r="BB71" s="12" t="s">
        <v>136</v>
      </c>
      <c r="BD71" t="s">
        <v>33</v>
      </c>
      <c r="BE71" t="s">
        <v>135</v>
      </c>
      <c r="BF71" t="s">
        <v>35</v>
      </c>
      <c r="BG71">
        <v>0</v>
      </c>
      <c r="BH71">
        <v>16510</v>
      </c>
      <c r="BI71">
        <v>0</v>
      </c>
      <c r="BJ71">
        <v>3500</v>
      </c>
      <c r="BK71">
        <v>510</v>
      </c>
      <c r="BL71">
        <v>0</v>
      </c>
      <c r="BM71">
        <v>0</v>
      </c>
      <c r="BN71">
        <v>420</v>
      </c>
      <c r="BO71">
        <v>0</v>
      </c>
      <c r="BP71">
        <v>750</v>
      </c>
      <c r="BQ71">
        <f>SUM(SimpleDashData810[[#This Row],[Convayance]:[Misc]])</f>
        <v>21690</v>
      </c>
      <c r="BR71">
        <v>1106</v>
      </c>
      <c r="BS71">
        <v>826</v>
      </c>
      <c r="BT71">
        <v>200</v>
      </c>
      <c r="BU71">
        <f>SUM(SimpleDashData810[[#This Row],[Male]:[Child]])</f>
        <v>2132</v>
      </c>
      <c r="BZ71">
        <f>SimpleDashData810[[#This Row],[Total Expense]]/SimpleDashData810[[#This Row],[Total Patients]]</f>
        <v>10.173545966228893</v>
      </c>
      <c r="CA71">
        <v>0</v>
      </c>
    </row>
    <row r="72" spans="1:79" x14ac:dyDescent="0.3">
      <c r="A72">
        <v>61</v>
      </c>
      <c r="B72" t="str">
        <v xml:space="preserve">QCNM University of Balochistan </v>
      </c>
      <c r="C72" t="str">
        <v>Trust Act</v>
      </c>
      <c r="D72" t="str">
        <v>Sindh, Balochistan &amp; AJK Region</v>
      </c>
      <c r="E72" t="str">
        <v>Public</v>
      </c>
      <c r="F72" s="2">
        <v>6650</v>
      </c>
      <c r="G72" s="2">
        <v>858</v>
      </c>
      <c r="H72" s="13">
        <v>7.7505827505827503</v>
      </c>
      <c r="I72" s="13"/>
      <c r="BA72">
        <v>71</v>
      </c>
      <c r="BB72" s="12" t="s">
        <v>137</v>
      </c>
      <c r="BD72" t="s">
        <v>33</v>
      </c>
      <c r="BE72" t="s">
        <v>135</v>
      </c>
      <c r="BF72" t="s">
        <v>35</v>
      </c>
      <c r="BG72">
        <v>800</v>
      </c>
      <c r="BH72">
        <v>0</v>
      </c>
      <c r="BI72">
        <v>2200</v>
      </c>
      <c r="BJ72">
        <v>1700</v>
      </c>
      <c r="BK72">
        <v>700</v>
      </c>
      <c r="BL72">
        <v>710</v>
      </c>
      <c r="BM72">
        <v>0</v>
      </c>
      <c r="BN72">
        <v>1121</v>
      </c>
      <c r="BO72">
        <v>3517</v>
      </c>
      <c r="BP72">
        <v>400</v>
      </c>
      <c r="BQ72">
        <f>SUM(SimpleDashData810[[#This Row],[Convayance]:[Misc]])</f>
        <v>11148</v>
      </c>
      <c r="BR72">
        <v>1183</v>
      </c>
      <c r="BS72">
        <v>918</v>
      </c>
      <c r="BT72">
        <v>322</v>
      </c>
      <c r="BU72">
        <f>SUM(SimpleDashData810[[#This Row],[Male]:[Child]])</f>
        <v>2423</v>
      </c>
      <c r="BZ72">
        <f>SimpleDashData810[[#This Row],[Total Expense]]/SimpleDashData810[[#This Row],[Total Patients]]</f>
        <v>4.6009079653322331</v>
      </c>
      <c r="CA72">
        <v>0</v>
      </c>
    </row>
    <row r="73" spans="1:79" x14ac:dyDescent="0.3">
      <c r="A73">
        <v>62</v>
      </c>
      <c r="B73" t="str">
        <v>QCNM Attock, District Jail</v>
      </c>
      <c r="C73" t="str">
        <v>Trust Act</v>
      </c>
      <c r="D73" t="str">
        <v>South &amp; North Punjab Region</v>
      </c>
      <c r="E73" t="str">
        <v>Prison</v>
      </c>
      <c r="F73" s="2">
        <v>6450</v>
      </c>
      <c r="G73" s="2">
        <v>2722</v>
      </c>
      <c r="H73" s="13">
        <v>2.3695811903012491</v>
      </c>
      <c r="I73" s="13"/>
      <c r="BA73">
        <v>72</v>
      </c>
      <c r="BB73" s="12" t="s">
        <v>138</v>
      </c>
      <c r="BD73" t="s">
        <v>33</v>
      </c>
      <c r="BE73" t="s">
        <v>135</v>
      </c>
      <c r="BF73" t="s">
        <v>35</v>
      </c>
      <c r="BG73">
        <v>0</v>
      </c>
      <c r="BH73">
        <v>0</v>
      </c>
      <c r="BI73">
        <v>0</v>
      </c>
      <c r="BJ73">
        <v>6100</v>
      </c>
      <c r="BK73">
        <v>495</v>
      </c>
      <c r="BL73">
        <v>600</v>
      </c>
      <c r="BM73">
        <v>0</v>
      </c>
      <c r="BN73">
        <v>980</v>
      </c>
      <c r="BO73">
        <v>0</v>
      </c>
      <c r="BP73">
        <v>0</v>
      </c>
      <c r="BQ73">
        <f>SUM(SimpleDashData810[[#This Row],[Convayance]:[Misc]])</f>
        <v>8175</v>
      </c>
      <c r="BR73">
        <v>1711</v>
      </c>
      <c r="BS73">
        <v>856</v>
      </c>
      <c r="BT73">
        <v>621</v>
      </c>
      <c r="BU73">
        <f>SUM(SimpleDashData810[[#This Row],[Male]:[Child]])</f>
        <v>3188</v>
      </c>
      <c r="BZ73">
        <f>SimpleDashData810[[#This Row],[Total Expense]]/SimpleDashData810[[#This Row],[Total Patients]]</f>
        <v>2.5643036386449185</v>
      </c>
      <c r="CA73">
        <v>0</v>
      </c>
    </row>
    <row r="74" spans="1:79" x14ac:dyDescent="0.3">
      <c r="A74">
        <v>63</v>
      </c>
      <c r="B74" t="str">
        <v>QCNM Bhakkar, District Jail</v>
      </c>
      <c r="C74" t="str">
        <v>Trust Act</v>
      </c>
      <c r="D74" t="str">
        <v>South &amp; North Punjab Region</v>
      </c>
      <c r="E74" t="str">
        <v>Prison</v>
      </c>
      <c r="F74" s="2">
        <v>6250</v>
      </c>
      <c r="G74" s="2">
        <v>2725</v>
      </c>
      <c r="H74" s="13">
        <v>2.2935779816513762</v>
      </c>
      <c r="I74" s="13"/>
      <c r="BA74">
        <v>73</v>
      </c>
      <c r="BB74" s="12" t="s">
        <v>139</v>
      </c>
      <c r="BD74" t="s">
        <v>33</v>
      </c>
      <c r="BE74" t="s">
        <v>135</v>
      </c>
      <c r="BF74" t="s">
        <v>35</v>
      </c>
      <c r="BG74">
        <v>0</v>
      </c>
      <c r="BH74">
        <v>7135</v>
      </c>
      <c r="BI74">
        <v>2400</v>
      </c>
      <c r="BJ74">
        <v>600</v>
      </c>
      <c r="BK74">
        <v>0</v>
      </c>
      <c r="BL74">
        <v>0</v>
      </c>
      <c r="BM74">
        <v>0</v>
      </c>
      <c r="BN74">
        <v>850</v>
      </c>
      <c r="BO74">
        <v>0</v>
      </c>
      <c r="BP74">
        <v>0</v>
      </c>
      <c r="BQ74">
        <f>SUM(SimpleDashData810[[#This Row],[Convayance]:[Misc]])</f>
        <v>10985</v>
      </c>
      <c r="BR74">
        <v>785</v>
      </c>
      <c r="BS74">
        <v>887</v>
      </c>
      <c r="BT74">
        <v>347</v>
      </c>
      <c r="BU74">
        <f>SUM(SimpleDashData810[[#This Row],[Male]:[Child]])</f>
        <v>2019</v>
      </c>
      <c r="BZ74">
        <f>SimpleDashData810[[#This Row],[Total Expense]]/SimpleDashData810[[#This Row],[Total Patients]]</f>
        <v>5.4408122833085688</v>
      </c>
      <c r="CA74">
        <v>0</v>
      </c>
    </row>
    <row r="75" spans="1:79" x14ac:dyDescent="0.3">
      <c r="A75">
        <v>64</v>
      </c>
      <c r="B75" t="str">
        <v>QCNM Rahim Yar Khan, District Jail</v>
      </c>
      <c r="C75" t="str">
        <v>Trust Act</v>
      </c>
      <c r="D75" t="str">
        <v>South &amp; North Punjab Region</v>
      </c>
      <c r="E75" t="str">
        <v>Prison</v>
      </c>
      <c r="F75" s="2">
        <v>6180</v>
      </c>
      <c r="G75" s="2">
        <v>2880</v>
      </c>
      <c r="H75" s="13">
        <v>2.1458333333333335</v>
      </c>
      <c r="I75" s="13"/>
      <c r="BA75">
        <v>74</v>
      </c>
      <c r="BB75" s="12" t="s">
        <v>140</v>
      </c>
      <c r="BD75" t="s">
        <v>33</v>
      </c>
      <c r="BE75" t="s">
        <v>135</v>
      </c>
      <c r="BF75" t="s">
        <v>35</v>
      </c>
      <c r="BG75">
        <v>1500</v>
      </c>
      <c r="BH75">
        <v>0</v>
      </c>
      <c r="BI75">
        <v>0</v>
      </c>
      <c r="BJ75">
        <v>1200</v>
      </c>
      <c r="BK75">
        <v>510</v>
      </c>
      <c r="BL75">
        <v>0</v>
      </c>
      <c r="BM75">
        <v>0</v>
      </c>
      <c r="BN75">
        <v>0</v>
      </c>
      <c r="BO75">
        <v>1000</v>
      </c>
      <c r="BP75">
        <v>0</v>
      </c>
      <c r="BQ75">
        <f>SUM(SimpleDashData810[[#This Row],[Convayance]:[Misc]])</f>
        <v>4210</v>
      </c>
      <c r="BR75">
        <v>921</v>
      </c>
      <c r="BS75">
        <v>701</v>
      </c>
      <c r="BT75">
        <v>310</v>
      </c>
      <c r="BU75">
        <f>SUM(SimpleDashData810[[#This Row],[Male]:[Child]])</f>
        <v>1932</v>
      </c>
      <c r="BZ75">
        <f>SimpleDashData810[[#This Row],[Total Expense]]/SimpleDashData810[[#This Row],[Total Patients]]</f>
        <v>2.179089026915114</v>
      </c>
      <c r="CA75">
        <v>0</v>
      </c>
    </row>
    <row r="76" spans="1:79" x14ac:dyDescent="0.3">
      <c r="A76">
        <v>65</v>
      </c>
      <c r="B76" t="str">
        <v>QCNM Faisalabad, GCU (New Campus)</v>
      </c>
      <c r="C76" t="str">
        <v>Trust Act</v>
      </c>
      <c r="D76" t="str">
        <v>Central Punjab Region</v>
      </c>
      <c r="E76" t="str">
        <v>Public</v>
      </c>
      <c r="F76" s="2">
        <v>6144</v>
      </c>
      <c r="G76" s="2">
        <v>826</v>
      </c>
      <c r="H76" s="13">
        <v>7.438256658595642</v>
      </c>
      <c r="I76" s="13"/>
      <c r="BA76">
        <v>75</v>
      </c>
      <c r="BB76" s="12" t="s">
        <v>141</v>
      </c>
      <c r="BD76" t="s">
        <v>33</v>
      </c>
      <c r="BE76" t="s">
        <v>135</v>
      </c>
      <c r="BF76" t="s">
        <v>35</v>
      </c>
      <c r="BG76">
        <v>3540</v>
      </c>
      <c r="BH76">
        <v>4400</v>
      </c>
      <c r="BI76">
        <v>0</v>
      </c>
      <c r="BJ76">
        <v>1200</v>
      </c>
      <c r="BK76">
        <v>0</v>
      </c>
      <c r="BL76">
        <v>100</v>
      </c>
      <c r="BM76">
        <v>0</v>
      </c>
      <c r="BN76">
        <v>240</v>
      </c>
      <c r="BO76">
        <v>0</v>
      </c>
      <c r="BP76">
        <v>0</v>
      </c>
      <c r="BQ76">
        <f>SUM(SimpleDashData810[[#This Row],[Convayance]:[Misc]])</f>
        <v>9480</v>
      </c>
      <c r="BR76">
        <v>1104</v>
      </c>
      <c r="BS76">
        <v>774</v>
      </c>
      <c r="BT76">
        <v>344</v>
      </c>
      <c r="BU76">
        <f>SUM(SimpleDashData810[[#This Row],[Male]:[Child]])</f>
        <v>2222</v>
      </c>
      <c r="BZ76">
        <f>SimpleDashData810[[#This Row],[Total Expense]]/SimpleDashData810[[#This Row],[Total Patients]]</f>
        <v>4.2664266426642667</v>
      </c>
      <c r="CA76">
        <v>0</v>
      </c>
    </row>
    <row r="77" spans="1:79" x14ac:dyDescent="0.3">
      <c r="A77">
        <v>66</v>
      </c>
      <c r="B77" t="str">
        <v>QCNM Aas Rehabilitation Centre</v>
      </c>
      <c r="C77" t="str">
        <v>Trust Act</v>
      </c>
      <c r="D77" t="str">
        <v>Central Punjab Region</v>
      </c>
      <c r="E77" t="str">
        <v>Public</v>
      </c>
      <c r="F77" s="2">
        <v>6130</v>
      </c>
      <c r="G77" s="2">
        <v>56</v>
      </c>
      <c r="H77" s="13">
        <v>109.46428571428571</v>
      </c>
      <c r="I77" s="13"/>
      <c r="BA77">
        <v>76</v>
      </c>
      <c r="BB77" s="12" t="s">
        <v>142</v>
      </c>
      <c r="BD77" t="s">
        <v>33</v>
      </c>
      <c r="BE77" t="s">
        <v>135</v>
      </c>
      <c r="BF77" t="s">
        <v>64</v>
      </c>
      <c r="BG77">
        <v>0</v>
      </c>
      <c r="BH77">
        <v>0</v>
      </c>
      <c r="BI77">
        <v>0</v>
      </c>
      <c r="BJ77">
        <v>5490</v>
      </c>
      <c r="BK77">
        <v>250</v>
      </c>
      <c r="BL77">
        <v>710</v>
      </c>
      <c r="BM77">
        <v>0</v>
      </c>
      <c r="BN77">
        <v>0</v>
      </c>
      <c r="BO77">
        <v>0</v>
      </c>
      <c r="BP77">
        <v>0</v>
      </c>
      <c r="BQ77">
        <f>SUM(SimpleDashData810[[#This Row],[Convayance]:[Misc]])</f>
        <v>6450</v>
      </c>
      <c r="BR77">
        <v>2722</v>
      </c>
      <c r="BS77">
        <v>0</v>
      </c>
      <c r="BT77">
        <v>0</v>
      </c>
      <c r="BU77">
        <f>SUM(SimpleDashData810[[#This Row],[Male]:[Child]])</f>
        <v>2722</v>
      </c>
      <c r="BZ77">
        <f>SimpleDashData810[[#This Row],[Total Expense]]/SimpleDashData810[[#This Row],[Total Patients]]</f>
        <v>2.3695811903012491</v>
      </c>
      <c r="CA77">
        <v>0</v>
      </c>
    </row>
    <row r="78" spans="1:79" x14ac:dyDescent="0.3">
      <c r="A78">
        <v>67</v>
      </c>
      <c r="B78" t="str">
        <v>QCNM Karachi, Central Prison</v>
      </c>
      <c r="C78" t="str">
        <v>Trust Act</v>
      </c>
      <c r="D78" t="str">
        <v>Sindh, Balochistan &amp; AJK Region</v>
      </c>
      <c r="E78" t="str">
        <v>Prison</v>
      </c>
      <c r="F78" s="2">
        <v>6070</v>
      </c>
      <c r="G78" s="2">
        <v>1395</v>
      </c>
      <c r="H78" s="13">
        <v>4.3512544802867383</v>
      </c>
      <c r="I78" s="13"/>
      <c r="BA78">
        <v>77</v>
      </c>
      <c r="BB78" s="12" t="s">
        <v>143</v>
      </c>
      <c r="BD78" t="s">
        <v>33</v>
      </c>
      <c r="BE78" t="s">
        <v>135</v>
      </c>
      <c r="BF78" t="s">
        <v>64</v>
      </c>
      <c r="BG78">
        <v>0</v>
      </c>
      <c r="BH78">
        <v>0</v>
      </c>
      <c r="BI78">
        <v>0</v>
      </c>
      <c r="BJ78">
        <v>2900</v>
      </c>
      <c r="BK78">
        <v>150</v>
      </c>
      <c r="BL78">
        <v>0</v>
      </c>
      <c r="BM78">
        <v>0</v>
      </c>
      <c r="BN78">
        <v>520</v>
      </c>
      <c r="BO78">
        <v>0</v>
      </c>
      <c r="BP78">
        <v>810</v>
      </c>
      <c r="BQ78">
        <f>SUM(SimpleDashData810[[#This Row],[Convayance]:[Misc]])</f>
        <v>4380</v>
      </c>
      <c r="BR78">
        <v>1185</v>
      </c>
      <c r="BS78">
        <v>210</v>
      </c>
      <c r="BT78">
        <v>279</v>
      </c>
      <c r="BU78">
        <f>SUM(SimpleDashData810[[#This Row],[Male]:[Child]])</f>
        <v>1674</v>
      </c>
      <c r="BZ78">
        <f>SimpleDashData810[[#This Row],[Total Expense]]/SimpleDashData810[[#This Row],[Total Patients]]</f>
        <v>2.6164874551971327</v>
      </c>
      <c r="CA78">
        <v>0</v>
      </c>
    </row>
    <row r="79" spans="1:79" x14ac:dyDescent="0.3">
      <c r="A79">
        <v>68</v>
      </c>
      <c r="B79" t="str">
        <v>QCNM Woman Jail, Multan</v>
      </c>
      <c r="C79" t="str">
        <v>Trust Act</v>
      </c>
      <c r="D79" t="str">
        <v>South &amp; North Punjab Region</v>
      </c>
      <c r="E79" t="str">
        <v>Prison</v>
      </c>
      <c r="F79" s="2">
        <v>5805</v>
      </c>
      <c r="G79" s="2">
        <v>1662</v>
      </c>
      <c r="H79" s="13">
        <v>3.4927797833935017</v>
      </c>
      <c r="I79" s="13"/>
      <c r="BA79">
        <v>78</v>
      </c>
      <c r="BB79" s="12" t="s">
        <v>144</v>
      </c>
      <c r="BD79" t="s">
        <v>33</v>
      </c>
      <c r="BE79" t="s">
        <v>135</v>
      </c>
      <c r="BF79" t="s">
        <v>64</v>
      </c>
      <c r="BG79">
        <v>3000</v>
      </c>
      <c r="BH79">
        <v>0</v>
      </c>
      <c r="BI79">
        <v>0</v>
      </c>
      <c r="BJ79">
        <v>11430</v>
      </c>
      <c r="BK79">
        <v>600</v>
      </c>
      <c r="BL79">
        <v>1100</v>
      </c>
      <c r="BM79">
        <v>0</v>
      </c>
      <c r="BN79">
        <v>0</v>
      </c>
      <c r="BO79">
        <v>0</v>
      </c>
      <c r="BP79">
        <v>0</v>
      </c>
      <c r="BQ79">
        <f>SUM(SimpleDashData810[[#This Row],[Convayance]:[Misc]])</f>
        <v>16130</v>
      </c>
      <c r="BR79">
        <v>3459</v>
      </c>
      <c r="BS79">
        <v>0</v>
      </c>
      <c r="BT79">
        <v>0</v>
      </c>
      <c r="BU79">
        <f>SUM(SimpleDashData810[[#This Row],[Male]:[Child]])</f>
        <v>3459</v>
      </c>
      <c r="BZ79">
        <f>SimpleDashData810[[#This Row],[Total Expense]]/SimpleDashData810[[#This Row],[Total Patients]]</f>
        <v>4.6631974559121137</v>
      </c>
      <c r="CA79">
        <v>0</v>
      </c>
    </row>
    <row r="80" spans="1:79" x14ac:dyDescent="0.3">
      <c r="A80">
        <v>69</v>
      </c>
      <c r="B80" t="str">
        <v>QCNM Bannu, Central Prison</v>
      </c>
      <c r="C80" t="str">
        <v>Trust Act</v>
      </c>
      <c r="D80" t="str">
        <v>Capital Region</v>
      </c>
      <c r="E80" t="str">
        <v>Prison</v>
      </c>
      <c r="F80" s="2">
        <v>5800</v>
      </c>
      <c r="G80" s="2">
        <v>2139</v>
      </c>
      <c r="H80" s="13">
        <v>2.7115474520804113</v>
      </c>
      <c r="I80" s="13"/>
      <c r="BA80">
        <v>79</v>
      </c>
      <c r="BB80" s="12" t="s">
        <v>145</v>
      </c>
      <c r="BD80" t="s">
        <v>33</v>
      </c>
      <c r="BE80" t="s">
        <v>135</v>
      </c>
      <c r="BF80" t="s">
        <v>64</v>
      </c>
      <c r="BG80">
        <v>0</v>
      </c>
      <c r="BH80">
        <v>0</v>
      </c>
      <c r="BI80">
        <v>0</v>
      </c>
      <c r="BJ80">
        <v>500</v>
      </c>
      <c r="BK80">
        <v>0</v>
      </c>
      <c r="BL80">
        <v>400</v>
      </c>
      <c r="BM80">
        <v>0</v>
      </c>
      <c r="BN80">
        <v>0</v>
      </c>
      <c r="BO80">
        <v>500</v>
      </c>
      <c r="BP80">
        <v>0</v>
      </c>
      <c r="BQ80">
        <f>SUM(SimpleDashData810[[#This Row],[Convayance]:[Misc]])</f>
        <v>1400</v>
      </c>
      <c r="BR80">
        <v>1196</v>
      </c>
      <c r="BS80">
        <v>0</v>
      </c>
      <c r="BT80">
        <v>0</v>
      </c>
      <c r="BU80">
        <f>SUM(SimpleDashData810[[#This Row],[Male]:[Child]])</f>
        <v>1196</v>
      </c>
      <c r="BZ80">
        <f>SimpleDashData810[[#This Row],[Total Expense]]/SimpleDashData810[[#This Row],[Total Patients]]</f>
        <v>1.1705685618729098</v>
      </c>
      <c r="CA80">
        <v>0</v>
      </c>
    </row>
    <row r="81" spans="1:79" x14ac:dyDescent="0.3">
      <c r="A81">
        <v>70</v>
      </c>
      <c r="B81" t="str">
        <v>QCNM Lasbela (LUWAMS) University</v>
      </c>
      <c r="C81" t="str">
        <v>Trust Act</v>
      </c>
      <c r="D81" t="str">
        <v>Sindh, Balochistan &amp; AJK Region</v>
      </c>
      <c r="E81" t="str">
        <v>Public</v>
      </c>
      <c r="F81" s="2">
        <v>5780</v>
      </c>
      <c r="G81" s="2">
        <v>909</v>
      </c>
      <c r="H81" s="13">
        <v>6.3586358635863585</v>
      </c>
      <c r="I81" s="13"/>
      <c r="BA81">
        <v>80</v>
      </c>
      <c r="BB81" s="12" t="s">
        <v>146</v>
      </c>
      <c r="BD81" t="s">
        <v>33</v>
      </c>
      <c r="BE81" t="s">
        <v>135</v>
      </c>
      <c r="BF81" t="s">
        <v>64</v>
      </c>
      <c r="BG81">
        <v>0</v>
      </c>
      <c r="BH81">
        <v>0</v>
      </c>
      <c r="BI81">
        <v>0</v>
      </c>
      <c r="BJ81">
        <v>9860</v>
      </c>
      <c r="BK81">
        <v>610</v>
      </c>
      <c r="BL81">
        <v>450</v>
      </c>
      <c r="BM81">
        <v>0</v>
      </c>
      <c r="BN81">
        <v>0</v>
      </c>
      <c r="BO81">
        <v>0</v>
      </c>
      <c r="BP81">
        <v>0</v>
      </c>
      <c r="BQ81">
        <f>SUM(SimpleDashData810[[#This Row],[Convayance]:[Misc]])</f>
        <v>10920</v>
      </c>
      <c r="BR81">
        <v>2683</v>
      </c>
      <c r="BS81">
        <v>0</v>
      </c>
      <c r="BT81">
        <v>0</v>
      </c>
      <c r="BU81">
        <f>SUM(SimpleDashData810[[#This Row],[Male]:[Child]])</f>
        <v>2683</v>
      </c>
      <c r="BZ81">
        <f>SimpleDashData810[[#This Row],[Total Expense]]/SimpleDashData810[[#This Row],[Total Patients]]</f>
        <v>4.0700708162504657</v>
      </c>
      <c r="CA81">
        <v>0</v>
      </c>
    </row>
    <row r="82" spans="1:79" x14ac:dyDescent="0.3">
      <c r="A82">
        <v>71</v>
      </c>
      <c r="B82" t="str">
        <v>QCNM Muzaffarabad Central Jail</v>
      </c>
      <c r="C82" t="str">
        <v>Society Act</v>
      </c>
      <c r="D82" t="str">
        <v>Sindh, Balochistan &amp; AJK Region</v>
      </c>
      <c r="E82" t="str">
        <v>Prison</v>
      </c>
      <c r="F82" s="2">
        <v>5460</v>
      </c>
      <c r="G82" s="2">
        <v>1456</v>
      </c>
      <c r="H82" s="13">
        <v>3.75</v>
      </c>
      <c r="I82" s="13"/>
      <c r="BA82">
        <v>81</v>
      </c>
      <c r="BB82" s="12" t="s">
        <v>147</v>
      </c>
      <c r="BD82" t="s">
        <v>33</v>
      </c>
      <c r="BE82" t="s">
        <v>135</v>
      </c>
      <c r="BF82" t="s">
        <v>64</v>
      </c>
      <c r="BG82">
        <v>0</v>
      </c>
      <c r="BH82">
        <v>990</v>
      </c>
      <c r="BI82">
        <v>0</v>
      </c>
      <c r="BJ82">
        <v>2460</v>
      </c>
      <c r="BK82">
        <v>495</v>
      </c>
      <c r="BL82">
        <v>780</v>
      </c>
      <c r="BM82">
        <v>0</v>
      </c>
      <c r="BN82">
        <v>0</v>
      </c>
      <c r="BO82">
        <v>0</v>
      </c>
      <c r="BP82">
        <v>0</v>
      </c>
      <c r="BQ82">
        <f>SUM(SimpleDashData810[[#This Row],[Convayance]:[Misc]])</f>
        <v>4725</v>
      </c>
      <c r="BR82">
        <v>2753</v>
      </c>
      <c r="BS82">
        <v>1</v>
      </c>
      <c r="BT82">
        <v>0</v>
      </c>
      <c r="BU82">
        <f>SUM(SimpleDashData810[[#This Row],[Male]:[Child]])</f>
        <v>2754</v>
      </c>
      <c r="BZ82">
        <f>SimpleDashData810[[#This Row],[Total Expense]]/SimpleDashData810[[#This Row],[Total Patients]]</f>
        <v>1.7156862745098038</v>
      </c>
      <c r="CA82">
        <v>0</v>
      </c>
    </row>
    <row r="83" spans="1:79" x14ac:dyDescent="0.3">
      <c r="A83">
        <v>72</v>
      </c>
      <c r="B83" t="str">
        <v>QCNM Vehari, District Jail</v>
      </c>
      <c r="C83" t="str">
        <v>Trust Act</v>
      </c>
      <c r="D83" t="str">
        <v>South &amp; North Punjab Region</v>
      </c>
      <c r="E83" t="str">
        <v>Prison</v>
      </c>
      <c r="F83" s="2">
        <v>5420</v>
      </c>
      <c r="G83" s="2">
        <v>2211</v>
      </c>
      <c r="H83" s="13">
        <v>2.4513794663048394</v>
      </c>
      <c r="I83" s="13"/>
      <c r="BA83">
        <v>82</v>
      </c>
      <c r="BB83" s="12" t="s">
        <v>148</v>
      </c>
      <c r="BD83" t="s">
        <v>33</v>
      </c>
      <c r="BE83" t="s">
        <v>135</v>
      </c>
      <c r="BF83" t="s">
        <v>64</v>
      </c>
      <c r="BG83">
        <v>0</v>
      </c>
      <c r="BH83">
        <v>0</v>
      </c>
      <c r="BI83">
        <v>0</v>
      </c>
      <c r="BJ83">
        <v>8400</v>
      </c>
      <c r="BK83">
        <v>510</v>
      </c>
      <c r="BL83">
        <v>810</v>
      </c>
      <c r="BM83">
        <v>0</v>
      </c>
      <c r="BN83">
        <v>0</v>
      </c>
      <c r="BO83">
        <v>1000</v>
      </c>
      <c r="BP83">
        <v>0</v>
      </c>
      <c r="BQ83">
        <f>SUM(SimpleDashData810[[#This Row],[Convayance]:[Misc]])</f>
        <v>10720</v>
      </c>
      <c r="BR83">
        <v>2922</v>
      </c>
      <c r="BS83">
        <v>0</v>
      </c>
      <c r="BT83">
        <v>0</v>
      </c>
      <c r="BU83">
        <f>SUM(SimpleDashData810[[#This Row],[Male]:[Child]])</f>
        <v>2922</v>
      </c>
      <c r="BZ83">
        <f>SimpleDashData810[[#This Row],[Total Expense]]/SimpleDashData810[[#This Row],[Total Patients]]</f>
        <v>3.6687200547570158</v>
      </c>
      <c r="CA83">
        <v>0</v>
      </c>
    </row>
    <row r="84" spans="1:79" x14ac:dyDescent="0.3">
      <c r="A84">
        <v>73</v>
      </c>
      <c r="B84" t="str">
        <v>QCNM Bahawalnagar, District Jail</v>
      </c>
      <c r="C84" t="str">
        <v>Trust Act</v>
      </c>
      <c r="D84" t="str">
        <v>South &amp; North Punjab Region</v>
      </c>
      <c r="E84" t="str">
        <v>Prison</v>
      </c>
      <c r="F84" s="2">
        <v>5160</v>
      </c>
      <c r="G84" s="2">
        <v>2310</v>
      </c>
      <c r="H84" s="13">
        <v>2.2337662337662336</v>
      </c>
      <c r="I84" s="13"/>
      <c r="BA84">
        <v>83</v>
      </c>
      <c r="BB84" s="12" t="s">
        <v>149</v>
      </c>
      <c r="BD84" t="s">
        <v>33</v>
      </c>
      <c r="BE84" t="s">
        <v>135</v>
      </c>
      <c r="BF84" t="s">
        <v>64</v>
      </c>
      <c r="BG84">
        <v>0</v>
      </c>
      <c r="BH84">
        <v>0</v>
      </c>
      <c r="BI84">
        <v>500</v>
      </c>
      <c r="BJ84">
        <v>8130</v>
      </c>
      <c r="BK84">
        <v>475</v>
      </c>
      <c r="BL84">
        <v>0</v>
      </c>
      <c r="BM84">
        <v>0</v>
      </c>
      <c r="BN84">
        <v>1000</v>
      </c>
      <c r="BO84">
        <v>0</v>
      </c>
      <c r="BP84">
        <v>0</v>
      </c>
      <c r="BQ84">
        <f>SUM(SimpleDashData810[[#This Row],[Convayance]:[Misc]])</f>
        <v>10105</v>
      </c>
      <c r="BR84">
        <v>2227</v>
      </c>
      <c r="BS84">
        <v>0</v>
      </c>
      <c r="BT84">
        <v>0</v>
      </c>
      <c r="BU84">
        <f>SUM(SimpleDashData810[[#This Row],[Male]:[Child]])</f>
        <v>2227</v>
      </c>
      <c r="BZ84">
        <f>SimpleDashData810[[#This Row],[Total Expense]]/SimpleDashData810[[#This Row],[Total Patients]]</f>
        <v>4.5374943870678042</v>
      </c>
      <c r="CA84">
        <v>0</v>
      </c>
    </row>
    <row r="85" spans="1:79" x14ac:dyDescent="0.3">
      <c r="A85">
        <v>74</v>
      </c>
      <c r="B85" t="str">
        <v>QCNM Muridke, Disp</v>
      </c>
      <c r="C85" t="str">
        <v>Trust Act</v>
      </c>
      <c r="D85" t="str">
        <v>Central Punjab Region</v>
      </c>
      <c r="E85" t="str">
        <v>Public</v>
      </c>
      <c r="F85" s="2">
        <v>5070</v>
      </c>
      <c r="G85" s="2">
        <v>1794</v>
      </c>
      <c r="H85" s="13">
        <v>2.8260869565217392</v>
      </c>
      <c r="I85" s="13"/>
      <c r="BA85">
        <v>84</v>
      </c>
      <c r="BB85" s="12" t="s">
        <v>150</v>
      </c>
      <c r="BD85" t="s">
        <v>33</v>
      </c>
      <c r="BE85" t="s">
        <v>135</v>
      </c>
      <c r="BF85" t="s">
        <v>64</v>
      </c>
      <c r="BG85">
        <v>0</v>
      </c>
      <c r="BH85">
        <v>0</v>
      </c>
      <c r="BI85">
        <v>0</v>
      </c>
      <c r="BJ85">
        <v>4150</v>
      </c>
      <c r="BK85">
        <v>550</v>
      </c>
      <c r="BL85">
        <v>470</v>
      </c>
      <c r="BM85">
        <v>1350</v>
      </c>
      <c r="BN85">
        <v>0</v>
      </c>
      <c r="BO85">
        <v>0</v>
      </c>
      <c r="BP85">
        <v>1000</v>
      </c>
      <c r="BQ85">
        <f>SUM(SimpleDashData810[[#This Row],[Convayance]:[Misc]])</f>
        <v>7520</v>
      </c>
      <c r="BR85">
        <v>3099</v>
      </c>
      <c r="BS85">
        <v>0</v>
      </c>
      <c r="BT85">
        <v>0</v>
      </c>
      <c r="BU85">
        <f>SUM(SimpleDashData810[[#This Row],[Male]:[Child]])</f>
        <v>3099</v>
      </c>
      <c r="BZ85">
        <f>SimpleDashData810[[#This Row],[Total Expense]]/SimpleDashData810[[#This Row],[Total Patients]]</f>
        <v>2.4265892223297838</v>
      </c>
      <c r="CA85">
        <v>0</v>
      </c>
    </row>
    <row r="86" spans="1:79" x14ac:dyDescent="0.3">
      <c r="A86">
        <v>75</v>
      </c>
      <c r="B86" t="str">
        <v>QCNM Buner Central Prison</v>
      </c>
      <c r="C86" t="str">
        <v>Trust Act</v>
      </c>
      <c r="D86" t="str">
        <v>Capital Region</v>
      </c>
      <c r="E86" t="str">
        <v>Prison</v>
      </c>
      <c r="F86" s="2">
        <v>5000</v>
      </c>
      <c r="G86" s="2">
        <v>2120</v>
      </c>
      <c r="H86" s="13">
        <v>2.358490566037736</v>
      </c>
      <c r="I86" s="13"/>
      <c r="BA86">
        <v>85</v>
      </c>
      <c r="BB86" s="12" t="s">
        <v>151</v>
      </c>
      <c r="BD86" t="s">
        <v>33</v>
      </c>
      <c r="BE86" t="s">
        <v>135</v>
      </c>
      <c r="BF86" t="s">
        <v>64</v>
      </c>
      <c r="BG86">
        <v>1000</v>
      </c>
      <c r="BH86">
        <v>0</v>
      </c>
      <c r="BI86">
        <v>1500</v>
      </c>
      <c r="BJ86">
        <v>0</v>
      </c>
      <c r="BK86">
        <v>130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f>SUM(SimpleDashData810[[#This Row],[Convayance]:[Misc]])</f>
        <v>2630</v>
      </c>
      <c r="BR86">
        <v>3277</v>
      </c>
      <c r="BS86">
        <v>0</v>
      </c>
      <c r="BT86">
        <v>0</v>
      </c>
      <c r="BU86">
        <f>SUM(SimpleDashData810[[#This Row],[Male]:[Child]])</f>
        <v>3277</v>
      </c>
      <c r="BZ86">
        <f>SimpleDashData810[[#This Row],[Total Expense]]/SimpleDashData810[[#This Row],[Total Patients]]</f>
        <v>0.80256332010985654</v>
      </c>
      <c r="CA86">
        <v>0</v>
      </c>
    </row>
    <row r="87" spans="1:79" x14ac:dyDescent="0.3">
      <c r="A87">
        <v>76</v>
      </c>
      <c r="B87" t="str">
        <v>QCNM Lodhran, District Jail</v>
      </c>
      <c r="C87" t="str">
        <v>Trust Act</v>
      </c>
      <c r="D87" t="str">
        <v>South &amp; North Punjab Region</v>
      </c>
      <c r="E87" t="str">
        <v>Prison</v>
      </c>
      <c r="F87" s="2">
        <v>4980</v>
      </c>
      <c r="G87" s="2">
        <v>2045</v>
      </c>
      <c r="H87" s="13">
        <v>2.4352078239608801</v>
      </c>
      <c r="I87" s="13"/>
      <c r="BA87">
        <v>86</v>
      </c>
      <c r="BB87" s="12" t="s">
        <v>152</v>
      </c>
      <c r="BD87" t="s">
        <v>33</v>
      </c>
      <c r="BE87" t="s">
        <v>135</v>
      </c>
      <c r="BF87" t="s">
        <v>64</v>
      </c>
      <c r="BG87">
        <v>2850</v>
      </c>
      <c r="BH87">
        <v>0</v>
      </c>
      <c r="BI87">
        <v>0</v>
      </c>
      <c r="BJ87">
        <v>0</v>
      </c>
      <c r="BK87">
        <v>95</v>
      </c>
      <c r="BL87">
        <v>0</v>
      </c>
      <c r="BM87">
        <v>0</v>
      </c>
      <c r="BN87">
        <v>0</v>
      </c>
      <c r="BO87">
        <v>0</v>
      </c>
      <c r="BP87">
        <v>0</v>
      </c>
      <c r="BQ87">
        <f>SUM(SimpleDashData810[[#This Row],[Convayance]:[Misc]])</f>
        <v>2945</v>
      </c>
      <c r="BR87">
        <v>516</v>
      </c>
      <c r="BS87">
        <v>35</v>
      </c>
      <c r="BT87">
        <v>28</v>
      </c>
      <c r="BU87">
        <f>SUM(SimpleDashData810[[#This Row],[Male]:[Child]])</f>
        <v>579</v>
      </c>
      <c r="BZ87">
        <f>SimpleDashData810[[#This Row],[Total Expense]]/SimpleDashData810[[#This Row],[Total Patients]]</f>
        <v>5.0863557858376511</v>
      </c>
      <c r="CA87">
        <v>0</v>
      </c>
    </row>
    <row r="88" spans="1:79" x14ac:dyDescent="0.3">
      <c r="A88">
        <v>77</v>
      </c>
      <c r="B88" t="str">
        <v>QCNM Skardu District Jail</v>
      </c>
      <c r="C88" t="str">
        <v>U/S 42</v>
      </c>
      <c r="D88" t="str">
        <v>Capital Region</v>
      </c>
      <c r="E88" t="str">
        <v>Prison</v>
      </c>
      <c r="F88" s="2">
        <v>4850</v>
      </c>
      <c r="G88" s="2">
        <v>895</v>
      </c>
      <c r="H88" s="13">
        <v>5.4189944134078214</v>
      </c>
      <c r="I88" s="13"/>
      <c r="BA88">
        <v>87</v>
      </c>
      <c r="BB88" s="12" t="s">
        <v>153</v>
      </c>
      <c r="BD88" t="s">
        <v>33</v>
      </c>
      <c r="BE88" t="s">
        <v>135</v>
      </c>
      <c r="BF88" t="s">
        <v>64</v>
      </c>
      <c r="BG88">
        <v>0</v>
      </c>
      <c r="BH88">
        <v>0</v>
      </c>
      <c r="BI88">
        <v>13500</v>
      </c>
      <c r="BJ88">
        <v>0</v>
      </c>
      <c r="BK88">
        <v>100</v>
      </c>
      <c r="BL88">
        <v>0</v>
      </c>
      <c r="BM88">
        <v>510</v>
      </c>
      <c r="BN88">
        <v>1000</v>
      </c>
      <c r="BO88">
        <v>0</v>
      </c>
      <c r="BP88">
        <v>0</v>
      </c>
      <c r="BQ88">
        <f>SUM(SimpleDashData810[[#This Row],[Convayance]:[Misc]])</f>
        <v>15110</v>
      </c>
      <c r="BR88">
        <v>2531</v>
      </c>
      <c r="BS88">
        <v>18</v>
      </c>
      <c r="BT88">
        <v>36</v>
      </c>
      <c r="BU88">
        <f>SUM(SimpleDashData810[[#This Row],[Male]:[Child]])</f>
        <v>2585</v>
      </c>
      <c r="BZ88">
        <f>SimpleDashData810[[#This Row],[Total Expense]]/SimpleDashData810[[#This Row],[Total Patients]]</f>
        <v>5.8452611218568666</v>
      </c>
      <c r="CA88">
        <v>0</v>
      </c>
    </row>
    <row r="89" spans="1:79" x14ac:dyDescent="0.3">
      <c r="A89">
        <v>78</v>
      </c>
      <c r="B89" t="str">
        <v>QCNM Mirpur khas CJ Jail</v>
      </c>
      <c r="C89" t="str">
        <v>Trust Act</v>
      </c>
      <c r="D89" t="str">
        <v>Sindh, Balochistan &amp; AJK Region</v>
      </c>
      <c r="E89" t="str">
        <v>Prison</v>
      </c>
      <c r="F89" s="2">
        <v>4790</v>
      </c>
      <c r="G89" s="2">
        <v>2042</v>
      </c>
      <c r="H89" s="13">
        <v>2.3457394711067581</v>
      </c>
      <c r="I89" s="13"/>
      <c r="BA89">
        <v>88</v>
      </c>
      <c r="BB89" s="12" t="s">
        <v>154</v>
      </c>
      <c r="BD89" t="s">
        <v>33</v>
      </c>
      <c r="BE89" t="s">
        <v>135</v>
      </c>
      <c r="BF89" t="s">
        <v>64</v>
      </c>
      <c r="BG89">
        <v>0</v>
      </c>
      <c r="BH89">
        <v>0</v>
      </c>
      <c r="BI89">
        <v>4860</v>
      </c>
      <c r="BJ89">
        <v>300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f>SUM(SimpleDashData810[[#This Row],[Convayance]:[Misc]])</f>
        <v>5160</v>
      </c>
      <c r="BR89">
        <v>2310</v>
      </c>
      <c r="BS89">
        <v>0</v>
      </c>
      <c r="BT89">
        <v>0</v>
      </c>
      <c r="BU89">
        <f>SUM(SimpleDashData810[[#This Row],[Male]:[Child]])</f>
        <v>2310</v>
      </c>
      <c r="BZ89">
        <f>SimpleDashData810[[#This Row],[Total Expense]]/SimpleDashData810[[#This Row],[Total Patients]]</f>
        <v>2.2337662337662336</v>
      </c>
      <c r="CA89">
        <v>0</v>
      </c>
    </row>
    <row r="90" spans="1:79" x14ac:dyDescent="0.3">
      <c r="A90">
        <v>79</v>
      </c>
      <c r="B90" t="str">
        <v>QCNM Mianwali, Central Jail</v>
      </c>
      <c r="C90" t="str">
        <v>Trust Act</v>
      </c>
      <c r="D90" t="str">
        <v>South &amp; North Punjab Region</v>
      </c>
      <c r="E90" t="str">
        <v>Prison</v>
      </c>
      <c r="F90" s="2">
        <v>4725</v>
      </c>
      <c r="G90" s="2">
        <v>2754</v>
      </c>
      <c r="H90" s="13">
        <v>1.7156862745098038</v>
      </c>
      <c r="I90" s="13"/>
      <c r="BA90">
        <v>89</v>
      </c>
      <c r="BB90" s="12" t="s">
        <v>155</v>
      </c>
      <c r="BD90" t="s">
        <v>33</v>
      </c>
      <c r="BE90" t="s">
        <v>135</v>
      </c>
      <c r="BF90" t="s">
        <v>64</v>
      </c>
      <c r="BG90">
        <v>0</v>
      </c>
      <c r="BH90">
        <v>0</v>
      </c>
      <c r="BI90">
        <v>2800</v>
      </c>
      <c r="BJ90">
        <v>600</v>
      </c>
      <c r="BK90">
        <v>0</v>
      </c>
      <c r="BL90">
        <v>2850</v>
      </c>
      <c r="BM90">
        <v>0</v>
      </c>
      <c r="BN90">
        <v>0</v>
      </c>
      <c r="BO90">
        <v>0</v>
      </c>
      <c r="BP90">
        <v>0</v>
      </c>
      <c r="BQ90">
        <f>SUM(SimpleDashData810[[#This Row],[Convayance]:[Misc]])</f>
        <v>6250</v>
      </c>
      <c r="BR90">
        <v>2717</v>
      </c>
      <c r="BS90">
        <v>5</v>
      </c>
      <c r="BT90">
        <v>3</v>
      </c>
      <c r="BU90">
        <f>SUM(SimpleDashData810[[#This Row],[Male]:[Child]])</f>
        <v>2725</v>
      </c>
      <c r="BZ90">
        <f>SimpleDashData810[[#This Row],[Total Expense]]/SimpleDashData810[[#This Row],[Total Patients]]</f>
        <v>2.2935779816513762</v>
      </c>
      <c r="CA90">
        <v>0</v>
      </c>
    </row>
    <row r="91" spans="1:79" x14ac:dyDescent="0.3">
      <c r="A91">
        <v>80</v>
      </c>
      <c r="B91" t="str">
        <v>QCNM Swabi, Sub Jail</v>
      </c>
      <c r="C91" t="str">
        <v>Trust Act</v>
      </c>
      <c r="D91" t="str">
        <v>Capital Region</v>
      </c>
      <c r="E91" t="str">
        <v>Prison</v>
      </c>
      <c r="F91" s="2">
        <v>4610</v>
      </c>
      <c r="G91" s="2">
        <v>1261</v>
      </c>
      <c r="H91" s="13">
        <v>3.655828707375099</v>
      </c>
      <c r="I91" s="13"/>
      <c r="BA91">
        <v>90</v>
      </c>
      <c r="BB91" s="12" t="s">
        <v>156</v>
      </c>
      <c r="BD91" t="s">
        <v>33</v>
      </c>
      <c r="BE91" t="s">
        <v>135</v>
      </c>
      <c r="BF91" t="s">
        <v>64</v>
      </c>
      <c r="BG91">
        <v>1000</v>
      </c>
      <c r="BH91">
        <v>0</v>
      </c>
      <c r="BI91">
        <v>1540</v>
      </c>
      <c r="BJ91">
        <v>500</v>
      </c>
      <c r="BK91">
        <v>100</v>
      </c>
      <c r="BL91">
        <v>0</v>
      </c>
      <c r="BM91">
        <v>80</v>
      </c>
      <c r="BN91">
        <v>0</v>
      </c>
      <c r="BO91">
        <v>0</v>
      </c>
      <c r="BP91">
        <v>0</v>
      </c>
      <c r="BQ91">
        <f>SUM(SimpleDashData810[[#This Row],[Convayance]:[Misc]])</f>
        <v>3220</v>
      </c>
      <c r="BR91">
        <v>1272</v>
      </c>
      <c r="BS91">
        <v>0</v>
      </c>
      <c r="BT91">
        <v>0</v>
      </c>
      <c r="BU91">
        <f>SUM(SimpleDashData810[[#This Row],[Male]:[Child]])</f>
        <v>1272</v>
      </c>
      <c r="BZ91">
        <f>SimpleDashData810[[#This Row],[Total Expense]]/SimpleDashData810[[#This Row],[Total Patients]]</f>
        <v>2.5314465408805034</v>
      </c>
      <c r="CA91">
        <v>0</v>
      </c>
    </row>
    <row r="92" spans="1:79" x14ac:dyDescent="0.3">
      <c r="A92">
        <v>81</v>
      </c>
      <c r="B92" t="str">
        <v>QCNM Faisalabad, GCU (Old Campus)</v>
      </c>
      <c r="C92" t="str">
        <v>Trust Act</v>
      </c>
      <c r="D92" t="str">
        <v>Central Punjab Region</v>
      </c>
      <c r="E92" t="str">
        <v>Public</v>
      </c>
      <c r="F92" s="2">
        <v>4391</v>
      </c>
      <c r="G92" s="2">
        <v>595</v>
      </c>
      <c r="H92" s="13">
        <v>7.3798319327731097</v>
      </c>
      <c r="I92" s="13"/>
      <c r="BA92">
        <v>91</v>
      </c>
      <c r="BB92" s="12" t="s">
        <v>157</v>
      </c>
      <c r="BD92" t="s">
        <v>33</v>
      </c>
      <c r="BE92" t="s">
        <v>135</v>
      </c>
      <c r="BF92" t="s">
        <v>64</v>
      </c>
      <c r="BG92">
        <v>1000</v>
      </c>
      <c r="BH92">
        <v>0</v>
      </c>
      <c r="BI92">
        <v>8200</v>
      </c>
      <c r="BJ92">
        <v>570</v>
      </c>
      <c r="BK92">
        <v>0</v>
      </c>
      <c r="BL92">
        <v>0</v>
      </c>
      <c r="BM92">
        <v>170</v>
      </c>
      <c r="BN92">
        <v>0</v>
      </c>
      <c r="BO92">
        <v>0</v>
      </c>
      <c r="BP92">
        <v>0</v>
      </c>
      <c r="BQ92">
        <f>SUM(SimpleDashData810[[#This Row],[Convayance]:[Misc]])</f>
        <v>9940</v>
      </c>
      <c r="BR92">
        <v>2445</v>
      </c>
      <c r="BS92">
        <v>0</v>
      </c>
      <c r="BT92">
        <v>0</v>
      </c>
      <c r="BU92">
        <f>SUM(SimpleDashData810[[#This Row],[Male]:[Child]])</f>
        <v>2445</v>
      </c>
      <c r="BZ92">
        <f>SimpleDashData810[[#This Row],[Total Expense]]/SimpleDashData810[[#This Row],[Total Patients]]</f>
        <v>4.0654396728016362</v>
      </c>
      <c r="CA92">
        <v>0</v>
      </c>
    </row>
    <row r="93" spans="1:79" x14ac:dyDescent="0.3">
      <c r="A93">
        <v>82</v>
      </c>
      <c r="B93" t="str">
        <v>QCNM Jehlum, District Jail</v>
      </c>
      <c r="C93" t="str">
        <v>Trust Act</v>
      </c>
      <c r="D93" t="str">
        <v>South &amp; North Punjab Region</v>
      </c>
      <c r="E93" t="str">
        <v>Prison</v>
      </c>
      <c r="F93" s="2">
        <v>4380</v>
      </c>
      <c r="G93" s="2">
        <v>1674</v>
      </c>
      <c r="H93" s="13">
        <v>2.6164874551971327</v>
      </c>
      <c r="I93" s="13"/>
      <c r="BA93">
        <v>92</v>
      </c>
      <c r="BB93" s="12" t="s">
        <v>158</v>
      </c>
      <c r="BD93" t="s">
        <v>33</v>
      </c>
      <c r="BE93" t="s">
        <v>135</v>
      </c>
      <c r="BF93" t="s">
        <v>64</v>
      </c>
      <c r="BG93">
        <v>0</v>
      </c>
      <c r="BH93">
        <v>1000</v>
      </c>
      <c r="BI93">
        <v>7420</v>
      </c>
      <c r="BJ93">
        <v>560</v>
      </c>
      <c r="BK93">
        <v>540</v>
      </c>
      <c r="BL93">
        <v>0</v>
      </c>
      <c r="BM93">
        <v>780</v>
      </c>
      <c r="BN93">
        <v>0</v>
      </c>
      <c r="BO93">
        <v>160</v>
      </c>
      <c r="BP93">
        <v>0</v>
      </c>
      <c r="BQ93">
        <f>SUM(SimpleDashData810[[#This Row],[Convayance]:[Misc]])</f>
        <v>10460</v>
      </c>
      <c r="BR93">
        <v>2860</v>
      </c>
      <c r="BS93">
        <v>0</v>
      </c>
      <c r="BT93">
        <v>0</v>
      </c>
      <c r="BU93">
        <f>SUM(SimpleDashData810[[#This Row],[Male]:[Child]])</f>
        <v>2860</v>
      </c>
      <c r="BZ93">
        <f>SimpleDashData810[[#This Row],[Total Expense]]/SimpleDashData810[[#This Row],[Total Patients]]</f>
        <v>3.6573426573426575</v>
      </c>
      <c r="CA93">
        <v>0</v>
      </c>
    </row>
    <row r="94" spans="1:79" x14ac:dyDescent="0.3">
      <c r="A94">
        <v>83</v>
      </c>
      <c r="B94" t="str">
        <v>QCNM Rajanpur, Distrit jail</v>
      </c>
      <c r="C94" t="str">
        <v>Trust Act</v>
      </c>
      <c r="D94" t="str">
        <v>South &amp; North Punjab Region</v>
      </c>
      <c r="E94" t="str">
        <v>Prison</v>
      </c>
      <c r="F94" s="2">
        <v>4350</v>
      </c>
      <c r="G94" s="2">
        <v>1735</v>
      </c>
      <c r="H94" s="13">
        <v>2.5072046109510087</v>
      </c>
      <c r="I94" s="13"/>
      <c r="BA94">
        <v>93</v>
      </c>
      <c r="BB94" s="12" t="s">
        <v>159</v>
      </c>
      <c r="BD94" t="s">
        <v>33</v>
      </c>
      <c r="BE94" t="s">
        <v>135</v>
      </c>
      <c r="BF94" t="s">
        <v>64</v>
      </c>
      <c r="BG94">
        <v>2000</v>
      </c>
      <c r="BH94">
        <v>1000</v>
      </c>
      <c r="BI94">
        <v>0</v>
      </c>
      <c r="BJ94">
        <v>560</v>
      </c>
      <c r="BK94">
        <v>360</v>
      </c>
      <c r="BL94">
        <v>0</v>
      </c>
      <c r="BM94">
        <v>1060</v>
      </c>
      <c r="BN94">
        <v>0</v>
      </c>
      <c r="BO94">
        <v>0</v>
      </c>
      <c r="BP94">
        <v>0</v>
      </c>
      <c r="BQ94">
        <f>SUM(SimpleDashData810[[#This Row],[Convayance]:[Misc]])</f>
        <v>4980</v>
      </c>
      <c r="BR94">
        <v>2045</v>
      </c>
      <c r="BS94">
        <v>0</v>
      </c>
      <c r="BT94">
        <v>0</v>
      </c>
      <c r="BU94">
        <f>SUM(SimpleDashData810[[#This Row],[Male]:[Child]])</f>
        <v>2045</v>
      </c>
      <c r="BZ94">
        <f>SimpleDashData810[[#This Row],[Total Expense]]/SimpleDashData810[[#This Row],[Total Patients]]</f>
        <v>2.4352078239608801</v>
      </c>
      <c r="CA94">
        <v>0</v>
      </c>
    </row>
    <row r="95" spans="1:79" x14ac:dyDescent="0.3">
      <c r="A95">
        <v>84</v>
      </c>
      <c r="B95" t="str">
        <v>QCNM University of Okara</v>
      </c>
      <c r="C95" t="str">
        <v>Trust Act</v>
      </c>
      <c r="D95" t="str">
        <v>South &amp; North Punjab Region</v>
      </c>
      <c r="E95" t="str">
        <v>Public</v>
      </c>
      <c r="F95" s="2">
        <v>4210</v>
      </c>
      <c r="G95" s="2">
        <v>1932</v>
      </c>
      <c r="H95" s="13">
        <v>2.179089026915114</v>
      </c>
      <c r="I95" s="13"/>
      <c r="BA95">
        <v>94</v>
      </c>
      <c r="BB95" s="12" t="s">
        <v>160</v>
      </c>
      <c r="BD95" t="s">
        <v>33</v>
      </c>
      <c r="BE95" t="s">
        <v>135</v>
      </c>
      <c r="BF95" t="s">
        <v>64</v>
      </c>
      <c r="BG95">
        <v>0</v>
      </c>
      <c r="BH95">
        <v>0</v>
      </c>
      <c r="BI95">
        <v>6450</v>
      </c>
      <c r="BJ95">
        <v>545</v>
      </c>
      <c r="BK95">
        <v>55</v>
      </c>
      <c r="BL95">
        <v>0</v>
      </c>
      <c r="BM95">
        <v>380</v>
      </c>
      <c r="BN95">
        <v>1000</v>
      </c>
      <c r="BO95">
        <v>0</v>
      </c>
      <c r="BP95">
        <v>0</v>
      </c>
      <c r="BQ95">
        <f>SUM(SimpleDashData810[[#This Row],[Convayance]:[Misc]])</f>
        <v>8430</v>
      </c>
      <c r="BR95">
        <v>1646</v>
      </c>
      <c r="BS95">
        <v>0</v>
      </c>
      <c r="BT95">
        <v>0</v>
      </c>
      <c r="BU95">
        <f>SUM(SimpleDashData810[[#This Row],[Male]:[Child]])</f>
        <v>1646</v>
      </c>
      <c r="BZ95">
        <f>SimpleDashData810[[#This Row],[Total Expense]]/SimpleDashData810[[#This Row],[Total Patients]]</f>
        <v>5.1215066828675573</v>
      </c>
      <c r="CA95">
        <v>0</v>
      </c>
    </row>
    <row r="96" spans="1:79" x14ac:dyDescent="0.3">
      <c r="A96">
        <v>85</v>
      </c>
      <c r="B96" t="str">
        <v>QCNM Charsadda, Sub Jail</v>
      </c>
      <c r="C96" t="str">
        <v>Trust Act</v>
      </c>
      <c r="D96" t="str">
        <v>Capital Region</v>
      </c>
      <c r="E96" t="str">
        <v>Prison</v>
      </c>
      <c r="F96" s="2">
        <v>3860</v>
      </c>
      <c r="G96" s="2">
        <v>2107</v>
      </c>
      <c r="H96" s="13">
        <v>1.8319886093972473</v>
      </c>
      <c r="I96" s="13"/>
      <c r="BA96">
        <v>95</v>
      </c>
      <c r="BB96" s="12" t="s">
        <v>161</v>
      </c>
      <c r="BD96" t="s">
        <v>33</v>
      </c>
      <c r="BE96" t="s">
        <v>135</v>
      </c>
      <c r="BF96" t="s">
        <v>64</v>
      </c>
      <c r="BG96">
        <v>970</v>
      </c>
      <c r="BH96">
        <v>0</v>
      </c>
      <c r="BI96">
        <v>6210</v>
      </c>
      <c r="BJ96">
        <v>560</v>
      </c>
      <c r="BK96">
        <v>290</v>
      </c>
      <c r="BL96">
        <v>0</v>
      </c>
      <c r="BM96">
        <v>290</v>
      </c>
      <c r="BN96">
        <v>0</v>
      </c>
      <c r="BO96">
        <v>0</v>
      </c>
      <c r="BP96">
        <v>0</v>
      </c>
      <c r="BQ96">
        <f>SUM(SimpleDashData810[[#This Row],[Convayance]:[Misc]])</f>
        <v>8320</v>
      </c>
      <c r="BR96">
        <v>2220</v>
      </c>
      <c r="BS96">
        <v>0</v>
      </c>
      <c r="BT96">
        <v>0</v>
      </c>
      <c r="BU96">
        <f>SUM(SimpleDashData810[[#This Row],[Male]:[Child]])</f>
        <v>2220</v>
      </c>
      <c r="BZ96">
        <f>SimpleDashData810[[#This Row],[Total Expense]]/SimpleDashData810[[#This Row],[Total Patients]]</f>
        <v>3.7477477477477477</v>
      </c>
      <c r="CA96">
        <v>0</v>
      </c>
    </row>
    <row r="97" spans="1:79" x14ac:dyDescent="0.3">
      <c r="A97">
        <v>86</v>
      </c>
      <c r="B97" t="str">
        <v xml:space="preserve">QCNM Gujrat, HK Sardar Ali </v>
      </c>
      <c r="C97" t="str">
        <v>Trust Act</v>
      </c>
      <c r="D97" t="str">
        <v>Central Punjab Region</v>
      </c>
      <c r="E97" t="str">
        <v>Public</v>
      </c>
      <c r="F97" s="2">
        <v>3515</v>
      </c>
      <c r="G97" s="2">
        <v>1540</v>
      </c>
      <c r="H97" s="13">
        <v>2.2824675324675323</v>
      </c>
      <c r="I97" s="13"/>
      <c r="BA97">
        <v>96</v>
      </c>
      <c r="BB97" s="12" t="s">
        <v>162</v>
      </c>
      <c r="BD97" t="s">
        <v>33</v>
      </c>
      <c r="BE97" t="s">
        <v>135</v>
      </c>
      <c r="BF97" t="s">
        <v>64</v>
      </c>
      <c r="BG97">
        <v>1415</v>
      </c>
      <c r="BH97">
        <v>0</v>
      </c>
      <c r="BI97">
        <v>0</v>
      </c>
      <c r="BJ97">
        <v>560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f>SUM(SimpleDashData810[[#This Row],[Convayance]:[Misc]])</f>
        <v>1975</v>
      </c>
      <c r="BR97">
        <v>31</v>
      </c>
      <c r="BS97">
        <v>333</v>
      </c>
      <c r="BT97">
        <v>2</v>
      </c>
      <c r="BU97">
        <f>SUM(SimpleDashData810[[#This Row],[Male]:[Child]])</f>
        <v>366</v>
      </c>
      <c r="BZ97">
        <f>SimpleDashData810[[#This Row],[Total Expense]]/SimpleDashData810[[#This Row],[Total Patients]]</f>
        <v>5.3961748633879782</v>
      </c>
      <c r="CA97">
        <v>0</v>
      </c>
    </row>
    <row r="98" spans="1:79" x14ac:dyDescent="0.3">
      <c r="A98">
        <v>87</v>
      </c>
      <c r="B98" t="str">
        <v>QCNM Okara, District Jail</v>
      </c>
      <c r="C98" t="str">
        <v>Trust Act</v>
      </c>
      <c r="D98" t="str">
        <v>South &amp; North Punjab Region</v>
      </c>
      <c r="E98" t="str">
        <v>Prison</v>
      </c>
      <c r="F98" s="2">
        <v>3465</v>
      </c>
      <c r="G98" s="2">
        <v>2594</v>
      </c>
      <c r="H98" s="13">
        <v>1.3357748650732459</v>
      </c>
      <c r="I98" s="13"/>
      <c r="BA98">
        <v>97</v>
      </c>
      <c r="BB98" s="12" t="s">
        <v>163</v>
      </c>
      <c r="BD98" t="s">
        <v>33</v>
      </c>
      <c r="BE98" t="s">
        <v>135</v>
      </c>
      <c r="BF98" t="s">
        <v>64</v>
      </c>
      <c r="BG98">
        <v>500</v>
      </c>
      <c r="BH98">
        <v>0</v>
      </c>
      <c r="BI98">
        <v>4250</v>
      </c>
      <c r="BJ98">
        <v>475</v>
      </c>
      <c r="BK98">
        <v>300</v>
      </c>
      <c r="BL98">
        <v>0</v>
      </c>
      <c r="BM98">
        <v>280</v>
      </c>
      <c r="BN98">
        <v>0</v>
      </c>
      <c r="BO98">
        <v>0</v>
      </c>
      <c r="BP98">
        <v>0</v>
      </c>
      <c r="BQ98">
        <f>SUM(SimpleDashData810[[#This Row],[Convayance]:[Misc]])</f>
        <v>5805</v>
      </c>
      <c r="BR98">
        <v>1661</v>
      </c>
      <c r="BS98">
        <v>1</v>
      </c>
      <c r="BT98">
        <v>0</v>
      </c>
      <c r="BU98">
        <f>SUM(SimpleDashData810[[#This Row],[Male]:[Child]])</f>
        <v>1662</v>
      </c>
      <c r="BZ98">
        <f>SimpleDashData810[[#This Row],[Total Expense]]/SimpleDashData810[[#This Row],[Total Patients]]</f>
        <v>3.4927797833935017</v>
      </c>
      <c r="CA98">
        <v>0</v>
      </c>
    </row>
    <row r="99" spans="1:79" x14ac:dyDescent="0.3">
      <c r="A99">
        <v>88</v>
      </c>
      <c r="B99" t="str">
        <v>QCNM Lahore, Al Mustafa Trust</v>
      </c>
      <c r="C99" t="str">
        <v>Trust Act</v>
      </c>
      <c r="D99" t="str">
        <v>Central Punjab Region</v>
      </c>
      <c r="E99" t="str">
        <v>Public</v>
      </c>
      <c r="F99" s="2">
        <v>3380</v>
      </c>
      <c r="G99" s="2">
        <v>356</v>
      </c>
      <c r="H99" s="13">
        <v>9.4943820224719104</v>
      </c>
      <c r="I99" s="13"/>
      <c r="BA99">
        <v>98</v>
      </c>
      <c r="BB99" s="12" t="s">
        <v>164</v>
      </c>
      <c r="BD99" t="s">
        <v>33</v>
      </c>
      <c r="BE99" t="s">
        <v>135</v>
      </c>
      <c r="BF99" t="s">
        <v>64</v>
      </c>
      <c r="BG99">
        <v>0</v>
      </c>
      <c r="BH99">
        <v>0</v>
      </c>
      <c r="BI99">
        <v>1250</v>
      </c>
      <c r="BJ99">
        <v>575</v>
      </c>
      <c r="BK99">
        <v>370</v>
      </c>
      <c r="BL99">
        <v>0</v>
      </c>
      <c r="BM99">
        <v>0</v>
      </c>
      <c r="BN99">
        <v>270</v>
      </c>
      <c r="BO99">
        <v>1000</v>
      </c>
      <c r="BP99">
        <v>0</v>
      </c>
      <c r="BQ99">
        <f>SUM(SimpleDashData810[[#This Row],[Convayance]:[Misc]])</f>
        <v>3465</v>
      </c>
      <c r="BR99">
        <v>2594</v>
      </c>
      <c r="BS99">
        <v>0</v>
      </c>
      <c r="BT99">
        <v>0</v>
      </c>
      <c r="BU99">
        <f>SUM(SimpleDashData810[[#This Row],[Male]:[Child]])</f>
        <v>2594</v>
      </c>
      <c r="BZ99">
        <f>SimpleDashData810[[#This Row],[Total Expense]]/SimpleDashData810[[#This Row],[Total Patients]]</f>
        <v>1.3357748650732459</v>
      </c>
      <c r="CA99">
        <v>0</v>
      </c>
    </row>
    <row r="100" spans="1:79" x14ac:dyDescent="0.3">
      <c r="A100">
        <v>89</v>
      </c>
      <c r="B100" t="str">
        <v>QCNM Khuzdar, Central Jail</v>
      </c>
      <c r="C100" t="str">
        <v>U/S 42</v>
      </c>
      <c r="D100" t="str">
        <v>Sindh, Balochistan &amp; AJK Region</v>
      </c>
      <c r="E100" t="str">
        <v>Prison</v>
      </c>
      <c r="F100" s="2">
        <v>3330</v>
      </c>
      <c r="G100" s="2">
        <v>1649</v>
      </c>
      <c r="H100" s="13">
        <v>2.0194057004244996</v>
      </c>
      <c r="I100" s="13"/>
      <c r="BA100">
        <v>99</v>
      </c>
      <c r="BB100" s="12" t="s">
        <v>165</v>
      </c>
      <c r="BD100" t="s">
        <v>33</v>
      </c>
      <c r="BE100" t="s">
        <v>135</v>
      </c>
      <c r="BF100" t="s">
        <v>64</v>
      </c>
      <c r="BG100">
        <v>1000</v>
      </c>
      <c r="BH100">
        <v>0</v>
      </c>
      <c r="BI100">
        <v>0</v>
      </c>
      <c r="BJ100">
        <v>560</v>
      </c>
      <c r="BK100">
        <v>170</v>
      </c>
      <c r="BL100">
        <v>0</v>
      </c>
      <c r="BM100">
        <v>0</v>
      </c>
      <c r="BN100">
        <v>600</v>
      </c>
      <c r="BO100">
        <v>0</v>
      </c>
      <c r="BP100">
        <v>0</v>
      </c>
      <c r="BQ100">
        <f>SUM(SimpleDashData810[[#This Row],[Convayance]:[Misc]])</f>
        <v>2330</v>
      </c>
      <c r="BR100">
        <v>1375</v>
      </c>
      <c r="BS100">
        <v>0</v>
      </c>
      <c r="BT100">
        <v>0</v>
      </c>
      <c r="BU100">
        <f>SUM(SimpleDashData810[[#This Row],[Male]:[Child]])</f>
        <v>1375</v>
      </c>
      <c r="BZ100">
        <f>SimpleDashData810[[#This Row],[Total Expense]]/SimpleDashData810[[#This Row],[Total Patients]]</f>
        <v>1.6945454545454546</v>
      </c>
      <c r="CA100">
        <v>0</v>
      </c>
    </row>
    <row r="101" spans="1:79" x14ac:dyDescent="0.3">
      <c r="A101">
        <v>90</v>
      </c>
      <c r="B101" t="str">
        <v>QCNM Jhang, District Jail</v>
      </c>
      <c r="C101" t="str">
        <v>Trust Act</v>
      </c>
      <c r="D101" t="str">
        <v>Central Punjab Region</v>
      </c>
      <c r="E101" t="str">
        <v>Prison</v>
      </c>
      <c r="F101" s="2">
        <v>3325</v>
      </c>
      <c r="G101" s="2">
        <v>2801</v>
      </c>
      <c r="H101" s="13">
        <v>1.1870760442699035</v>
      </c>
      <c r="I101" s="13"/>
      <c r="BA101">
        <v>100</v>
      </c>
      <c r="BB101" s="12" t="s">
        <v>166</v>
      </c>
      <c r="BD101" t="s">
        <v>33</v>
      </c>
      <c r="BE101" t="s">
        <v>135</v>
      </c>
      <c r="BF101" t="s">
        <v>64</v>
      </c>
      <c r="BG101">
        <v>0</v>
      </c>
      <c r="BH101">
        <v>0</v>
      </c>
      <c r="BI101">
        <v>2340</v>
      </c>
      <c r="BJ101">
        <v>560</v>
      </c>
      <c r="BK101">
        <v>0</v>
      </c>
      <c r="BL101">
        <v>0</v>
      </c>
      <c r="BM101">
        <v>450</v>
      </c>
      <c r="BN101">
        <v>1000</v>
      </c>
      <c r="BO101">
        <v>0</v>
      </c>
      <c r="BP101">
        <v>0</v>
      </c>
      <c r="BQ101">
        <f>SUM(SimpleDashData810[[#This Row],[Convayance]:[Misc]])</f>
        <v>4350</v>
      </c>
      <c r="BR101">
        <v>1707</v>
      </c>
      <c r="BS101">
        <v>15</v>
      </c>
      <c r="BT101">
        <v>13</v>
      </c>
      <c r="BU101">
        <f>SUM(SimpleDashData810[[#This Row],[Male]:[Child]])</f>
        <v>1735</v>
      </c>
      <c r="BZ101">
        <f>SimpleDashData810[[#This Row],[Total Expense]]/SimpleDashData810[[#This Row],[Total Patients]]</f>
        <v>2.5072046109510087</v>
      </c>
      <c r="CA101">
        <v>0</v>
      </c>
    </row>
    <row r="102" spans="1:79" x14ac:dyDescent="0.3">
      <c r="A102">
        <v>91</v>
      </c>
      <c r="B102" t="str">
        <v>QCNM D.G Khan, Central Jail</v>
      </c>
      <c r="C102" t="str">
        <v>Trust Act</v>
      </c>
      <c r="D102" t="str">
        <v>South &amp; North Punjab Region</v>
      </c>
      <c r="E102" t="str">
        <v>Prison</v>
      </c>
      <c r="F102" s="2">
        <v>3220</v>
      </c>
      <c r="G102" s="2">
        <v>1272</v>
      </c>
      <c r="H102" s="13">
        <v>2.5314465408805034</v>
      </c>
      <c r="I102" s="13"/>
      <c r="BA102">
        <v>101</v>
      </c>
      <c r="BB102" s="12" t="s">
        <v>167</v>
      </c>
      <c r="BD102" t="s">
        <v>33</v>
      </c>
      <c r="BE102" t="s">
        <v>135</v>
      </c>
      <c r="BF102" t="s">
        <v>64</v>
      </c>
      <c r="BG102">
        <v>0</v>
      </c>
      <c r="BH102">
        <v>0</v>
      </c>
      <c r="BI102">
        <v>5720</v>
      </c>
      <c r="BJ102">
        <v>460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f>SUM(SimpleDashData810[[#This Row],[Convayance]:[Misc]])</f>
        <v>6180</v>
      </c>
      <c r="BR102">
        <v>2880</v>
      </c>
      <c r="BS102">
        <v>0</v>
      </c>
      <c r="BT102">
        <v>0</v>
      </c>
      <c r="BU102">
        <f>SUM(SimpleDashData810[[#This Row],[Male]:[Child]])</f>
        <v>2880</v>
      </c>
      <c r="BZ102">
        <f>SimpleDashData810[[#This Row],[Total Expense]]/SimpleDashData810[[#This Row],[Total Patients]]</f>
        <v>2.1458333333333335</v>
      </c>
      <c r="CA102">
        <v>0</v>
      </c>
    </row>
    <row r="103" spans="1:79" x14ac:dyDescent="0.3">
      <c r="A103">
        <v>92</v>
      </c>
      <c r="B103" t="str">
        <v>QCNM PHQ Gilgit</v>
      </c>
      <c r="C103" t="str">
        <v>Trust Act</v>
      </c>
      <c r="D103" t="str">
        <v>Capital Region</v>
      </c>
      <c r="E103" t="str">
        <v>Public</v>
      </c>
      <c r="F103" s="2">
        <v>3160</v>
      </c>
      <c r="G103" s="2">
        <v>1321</v>
      </c>
      <c r="H103" s="13">
        <v>2.3921271763815293</v>
      </c>
      <c r="I103" s="13"/>
      <c r="BA103">
        <v>102</v>
      </c>
      <c r="BB103" s="12" t="s">
        <v>168</v>
      </c>
      <c r="BD103" t="s">
        <v>33</v>
      </c>
      <c r="BE103" t="s">
        <v>135</v>
      </c>
      <c r="BF103" t="s">
        <v>64</v>
      </c>
      <c r="BG103">
        <v>0</v>
      </c>
      <c r="BH103">
        <v>0</v>
      </c>
      <c r="BI103">
        <v>0</v>
      </c>
      <c r="BJ103">
        <v>495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f>SUM(SimpleDashData810[[#This Row],[Convayance]:[Misc]])</f>
        <v>495</v>
      </c>
      <c r="BR103">
        <v>3101</v>
      </c>
      <c r="BS103">
        <v>0</v>
      </c>
      <c r="BT103">
        <v>0</v>
      </c>
      <c r="BU103">
        <f>SUM(SimpleDashData810[[#This Row],[Male]:[Child]])</f>
        <v>3101</v>
      </c>
      <c r="BZ103">
        <f>SimpleDashData810[[#This Row],[Total Expense]]/SimpleDashData810[[#This Row],[Total Patients]]</f>
        <v>0.15962592712028378</v>
      </c>
      <c r="CA103">
        <v>0</v>
      </c>
    </row>
    <row r="104" spans="1:79" x14ac:dyDescent="0.3">
      <c r="A104">
        <v>93</v>
      </c>
      <c r="B104" t="str">
        <v>QCNM Bahawalpur, Central Jail</v>
      </c>
      <c r="C104" t="str">
        <v>Trust Act</v>
      </c>
      <c r="D104" t="str">
        <v>South &amp; North Punjab Region</v>
      </c>
      <c r="E104" t="str">
        <v>Prison</v>
      </c>
      <c r="F104" s="2">
        <v>2945</v>
      </c>
      <c r="G104" s="2">
        <v>579</v>
      </c>
      <c r="H104" s="13">
        <v>5.0863557858376511</v>
      </c>
      <c r="I104" s="13"/>
      <c r="BA104">
        <v>103</v>
      </c>
      <c r="BB104" s="12" t="s">
        <v>169</v>
      </c>
      <c r="BD104" t="s">
        <v>33</v>
      </c>
      <c r="BE104" t="s">
        <v>135</v>
      </c>
      <c r="BF104" t="s">
        <v>64</v>
      </c>
      <c r="BG104">
        <v>0</v>
      </c>
      <c r="BH104">
        <v>0</v>
      </c>
      <c r="BI104">
        <v>5320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100</v>
      </c>
      <c r="BP104">
        <v>0</v>
      </c>
      <c r="BQ104">
        <f>SUM(SimpleDashData810[[#This Row],[Convayance]:[Misc]])</f>
        <v>5420</v>
      </c>
      <c r="BR104">
        <v>2209</v>
      </c>
      <c r="BS104">
        <v>2</v>
      </c>
      <c r="BT104">
        <v>0</v>
      </c>
      <c r="BU104">
        <f>SUM(SimpleDashData810[[#This Row],[Male]:[Child]])</f>
        <v>2211</v>
      </c>
      <c r="BZ104">
        <f>SimpleDashData810[[#This Row],[Total Expense]]/SimpleDashData810[[#This Row],[Total Patients]]</f>
        <v>2.4513794663048394</v>
      </c>
      <c r="CA104">
        <v>0</v>
      </c>
    </row>
    <row r="105" spans="1:79" x14ac:dyDescent="0.3">
      <c r="A105">
        <v>94</v>
      </c>
      <c r="B105" t="str">
        <v>QCNM Central Jail Zohb</v>
      </c>
      <c r="C105" t="str">
        <v>U/S 42</v>
      </c>
      <c r="D105" t="str">
        <v>Sindh, Balochistan &amp; AJK Region</v>
      </c>
      <c r="E105" t="str">
        <v>Prison</v>
      </c>
      <c r="F105" s="2">
        <v>2900</v>
      </c>
      <c r="G105" s="2">
        <v>1184</v>
      </c>
      <c r="H105" s="13">
        <v>2.4493243243243241</v>
      </c>
      <c r="I105" s="13"/>
      <c r="BA105">
        <v>104</v>
      </c>
      <c r="BB105" s="12" t="s">
        <v>170</v>
      </c>
      <c r="BD105" t="s">
        <v>33</v>
      </c>
      <c r="BE105" t="s">
        <v>135</v>
      </c>
      <c r="BF105" t="s">
        <v>64</v>
      </c>
      <c r="BG105">
        <v>1100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f>SUM(SimpleDashData810[[#This Row],[Convayance]:[Misc]])</f>
        <v>1100</v>
      </c>
      <c r="BR105">
        <v>598</v>
      </c>
      <c r="BS105">
        <v>801</v>
      </c>
      <c r="BT105">
        <v>529</v>
      </c>
      <c r="BU105">
        <f>SUM(SimpleDashData810[[#This Row],[Male]:[Child]])</f>
        <v>1928</v>
      </c>
      <c r="BZ105">
        <f>SimpleDashData810[[#This Row],[Total Expense]]/SimpleDashData810[[#This Row],[Total Patients]]</f>
        <v>0.5705394190871369</v>
      </c>
      <c r="CA105">
        <v>0</v>
      </c>
    </row>
    <row r="106" spans="1:79" x14ac:dyDescent="0.3">
      <c r="A106">
        <v>95</v>
      </c>
      <c r="B106" t="str">
        <v>QCNM High Security Prison Mianwali</v>
      </c>
      <c r="C106" t="str">
        <v>Trust Act</v>
      </c>
      <c r="D106" t="str">
        <v>South &amp; North Punjab Region</v>
      </c>
      <c r="E106" t="str">
        <v>Prison</v>
      </c>
      <c r="F106" s="2">
        <v>2630</v>
      </c>
      <c r="G106" s="2">
        <v>3277</v>
      </c>
      <c r="H106" s="13">
        <v>0.80256332010985654</v>
      </c>
      <c r="I106" s="13"/>
      <c r="BA106">
        <v>105</v>
      </c>
      <c r="BB106" s="12" t="s">
        <v>171</v>
      </c>
      <c r="BD106" t="s">
        <v>33</v>
      </c>
      <c r="BE106" t="s">
        <v>172</v>
      </c>
      <c r="BF106" t="s">
        <v>35</v>
      </c>
      <c r="BG106">
        <v>0</v>
      </c>
      <c r="BH106">
        <v>2660</v>
      </c>
      <c r="BI106">
        <v>0</v>
      </c>
      <c r="BJ106">
        <v>0</v>
      </c>
      <c r="BK106">
        <v>535</v>
      </c>
      <c r="BL106">
        <v>4000</v>
      </c>
      <c r="BM106">
        <v>0</v>
      </c>
      <c r="BN106">
        <v>0</v>
      </c>
      <c r="BO106">
        <v>0</v>
      </c>
      <c r="BP106">
        <v>0</v>
      </c>
      <c r="BQ106">
        <f>SUM(SimpleDashData810[[#This Row],[Convayance]:[Misc]])</f>
        <v>7195</v>
      </c>
      <c r="BR106">
        <v>503</v>
      </c>
      <c r="BS106">
        <v>527</v>
      </c>
      <c r="BT106">
        <v>204</v>
      </c>
      <c r="BU106">
        <f>SUM(SimpleDashData810[[#This Row],[Male]:[Child]])</f>
        <v>1234</v>
      </c>
      <c r="BZ106">
        <f>SimpleDashData810[[#This Row],[Total Expense]]/SimpleDashData810[[#This Row],[Total Patients]]</f>
        <v>5.8306320907617506</v>
      </c>
      <c r="CA106">
        <v>0</v>
      </c>
    </row>
    <row r="107" spans="1:79" x14ac:dyDescent="0.3">
      <c r="A107">
        <v>96</v>
      </c>
      <c r="B107" t="str">
        <v>QCNM Lakki Marwat District Jail</v>
      </c>
      <c r="C107" t="str">
        <v>Trust Act</v>
      </c>
      <c r="D107" t="str">
        <v>Capital Region</v>
      </c>
      <c r="E107" t="str">
        <v>Prison</v>
      </c>
      <c r="F107" s="2">
        <v>2560</v>
      </c>
      <c r="G107" s="2">
        <v>1901</v>
      </c>
      <c r="H107" s="13">
        <v>1.3466596528143082</v>
      </c>
      <c r="I107" s="13"/>
      <c r="BA107">
        <v>106</v>
      </c>
      <c r="BB107" s="12" t="s">
        <v>173</v>
      </c>
      <c r="BD107" t="s">
        <v>33</v>
      </c>
      <c r="BE107" t="s">
        <v>172</v>
      </c>
      <c r="BF107" t="s">
        <v>35</v>
      </c>
      <c r="BG107">
        <v>5950</v>
      </c>
      <c r="BH107">
        <v>0</v>
      </c>
      <c r="BI107">
        <v>0</v>
      </c>
      <c r="BJ107">
        <v>2600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f>SUM(SimpleDashData810[[#This Row],[Convayance]:[Misc]])</f>
        <v>8550</v>
      </c>
      <c r="BR107">
        <v>635</v>
      </c>
      <c r="BS107">
        <v>461</v>
      </c>
      <c r="BT107">
        <v>236</v>
      </c>
      <c r="BU107">
        <f>SUM(SimpleDashData810[[#This Row],[Male]:[Child]])</f>
        <v>1332</v>
      </c>
      <c r="BZ107">
        <f>SimpleDashData810[[#This Row],[Total Expense]]/SimpleDashData810[[#This Row],[Total Patients]]</f>
        <v>6.4189189189189193</v>
      </c>
      <c r="CA107">
        <v>0</v>
      </c>
    </row>
    <row r="108" spans="1:79" x14ac:dyDescent="0.3">
      <c r="A108">
        <v>97</v>
      </c>
      <c r="B108" t="str">
        <v>QCNM Kohat, District Jail</v>
      </c>
      <c r="C108" t="str">
        <v>Trust Act</v>
      </c>
      <c r="D108" t="str">
        <v>Capital Region</v>
      </c>
      <c r="E108" t="str">
        <v>Prison</v>
      </c>
      <c r="F108" s="2">
        <v>2520</v>
      </c>
      <c r="G108" s="2">
        <v>2382</v>
      </c>
      <c r="H108" s="13">
        <v>1.0579345088161209</v>
      </c>
      <c r="I108" s="13"/>
      <c r="BA108">
        <v>107</v>
      </c>
      <c r="BB108" s="12" t="s">
        <v>174</v>
      </c>
      <c r="BD108" t="s">
        <v>33</v>
      </c>
      <c r="BE108" t="s">
        <v>172</v>
      </c>
      <c r="BF108" t="s">
        <v>35</v>
      </c>
      <c r="BG108">
        <v>5600</v>
      </c>
      <c r="BH108">
        <v>0</v>
      </c>
      <c r="BI108">
        <v>0</v>
      </c>
      <c r="BJ108">
        <v>0</v>
      </c>
      <c r="BK108">
        <v>0</v>
      </c>
      <c r="BL108">
        <v>480</v>
      </c>
      <c r="BM108">
        <v>0</v>
      </c>
      <c r="BN108">
        <v>0</v>
      </c>
      <c r="BO108">
        <v>0</v>
      </c>
      <c r="BP108">
        <v>3040</v>
      </c>
      <c r="BQ108">
        <f>SUM(SimpleDashData810[[#This Row],[Convayance]:[Misc]])</f>
        <v>9120</v>
      </c>
      <c r="BR108">
        <v>674</v>
      </c>
      <c r="BS108">
        <v>723</v>
      </c>
      <c r="BT108">
        <v>407</v>
      </c>
      <c r="BU108">
        <f>SUM(SimpleDashData810[[#This Row],[Male]:[Child]])</f>
        <v>1804</v>
      </c>
      <c r="BZ108">
        <f>SimpleDashData810[[#This Row],[Total Expense]]/SimpleDashData810[[#This Row],[Total Patients]]</f>
        <v>5.0554323725055434</v>
      </c>
      <c r="CA108">
        <v>0</v>
      </c>
    </row>
    <row r="109" spans="1:79" x14ac:dyDescent="0.3">
      <c r="A109">
        <v>98</v>
      </c>
      <c r="B109" t="str">
        <v>QCNM Pak Pattan, District Jail</v>
      </c>
      <c r="C109" t="str">
        <v>Trust Act</v>
      </c>
      <c r="D109" t="str">
        <v>South &amp; North Punjab Region</v>
      </c>
      <c r="E109" t="str">
        <v>Prison</v>
      </c>
      <c r="F109" s="2">
        <v>2330</v>
      </c>
      <c r="G109" s="2">
        <v>1375</v>
      </c>
      <c r="H109" s="13">
        <v>1.6945454545454546</v>
      </c>
      <c r="I109" s="13"/>
      <c r="BA109">
        <v>108</v>
      </c>
      <c r="BB109" s="12" t="s">
        <v>175</v>
      </c>
      <c r="BD109" t="s">
        <v>33</v>
      </c>
      <c r="BE109" t="s">
        <v>172</v>
      </c>
      <c r="BF109" t="s">
        <v>35</v>
      </c>
      <c r="BG109">
        <v>2350</v>
      </c>
      <c r="BH109">
        <v>0</v>
      </c>
      <c r="BI109">
        <v>0</v>
      </c>
      <c r="BJ109">
        <v>4000</v>
      </c>
      <c r="BK109">
        <v>0</v>
      </c>
      <c r="BL109">
        <v>300</v>
      </c>
      <c r="BM109">
        <v>0</v>
      </c>
      <c r="BN109">
        <v>0</v>
      </c>
      <c r="BO109">
        <v>0</v>
      </c>
      <c r="BP109">
        <v>0</v>
      </c>
      <c r="BQ109">
        <f>SUM(SimpleDashData810[[#This Row],[Convayance]:[Misc]])</f>
        <v>6650</v>
      </c>
      <c r="BR109">
        <v>215</v>
      </c>
      <c r="BS109">
        <v>442</v>
      </c>
      <c r="BT109">
        <v>201</v>
      </c>
      <c r="BU109">
        <f>SUM(SimpleDashData810[[#This Row],[Male]:[Child]])</f>
        <v>858</v>
      </c>
      <c r="BZ109">
        <f>SimpleDashData810[[#This Row],[Total Expense]]/SimpleDashData810[[#This Row],[Total Patients]]</f>
        <v>7.7505827505827503</v>
      </c>
      <c r="CA109">
        <v>0</v>
      </c>
    </row>
    <row r="110" spans="1:79" x14ac:dyDescent="0.3">
      <c r="A110">
        <v>99</v>
      </c>
      <c r="B110" t="str">
        <v>QCNM Central Jail Mach</v>
      </c>
      <c r="C110" t="str">
        <v>U/S 42</v>
      </c>
      <c r="D110" t="str">
        <v>Sindh, Balochistan &amp; AJK Region</v>
      </c>
      <c r="E110" t="str">
        <v>Prison</v>
      </c>
      <c r="F110" s="2">
        <v>2310</v>
      </c>
      <c r="G110" s="2">
        <v>861</v>
      </c>
      <c r="H110" s="13">
        <v>2.6829268292682928</v>
      </c>
      <c r="I110" s="13"/>
      <c r="BA110">
        <v>109</v>
      </c>
      <c r="BB110" s="12" t="s">
        <v>176</v>
      </c>
      <c r="BD110" t="s">
        <v>33</v>
      </c>
      <c r="BE110" t="s">
        <v>172</v>
      </c>
      <c r="BF110" t="s">
        <v>35</v>
      </c>
      <c r="BG110">
        <v>0</v>
      </c>
      <c r="BH110">
        <v>6750</v>
      </c>
      <c r="BI110">
        <v>0</v>
      </c>
      <c r="BJ110">
        <v>3440</v>
      </c>
      <c r="BK110">
        <v>0</v>
      </c>
      <c r="BL110">
        <v>0</v>
      </c>
      <c r="BM110">
        <v>0</v>
      </c>
      <c r="BN110">
        <v>1030</v>
      </c>
      <c r="BO110">
        <v>0</v>
      </c>
      <c r="BP110">
        <v>0</v>
      </c>
      <c r="BQ110">
        <f>SUM(SimpleDashData810[[#This Row],[Convayance]:[Misc]])</f>
        <v>11220</v>
      </c>
      <c r="BR110">
        <v>257</v>
      </c>
      <c r="BS110">
        <v>274</v>
      </c>
      <c r="BT110">
        <v>63</v>
      </c>
      <c r="BU110">
        <f>SUM(SimpleDashData810[[#This Row],[Male]:[Child]])</f>
        <v>594</v>
      </c>
      <c r="BZ110">
        <f>SimpleDashData810[[#This Row],[Total Expense]]/SimpleDashData810[[#This Row],[Total Patients]]</f>
        <v>18.888888888888889</v>
      </c>
      <c r="CA110">
        <v>0</v>
      </c>
    </row>
    <row r="111" spans="1:79" x14ac:dyDescent="0.3">
      <c r="A111">
        <v>100</v>
      </c>
      <c r="B111" t="str">
        <v>QCNM Haripur, Central Jail</v>
      </c>
      <c r="C111" t="str">
        <v>Trust Act</v>
      </c>
      <c r="D111" t="str">
        <v>Capital Region</v>
      </c>
      <c r="E111" t="str">
        <v>Prison</v>
      </c>
      <c r="F111" s="2">
        <v>2080</v>
      </c>
      <c r="G111" s="2">
        <v>1446</v>
      </c>
      <c r="H111" s="13">
        <v>1.4384508990318119</v>
      </c>
      <c r="I111" s="13"/>
      <c r="BA111">
        <v>110</v>
      </c>
      <c r="BB111" s="12" t="s">
        <v>177</v>
      </c>
      <c r="BD111" t="s">
        <v>33</v>
      </c>
      <c r="BE111" t="s">
        <v>172</v>
      </c>
      <c r="BF111" t="s">
        <v>35</v>
      </c>
      <c r="BG111">
        <v>4210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1570</v>
      </c>
      <c r="BO111">
        <v>0</v>
      </c>
      <c r="BP111">
        <v>0</v>
      </c>
      <c r="BQ111">
        <f>SUM(SimpleDashData810[[#This Row],[Convayance]:[Misc]])</f>
        <v>5780</v>
      </c>
      <c r="BR111">
        <v>371</v>
      </c>
      <c r="BS111">
        <v>391</v>
      </c>
      <c r="BT111">
        <v>147</v>
      </c>
      <c r="BU111">
        <f>SUM(SimpleDashData810[[#This Row],[Male]:[Child]])</f>
        <v>909</v>
      </c>
      <c r="BZ111">
        <f>SimpleDashData810[[#This Row],[Total Expense]]/SimpleDashData810[[#This Row],[Total Patients]]</f>
        <v>6.3586358635863585</v>
      </c>
      <c r="CA111">
        <v>0</v>
      </c>
    </row>
    <row r="112" spans="1:79" x14ac:dyDescent="0.3">
      <c r="A112">
        <v>101</v>
      </c>
      <c r="B112" t="str">
        <v>QCNM RHC Washbood</v>
      </c>
      <c r="C112" t="str">
        <v>U/S 42</v>
      </c>
      <c r="D112" t="str">
        <v>Sindh, Balochistan &amp; AJK Region</v>
      </c>
      <c r="E112" t="str">
        <v>Public</v>
      </c>
      <c r="F112" s="2">
        <v>2000</v>
      </c>
      <c r="G112" s="2">
        <v>651</v>
      </c>
      <c r="H112" s="13">
        <v>3.0721966205837172</v>
      </c>
      <c r="I112" s="13"/>
      <c r="BA112">
        <v>111</v>
      </c>
      <c r="BB112" s="12" t="s">
        <v>178</v>
      </c>
      <c r="BD112" t="s">
        <v>33</v>
      </c>
      <c r="BE112" t="s">
        <v>172</v>
      </c>
      <c r="BF112" t="s">
        <v>35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f>SUM(SimpleDashData810[[#This Row],[Convayance]:[Misc]])</f>
        <v>0</v>
      </c>
      <c r="BR112">
        <v>212</v>
      </c>
      <c r="BS112">
        <v>151</v>
      </c>
      <c r="BT112">
        <v>6</v>
      </c>
      <c r="BU112">
        <f>SUM(SimpleDashData810[[#This Row],[Male]:[Child]])</f>
        <v>369</v>
      </c>
      <c r="BZ112">
        <f>SimpleDashData810[[#This Row],[Total Expense]]/SimpleDashData810[[#This Row],[Total Patients]]</f>
        <v>0</v>
      </c>
      <c r="CA112">
        <v>0</v>
      </c>
    </row>
    <row r="113" spans="1:79" x14ac:dyDescent="0.3">
      <c r="A113">
        <v>102</v>
      </c>
      <c r="B113" t="str">
        <v>QCNM Muzaffargarh, District Jail</v>
      </c>
      <c r="C113" t="str">
        <v>Trust Act</v>
      </c>
      <c r="D113" t="str">
        <v>South &amp; North Punjab Region</v>
      </c>
      <c r="E113" t="str">
        <v>Prison</v>
      </c>
      <c r="F113" s="2">
        <v>1975</v>
      </c>
      <c r="G113" s="2">
        <v>366</v>
      </c>
      <c r="H113" s="13">
        <v>5.3961748633879782</v>
      </c>
      <c r="I113" s="13"/>
      <c r="BA113">
        <v>112</v>
      </c>
      <c r="BB113" s="12" t="s">
        <v>179</v>
      </c>
      <c r="BD113" t="s">
        <v>33</v>
      </c>
      <c r="BE113" t="s">
        <v>172</v>
      </c>
      <c r="BF113" t="s">
        <v>35</v>
      </c>
      <c r="BG113">
        <v>0</v>
      </c>
      <c r="BH113">
        <v>0</v>
      </c>
      <c r="BI113">
        <v>0</v>
      </c>
      <c r="BJ113">
        <v>6000</v>
      </c>
      <c r="BK113">
        <v>560</v>
      </c>
      <c r="BL113">
        <v>0</v>
      </c>
      <c r="BM113">
        <v>0</v>
      </c>
      <c r="BN113">
        <v>800</v>
      </c>
      <c r="BO113">
        <v>0</v>
      </c>
      <c r="BP113">
        <v>0</v>
      </c>
      <c r="BQ113">
        <f>SUM(SimpleDashData810[[#This Row],[Convayance]:[Misc]])</f>
        <v>7360</v>
      </c>
      <c r="BR113">
        <v>998</v>
      </c>
      <c r="BS113">
        <v>853</v>
      </c>
      <c r="BT113">
        <v>412</v>
      </c>
      <c r="BU113">
        <f>SUM(SimpleDashData810[[#This Row],[Male]:[Child]])</f>
        <v>2263</v>
      </c>
      <c r="BZ113">
        <f>SimpleDashData810[[#This Row],[Total Expense]]/SimpleDashData810[[#This Row],[Total Patients]]</f>
        <v>3.2523199292973928</v>
      </c>
      <c r="CA113">
        <v>0</v>
      </c>
    </row>
    <row r="114" spans="1:79" x14ac:dyDescent="0.3">
      <c r="A114">
        <v>103</v>
      </c>
      <c r="B114" t="str">
        <v>QCNM Ghizer, District Jail</v>
      </c>
      <c r="C114" t="str">
        <v>U/S 42</v>
      </c>
      <c r="D114" t="str">
        <v>Capital Region</v>
      </c>
      <c r="E114" t="str">
        <v>Prison</v>
      </c>
      <c r="F114" s="2">
        <v>1930</v>
      </c>
      <c r="G114" s="2">
        <v>697</v>
      </c>
      <c r="H114" s="13">
        <v>2.7690100430416069</v>
      </c>
      <c r="I114" s="13"/>
      <c r="BA114">
        <v>113</v>
      </c>
      <c r="BB114" s="12" t="s">
        <v>180</v>
      </c>
      <c r="BD114" t="s">
        <v>33</v>
      </c>
      <c r="BE114" t="s">
        <v>172</v>
      </c>
      <c r="BF114" t="s">
        <v>35</v>
      </c>
      <c r="BG114">
        <v>7780</v>
      </c>
      <c r="BH114">
        <v>1410</v>
      </c>
      <c r="BI114">
        <v>0</v>
      </c>
      <c r="BJ114">
        <v>0</v>
      </c>
      <c r="BK114">
        <v>390</v>
      </c>
      <c r="BL114">
        <v>0</v>
      </c>
      <c r="BM114">
        <v>0</v>
      </c>
      <c r="BN114">
        <v>1500</v>
      </c>
      <c r="BO114">
        <v>0</v>
      </c>
      <c r="BP114">
        <v>0</v>
      </c>
      <c r="BQ114">
        <f>SUM(SimpleDashData810[[#This Row],[Convayance]:[Misc]])</f>
        <v>11080</v>
      </c>
      <c r="BR114">
        <v>1317</v>
      </c>
      <c r="BS114">
        <v>403</v>
      </c>
      <c r="BT114">
        <v>315</v>
      </c>
      <c r="BU114">
        <f>SUM(SimpleDashData810[[#This Row],[Male]:[Child]])</f>
        <v>2035</v>
      </c>
      <c r="BZ114">
        <f>SimpleDashData810[[#This Row],[Total Expense]]/SimpleDashData810[[#This Row],[Total Patients]]</f>
        <v>5.4447174447174449</v>
      </c>
      <c r="CA114">
        <v>0</v>
      </c>
    </row>
    <row r="115" spans="1:79" x14ac:dyDescent="0.3">
      <c r="A115">
        <v>104</v>
      </c>
      <c r="B115" t="str">
        <v>QCNM University of Kotli</v>
      </c>
      <c r="C115" t="str">
        <v>Trust Act</v>
      </c>
      <c r="D115" t="str">
        <v>Sindh, Balochistan &amp; AJK Region</v>
      </c>
      <c r="E115" t="str">
        <v>Public</v>
      </c>
      <c r="F115" s="2">
        <v>1882</v>
      </c>
      <c r="G115" s="2">
        <v>1117</v>
      </c>
      <c r="H115" s="13">
        <v>1.684870188003581</v>
      </c>
      <c r="I115" s="13"/>
      <c r="BA115">
        <v>114</v>
      </c>
      <c r="BB115" s="12" t="s">
        <v>181</v>
      </c>
      <c r="BD115" t="s">
        <v>33</v>
      </c>
      <c r="BE115" t="s">
        <v>172</v>
      </c>
      <c r="BF115" t="s">
        <v>35</v>
      </c>
      <c r="BG115">
        <v>0</v>
      </c>
      <c r="BH115">
        <v>7500</v>
      </c>
      <c r="BI115">
        <v>0</v>
      </c>
      <c r="BJ115">
        <v>0</v>
      </c>
      <c r="BK115">
        <v>560</v>
      </c>
      <c r="BL115">
        <v>40</v>
      </c>
      <c r="BM115">
        <v>1240</v>
      </c>
      <c r="BN115">
        <v>790</v>
      </c>
      <c r="BO115">
        <v>0</v>
      </c>
      <c r="BP115">
        <v>0</v>
      </c>
      <c r="BQ115">
        <f>SUM(SimpleDashData810[[#This Row],[Convayance]:[Misc]])</f>
        <v>10130</v>
      </c>
      <c r="BR115">
        <v>292</v>
      </c>
      <c r="BS115">
        <v>115</v>
      </c>
      <c r="BT115">
        <v>36</v>
      </c>
      <c r="BU115">
        <f>SUM(SimpleDashData810[[#This Row],[Male]:[Child]])</f>
        <v>443</v>
      </c>
      <c r="BZ115">
        <f>SimpleDashData810[[#This Row],[Total Expense]]/SimpleDashData810[[#This Row],[Total Patients]]</f>
        <v>22.866817155756209</v>
      </c>
      <c r="CA115">
        <v>0</v>
      </c>
    </row>
    <row r="116" spans="1:79" x14ac:dyDescent="0.3">
      <c r="A116">
        <v>105</v>
      </c>
      <c r="B116" t="str">
        <v>QCNM RHQ- Hospital Skardu</v>
      </c>
      <c r="C116" t="str">
        <v>Trust Act</v>
      </c>
      <c r="D116" t="str">
        <v>Capital Region</v>
      </c>
      <c r="E116" t="str">
        <v>Public</v>
      </c>
      <c r="F116" s="2">
        <v>1690</v>
      </c>
      <c r="G116" s="2">
        <v>1710</v>
      </c>
      <c r="H116" s="13">
        <v>0.98830409356725146</v>
      </c>
      <c r="I116" s="13"/>
      <c r="BA116">
        <v>115</v>
      </c>
      <c r="BB116" s="29" t="s">
        <v>182</v>
      </c>
      <c r="BD116" t="s">
        <v>33</v>
      </c>
      <c r="BE116" t="s">
        <v>172</v>
      </c>
      <c r="BF116" t="s">
        <v>35</v>
      </c>
      <c r="BG116">
        <v>0</v>
      </c>
      <c r="BH116">
        <v>0</v>
      </c>
      <c r="BI116">
        <v>0</v>
      </c>
      <c r="BJ116">
        <v>900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f>SUM(SimpleDashData810[[#This Row],[Convayance]:[Misc]])</f>
        <v>900</v>
      </c>
      <c r="BR116">
        <v>913</v>
      </c>
      <c r="BS116">
        <v>899</v>
      </c>
      <c r="BT116">
        <v>83</v>
      </c>
      <c r="BU116">
        <f>SUM(SimpleDashData810[[#This Row],[Male]:[Child]])</f>
        <v>1895</v>
      </c>
      <c r="BZ116">
        <f>SimpleDashData810[[#This Row],[Total Expense]]/SimpleDashData810[[#This Row],[Total Patients]]</f>
        <v>0.47493403693931396</v>
      </c>
      <c r="CA116">
        <v>0</v>
      </c>
    </row>
    <row r="117" spans="1:79" x14ac:dyDescent="0.3">
      <c r="A117">
        <v>106</v>
      </c>
      <c r="B117" t="str">
        <v>QCNM Chitral District Jail</v>
      </c>
      <c r="C117" t="str">
        <v>Trust Act</v>
      </c>
      <c r="D117" t="str">
        <v>Capital Region</v>
      </c>
      <c r="E117" t="str">
        <v>Prison</v>
      </c>
      <c r="F117" s="2">
        <v>1622</v>
      </c>
      <c r="G117" s="2">
        <v>1481</v>
      </c>
      <c r="H117" s="13">
        <v>1.0952059419311275</v>
      </c>
      <c r="I117" s="13"/>
      <c r="BA117">
        <v>116</v>
      </c>
      <c r="BB117" s="12" t="s">
        <v>183</v>
      </c>
      <c r="BD117" t="s">
        <v>33</v>
      </c>
      <c r="BE117" t="s">
        <v>172</v>
      </c>
      <c r="BF117" t="s">
        <v>35</v>
      </c>
      <c r="BG117">
        <v>800</v>
      </c>
      <c r="BH117">
        <v>30000</v>
      </c>
      <c r="BI117">
        <v>0</v>
      </c>
      <c r="BJ117">
        <v>1030</v>
      </c>
      <c r="BK117">
        <v>650</v>
      </c>
      <c r="BL117">
        <v>150</v>
      </c>
      <c r="BM117">
        <v>0</v>
      </c>
      <c r="BN117">
        <v>790</v>
      </c>
      <c r="BO117">
        <v>0</v>
      </c>
      <c r="BP117">
        <v>0</v>
      </c>
      <c r="BQ117">
        <f>SUM(SimpleDashData810[[#This Row],[Convayance]:[Misc]])</f>
        <v>33420</v>
      </c>
      <c r="BR117">
        <v>882</v>
      </c>
      <c r="BS117">
        <v>881</v>
      </c>
      <c r="BT117">
        <v>88</v>
      </c>
      <c r="BU117">
        <f>SUM(SimpleDashData810[[#This Row],[Male]:[Child]])</f>
        <v>1851</v>
      </c>
      <c r="BZ117">
        <f>SimpleDashData810[[#This Row],[Total Expense]]/SimpleDashData810[[#This Row],[Total Patients]]</f>
        <v>18.055105348460291</v>
      </c>
      <c r="CA117">
        <v>0</v>
      </c>
    </row>
    <row r="118" spans="1:79" x14ac:dyDescent="0.3">
      <c r="A118">
        <v>107</v>
      </c>
      <c r="B118" t="str">
        <v>QCNM Islamabad, Police line</v>
      </c>
      <c r="C118" t="str">
        <v>Trust Act</v>
      </c>
      <c r="D118" t="str">
        <v>Capital Region</v>
      </c>
      <c r="E118" t="str">
        <v>Public</v>
      </c>
      <c r="F118" s="2">
        <v>1570</v>
      </c>
      <c r="G118" s="2">
        <v>900</v>
      </c>
      <c r="H118" s="13">
        <v>1.7444444444444445</v>
      </c>
      <c r="I118" s="13"/>
      <c r="BA118">
        <v>117</v>
      </c>
      <c r="BB118" s="12" t="s">
        <v>184</v>
      </c>
      <c r="BD118" t="s">
        <v>33</v>
      </c>
      <c r="BE118" t="s">
        <v>172</v>
      </c>
      <c r="BF118" t="s">
        <v>35</v>
      </c>
      <c r="BG118">
        <v>600</v>
      </c>
      <c r="BH118">
        <v>200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f>SUM(SimpleDashData810[[#This Row],[Convayance]:[Misc]])</f>
        <v>800</v>
      </c>
      <c r="BR118">
        <v>711</v>
      </c>
      <c r="BS118">
        <v>615</v>
      </c>
      <c r="BT118">
        <v>160</v>
      </c>
      <c r="BU118">
        <f>SUM(SimpleDashData810[[#This Row],[Male]:[Child]])</f>
        <v>1486</v>
      </c>
      <c r="BZ118">
        <f>SimpleDashData810[[#This Row],[Total Expense]]/SimpleDashData810[[#This Row],[Total Patients]]</f>
        <v>0.53835800807537015</v>
      </c>
      <c r="CA118">
        <v>0</v>
      </c>
    </row>
    <row r="119" spans="1:79" x14ac:dyDescent="0.3">
      <c r="A119">
        <v>108</v>
      </c>
      <c r="B119" t="str">
        <v>QCNM Karak, Central Jail</v>
      </c>
      <c r="C119" t="str">
        <v>Trust Act</v>
      </c>
      <c r="D119" t="str">
        <v>Capital Region</v>
      </c>
      <c r="E119" t="str">
        <v>Prison</v>
      </c>
      <c r="F119" s="2">
        <v>1470</v>
      </c>
      <c r="G119" s="2">
        <v>2446</v>
      </c>
      <c r="H119" s="13">
        <v>0.60098119378577264</v>
      </c>
      <c r="I119" s="13"/>
      <c r="BA119">
        <v>118</v>
      </c>
      <c r="BB119" s="12" t="s">
        <v>185</v>
      </c>
      <c r="BD119" t="s">
        <v>33</v>
      </c>
      <c r="BE119" t="s">
        <v>172</v>
      </c>
      <c r="BF119" t="s">
        <v>35</v>
      </c>
      <c r="BG119">
        <v>380</v>
      </c>
      <c r="BH119">
        <v>0</v>
      </c>
      <c r="BI119">
        <v>0</v>
      </c>
      <c r="BJ119">
        <v>0</v>
      </c>
      <c r="BK119">
        <v>550</v>
      </c>
      <c r="BL119">
        <v>250</v>
      </c>
      <c r="BM119">
        <v>0</v>
      </c>
      <c r="BN119">
        <v>0</v>
      </c>
      <c r="BO119">
        <v>0</v>
      </c>
      <c r="BP119">
        <v>702</v>
      </c>
      <c r="BQ119">
        <f>SUM(SimpleDashData810[[#This Row],[Convayance]:[Misc]])</f>
        <v>1882</v>
      </c>
      <c r="BR119">
        <v>1117</v>
      </c>
      <c r="BS119">
        <v>0</v>
      </c>
      <c r="BT119">
        <v>0</v>
      </c>
      <c r="BU119">
        <f>SUM(SimpleDashData810[[#This Row],[Male]:[Child]])</f>
        <v>1117</v>
      </c>
      <c r="BZ119">
        <f>SimpleDashData810[[#This Row],[Total Expense]]/SimpleDashData810[[#This Row],[Total Patients]]</f>
        <v>1.684870188003581</v>
      </c>
      <c r="CA119">
        <v>0</v>
      </c>
    </row>
    <row r="120" spans="1:79" x14ac:dyDescent="0.3">
      <c r="A120">
        <v>109</v>
      </c>
      <c r="B120" t="str">
        <v>QCNM Sub Jail, Chakwal</v>
      </c>
      <c r="C120" t="str">
        <v>Trust Act</v>
      </c>
      <c r="D120" t="str">
        <v>South &amp; North Punjab Region</v>
      </c>
      <c r="E120" t="str">
        <v>Prison</v>
      </c>
      <c r="F120" s="2">
        <v>1400</v>
      </c>
      <c r="G120" s="2">
        <v>1196</v>
      </c>
      <c r="H120" s="13">
        <v>1.1705685618729098</v>
      </c>
      <c r="I120" s="13"/>
      <c r="BA120">
        <v>119</v>
      </c>
      <c r="BB120" s="12" t="s">
        <v>186</v>
      </c>
      <c r="BD120" t="s">
        <v>68</v>
      </c>
      <c r="BE120" t="s">
        <v>172</v>
      </c>
      <c r="BF120" t="s">
        <v>35</v>
      </c>
      <c r="BG120">
        <v>2000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f>SUM(SimpleDashData810[[#This Row],[Convayance]:[Misc]])</f>
        <v>2000</v>
      </c>
      <c r="BR120">
        <v>374</v>
      </c>
      <c r="BS120">
        <v>176</v>
      </c>
      <c r="BT120">
        <v>101</v>
      </c>
      <c r="BU120">
        <f>SUM(SimpleDashData810[[#This Row],[Male]:[Child]])</f>
        <v>651</v>
      </c>
      <c r="BZ120">
        <f>SimpleDashData810[[#This Row],[Total Expense]]/SimpleDashData810[[#This Row],[Total Patients]]</f>
        <v>3.0721966205837172</v>
      </c>
      <c r="CA120">
        <v>0</v>
      </c>
    </row>
    <row r="121" spans="1:79" x14ac:dyDescent="0.3">
      <c r="A121">
        <v>110</v>
      </c>
      <c r="B121" t="str">
        <v>QCNM Women Jail Karachi</v>
      </c>
      <c r="C121" t="str">
        <v>Trust Act</v>
      </c>
      <c r="D121" t="str">
        <v>Sindh, Balochistan &amp; AJK Region</v>
      </c>
      <c r="E121" t="str">
        <v>Prison</v>
      </c>
      <c r="F121" s="2">
        <v>1300</v>
      </c>
      <c r="G121" s="2">
        <v>1191</v>
      </c>
      <c r="H121" s="13">
        <v>1.0915197313182199</v>
      </c>
      <c r="I121" s="13"/>
      <c r="BA121">
        <v>120</v>
      </c>
      <c r="BB121" s="12" t="s">
        <v>187</v>
      </c>
      <c r="BD121" t="s">
        <v>33</v>
      </c>
      <c r="BE121" t="s">
        <v>172</v>
      </c>
      <c r="BF121" t="s">
        <v>64</v>
      </c>
      <c r="BG121">
        <v>2030</v>
      </c>
      <c r="BH121">
        <v>0</v>
      </c>
      <c r="BI121">
        <v>0</v>
      </c>
      <c r="BJ121">
        <v>1840</v>
      </c>
      <c r="BK121">
        <v>920</v>
      </c>
      <c r="BL121">
        <v>1190</v>
      </c>
      <c r="BM121">
        <v>0</v>
      </c>
      <c r="BN121">
        <v>0</v>
      </c>
      <c r="BO121">
        <v>1000</v>
      </c>
      <c r="BP121">
        <v>0</v>
      </c>
      <c r="BQ121">
        <f>SUM(SimpleDashData810[[#This Row],[Convayance]:[Misc]])</f>
        <v>6980</v>
      </c>
      <c r="BR121">
        <v>2120</v>
      </c>
      <c r="BS121">
        <v>0</v>
      </c>
      <c r="BT121">
        <v>0</v>
      </c>
      <c r="BU121">
        <f>SUM(SimpleDashData810[[#This Row],[Male]:[Child]])</f>
        <v>2120</v>
      </c>
      <c r="BZ121">
        <f>SimpleDashData810[[#This Row],[Total Expense]]/SimpleDashData810[[#This Row],[Total Patients]]</f>
        <v>3.2924528301886791</v>
      </c>
      <c r="CA121">
        <v>0</v>
      </c>
    </row>
    <row r="122" spans="1:79" x14ac:dyDescent="0.3">
      <c r="A122">
        <v>111</v>
      </c>
      <c r="B122" t="str">
        <v>QCNM Abottabad, District Jail</v>
      </c>
      <c r="C122" t="str">
        <v>Trust Act</v>
      </c>
      <c r="D122" t="str">
        <v>Capital Region</v>
      </c>
      <c r="E122" t="str">
        <v>Prison</v>
      </c>
      <c r="F122" s="2">
        <v>1250</v>
      </c>
      <c r="G122" s="2">
        <v>2040</v>
      </c>
      <c r="H122" s="13">
        <v>0.61274509803921573</v>
      </c>
      <c r="I122" s="13"/>
      <c r="BA122">
        <v>121</v>
      </c>
      <c r="BB122" s="12" t="s">
        <v>188</v>
      </c>
      <c r="BD122" t="s">
        <v>68</v>
      </c>
      <c r="BE122" t="s">
        <v>172</v>
      </c>
      <c r="BF122" t="s">
        <v>64</v>
      </c>
      <c r="BG122">
        <v>0</v>
      </c>
      <c r="BH122">
        <v>7050</v>
      </c>
      <c r="BI122">
        <v>560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f>SUM(SimpleDashData810[[#This Row],[Convayance]:[Misc]])</f>
        <v>7610</v>
      </c>
      <c r="BR122">
        <v>1432</v>
      </c>
      <c r="BS122">
        <v>12</v>
      </c>
      <c r="BT122">
        <v>3</v>
      </c>
      <c r="BU122">
        <f>SUM(SimpleDashData810[[#This Row],[Male]:[Child]])</f>
        <v>1447</v>
      </c>
      <c r="BZ122">
        <f>SimpleDashData810[[#This Row],[Total Expense]]/SimpleDashData810[[#This Row],[Total Patients]]</f>
        <v>5.2591568762957843</v>
      </c>
      <c r="CA122">
        <v>0</v>
      </c>
    </row>
    <row r="123" spans="1:79" x14ac:dyDescent="0.3">
      <c r="A123">
        <v>112</v>
      </c>
      <c r="B123" t="str">
        <v>QCNM Larkana, Central Prison</v>
      </c>
      <c r="C123" t="str">
        <v>Trust Act</v>
      </c>
      <c r="D123" t="str">
        <v>Sindh, Balochistan &amp; AJK Region</v>
      </c>
      <c r="E123" t="str">
        <v>Prison</v>
      </c>
      <c r="F123" s="2">
        <v>1130</v>
      </c>
      <c r="G123" s="2">
        <v>1360</v>
      </c>
      <c r="H123" s="13">
        <v>0.83088235294117652</v>
      </c>
      <c r="I123" s="13"/>
      <c r="BA123">
        <v>122</v>
      </c>
      <c r="BB123" s="12" t="s">
        <v>189</v>
      </c>
      <c r="BD123" t="s">
        <v>33</v>
      </c>
      <c r="BE123" t="s">
        <v>172</v>
      </c>
      <c r="BF123" t="s">
        <v>64</v>
      </c>
      <c r="BG123">
        <v>630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500</v>
      </c>
      <c r="BP123">
        <v>0</v>
      </c>
      <c r="BQ123">
        <f>SUM(SimpleDashData810[[#This Row],[Convayance]:[Misc]])</f>
        <v>1130</v>
      </c>
      <c r="BR123">
        <v>1286</v>
      </c>
      <c r="BS123">
        <v>27</v>
      </c>
      <c r="BT123">
        <v>47</v>
      </c>
      <c r="BU123">
        <f>SUM(SimpleDashData810[[#This Row],[Male]:[Child]])</f>
        <v>1360</v>
      </c>
      <c r="BZ123">
        <f>SimpleDashData810[[#This Row],[Total Expense]]/SimpleDashData810[[#This Row],[Total Patients]]</f>
        <v>0.83088235294117652</v>
      </c>
      <c r="CA123">
        <v>0</v>
      </c>
    </row>
    <row r="124" spans="1:79" x14ac:dyDescent="0.3">
      <c r="A124">
        <v>113</v>
      </c>
      <c r="B124" t="str">
        <v>QCNM Sahiwal, High Security Prison</v>
      </c>
      <c r="C124" t="str">
        <v>Trust Act</v>
      </c>
      <c r="D124" t="str">
        <v>South &amp; North Punjab Region</v>
      </c>
      <c r="E124" t="str">
        <v>Prison</v>
      </c>
      <c r="F124" s="2">
        <v>1100</v>
      </c>
      <c r="G124" s="2">
        <v>1928</v>
      </c>
      <c r="H124" s="13">
        <v>0.5705394190871369</v>
      </c>
      <c r="I124" s="13"/>
      <c r="BA124">
        <v>123</v>
      </c>
      <c r="BB124" s="12" t="s">
        <v>190</v>
      </c>
      <c r="BD124" t="s">
        <v>33</v>
      </c>
      <c r="BE124" t="s">
        <v>172</v>
      </c>
      <c r="BF124" t="s">
        <v>64</v>
      </c>
      <c r="BG124">
        <v>0</v>
      </c>
      <c r="BH124">
        <v>0</v>
      </c>
      <c r="BI124">
        <v>0</v>
      </c>
      <c r="BJ124">
        <v>3600</v>
      </c>
      <c r="BK124">
        <v>550</v>
      </c>
      <c r="BL124">
        <v>600</v>
      </c>
      <c r="BM124">
        <v>0</v>
      </c>
      <c r="BN124">
        <v>320</v>
      </c>
      <c r="BO124">
        <v>1000</v>
      </c>
      <c r="BP124">
        <v>0</v>
      </c>
      <c r="BQ124">
        <f>SUM(SimpleDashData810[[#This Row],[Convayance]:[Misc]])</f>
        <v>6070</v>
      </c>
      <c r="BR124">
        <v>1395</v>
      </c>
      <c r="BS124">
        <v>0</v>
      </c>
      <c r="BT124">
        <v>0</v>
      </c>
      <c r="BU124">
        <f>SUM(SimpleDashData810[[#This Row],[Male]:[Child]])</f>
        <v>1395</v>
      </c>
      <c r="BZ124">
        <f>SimpleDashData810[[#This Row],[Total Expense]]/SimpleDashData810[[#This Row],[Total Patients]]</f>
        <v>4.3512544802867383</v>
      </c>
      <c r="CA124">
        <v>0</v>
      </c>
    </row>
    <row r="125" spans="1:79" x14ac:dyDescent="0.3">
      <c r="A125">
        <v>114</v>
      </c>
      <c r="B125" t="str">
        <v>QCNM Chillas District Jail</v>
      </c>
      <c r="C125" t="str">
        <v>U/S 42</v>
      </c>
      <c r="D125" t="str">
        <v>Capital Region</v>
      </c>
      <c r="E125" t="str">
        <v>Prison</v>
      </c>
      <c r="F125" s="2">
        <v>970</v>
      </c>
      <c r="G125" s="2">
        <v>855</v>
      </c>
      <c r="H125" s="13">
        <v>1.1345029239766082</v>
      </c>
      <c r="I125" s="13"/>
      <c r="BA125">
        <v>124</v>
      </c>
      <c r="BB125" s="12" t="s">
        <v>191</v>
      </c>
      <c r="BD125" t="s">
        <v>68</v>
      </c>
      <c r="BE125" t="s">
        <v>172</v>
      </c>
      <c r="BF125" t="s">
        <v>64</v>
      </c>
      <c r="BG125">
        <v>2470</v>
      </c>
      <c r="BH125">
        <v>4980</v>
      </c>
      <c r="BI125">
        <v>0</v>
      </c>
      <c r="BJ125">
        <v>0</v>
      </c>
      <c r="BK125">
        <v>520</v>
      </c>
      <c r="BL125">
        <v>325</v>
      </c>
      <c r="BM125">
        <v>0</v>
      </c>
      <c r="BN125">
        <v>0</v>
      </c>
      <c r="BO125">
        <v>500</v>
      </c>
      <c r="BP125">
        <v>0</v>
      </c>
      <c r="BQ125">
        <f>SUM(SimpleDashData810[[#This Row],[Convayance]:[Misc]])</f>
        <v>8795</v>
      </c>
      <c r="BR125">
        <v>1699</v>
      </c>
      <c r="BS125">
        <v>0</v>
      </c>
      <c r="BT125">
        <v>0</v>
      </c>
      <c r="BU125">
        <f>SUM(SimpleDashData810[[#This Row],[Male]:[Child]])</f>
        <v>1699</v>
      </c>
      <c r="BZ125">
        <f>SimpleDashData810[[#This Row],[Total Expense]]/SimpleDashData810[[#This Row],[Total Patients]]</f>
        <v>5.1765744555620952</v>
      </c>
      <c r="CA125">
        <v>0</v>
      </c>
    </row>
    <row r="126" spans="1:79" x14ac:dyDescent="0.3">
      <c r="A126">
        <v>115</v>
      </c>
      <c r="B126" t="str">
        <v>QCNM FUUAST ( Abdul Haq Campus)</v>
      </c>
      <c r="C126" t="str">
        <v>Trust Act</v>
      </c>
      <c r="D126" t="str">
        <v>Sindh, Balochistan &amp; AJK Region</v>
      </c>
      <c r="E126" t="str">
        <v>Public</v>
      </c>
      <c r="F126" s="2">
        <v>900</v>
      </c>
      <c r="G126" s="2">
        <v>1895</v>
      </c>
      <c r="H126" s="13">
        <v>0.47493403693931396</v>
      </c>
      <c r="I126" s="13"/>
      <c r="BA126">
        <v>125</v>
      </c>
      <c r="BB126" s="12" t="s">
        <v>192</v>
      </c>
      <c r="BD126" t="s">
        <v>33</v>
      </c>
      <c r="BE126" t="s">
        <v>172</v>
      </c>
      <c r="BF126" t="s">
        <v>64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240</v>
      </c>
      <c r="BM126">
        <v>0</v>
      </c>
      <c r="BN126">
        <v>0</v>
      </c>
      <c r="BO126">
        <v>0</v>
      </c>
      <c r="BP126">
        <v>0</v>
      </c>
      <c r="BQ126">
        <f>SUM(SimpleDashData810[[#This Row],[Convayance]:[Misc]])</f>
        <v>240</v>
      </c>
      <c r="BR126">
        <v>28</v>
      </c>
      <c r="BS126">
        <v>622</v>
      </c>
      <c r="BT126">
        <v>70</v>
      </c>
      <c r="BU126">
        <f>SUM(SimpleDashData810[[#This Row],[Male]:[Child]])</f>
        <v>720</v>
      </c>
      <c r="BZ126">
        <f>SimpleDashData810[[#This Row],[Total Expense]]/SimpleDashData810[[#This Row],[Total Patients]]</f>
        <v>0.33333333333333331</v>
      </c>
      <c r="CA126">
        <v>0</v>
      </c>
    </row>
    <row r="127" spans="1:79" x14ac:dyDescent="0.3">
      <c r="A127">
        <v>116</v>
      </c>
      <c r="B127" t="str">
        <v>QCNM RHQ Chillas</v>
      </c>
      <c r="C127" t="str">
        <v>Trust Act</v>
      </c>
      <c r="D127" t="str">
        <v>Capital Region</v>
      </c>
      <c r="E127" t="str">
        <v>Public</v>
      </c>
      <c r="F127" s="2">
        <v>830</v>
      </c>
      <c r="G127" s="2">
        <v>2707</v>
      </c>
      <c r="H127" s="13">
        <v>0.30661248614702624</v>
      </c>
      <c r="I127" s="13"/>
      <c r="BA127">
        <v>126</v>
      </c>
      <c r="BB127" s="12" t="s">
        <v>193</v>
      </c>
      <c r="BD127" t="s">
        <v>68</v>
      </c>
      <c r="BE127" t="s">
        <v>172</v>
      </c>
      <c r="BF127" t="s">
        <v>64</v>
      </c>
      <c r="BG127">
        <v>0</v>
      </c>
      <c r="BH127">
        <v>0</v>
      </c>
      <c r="BI127">
        <v>0</v>
      </c>
      <c r="BJ127">
        <v>1600</v>
      </c>
      <c r="BK127">
        <v>0</v>
      </c>
      <c r="BL127">
        <v>400</v>
      </c>
      <c r="BM127">
        <v>0</v>
      </c>
      <c r="BN127">
        <v>0</v>
      </c>
      <c r="BO127">
        <v>0</v>
      </c>
      <c r="BP127">
        <v>900</v>
      </c>
      <c r="BQ127">
        <f>SUM(SimpleDashData810[[#This Row],[Convayance]:[Misc]])</f>
        <v>2900</v>
      </c>
      <c r="BR127">
        <v>1184</v>
      </c>
      <c r="BS127">
        <v>0</v>
      </c>
      <c r="BT127">
        <v>0</v>
      </c>
      <c r="BU127">
        <f>SUM(SimpleDashData810[[#This Row],[Male]:[Child]])</f>
        <v>1184</v>
      </c>
      <c r="BZ127">
        <f>SimpleDashData810[[#This Row],[Total Expense]]/SimpleDashData810[[#This Row],[Total Patients]]</f>
        <v>2.4493243243243241</v>
      </c>
      <c r="CA127">
        <v>0</v>
      </c>
    </row>
    <row r="128" spans="1:79" x14ac:dyDescent="0.3">
      <c r="A128">
        <v>117</v>
      </c>
      <c r="B128" t="str">
        <v>QCNM University of AJK, MZD</v>
      </c>
      <c r="C128" t="str">
        <v>Trust Act</v>
      </c>
      <c r="D128" t="str">
        <v>Sindh, Balochistan &amp; AJK Region</v>
      </c>
      <c r="E128" t="str">
        <v>Public</v>
      </c>
      <c r="F128" s="2">
        <v>800</v>
      </c>
      <c r="G128" s="2">
        <v>1486</v>
      </c>
      <c r="H128" s="13">
        <v>0.53835800807537015</v>
      </c>
      <c r="I128" s="13"/>
      <c r="BA128">
        <v>127</v>
      </c>
      <c r="BB128" s="12" t="s">
        <v>194</v>
      </c>
      <c r="BD128" t="s">
        <v>33</v>
      </c>
      <c r="BE128" t="s">
        <v>172</v>
      </c>
      <c r="BF128" t="s">
        <v>64</v>
      </c>
      <c r="BG128">
        <v>0</v>
      </c>
      <c r="BH128">
        <v>500</v>
      </c>
      <c r="BI128">
        <v>0</v>
      </c>
      <c r="BJ128">
        <v>0</v>
      </c>
      <c r="BK128">
        <v>0</v>
      </c>
      <c r="BL128">
        <v>800</v>
      </c>
      <c r="BM128">
        <v>0</v>
      </c>
      <c r="BN128">
        <v>0</v>
      </c>
      <c r="BO128">
        <v>0</v>
      </c>
      <c r="BP128">
        <v>0</v>
      </c>
      <c r="BQ128">
        <f>SUM(SimpleDashData810[[#This Row],[Convayance]:[Misc]])</f>
        <v>1300</v>
      </c>
      <c r="BR128">
        <v>1080</v>
      </c>
      <c r="BS128">
        <v>84</v>
      </c>
      <c r="BT128">
        <v>27</v>
      </c>
      <c r="BU128">
        <f>SUM(SimpleDashData810[[#This Row],[Male]:[Child]])</f>
        <v>1191</v>
      </c>
      <c r="BZ128">
        <f>SimpleDashData810[[#This Row],[Total Expense]]/SimpleDashData810[[#This Row],[Total Patients]]</f>
        <v>1.0915197313182199</v>
      </c>
      <c r="CA128">
        <v>0</v>
      </c>
    </row>
    <row r="129" spans="1:79" x14ac:dyDescent="0.3">
      <c r="A129">
        <v>118</v>
      </c>
      <c r="B129" t="str">
        <v>QCNM Tank, Sub Jail</v>
      </c>
      <c r="C129" t="str">
        <v>Trust Act</v>
      </c>
      <c r="D129" t="str">
        <v>Capital Region</v>
      </c>
      <c r="E129" t="str">
        <v>Prison</v>
      </c>
      <c r="F129" s="2">
        <v>610</v>
      </c>
      <c r="G129" s="2">
        <v>1195</v>
      </c>
      <c r="H129" s="13">
        <v>0.5104602510460251</v>
      </c>
      <c r="I129" s="13"/>
      <c r="BA129">
        <v>128</v>
      </c>
      <c r="BB129" s="12" t="s">
        <v>195</v>
      </c>
      <c r="BD129" t="s">
        <v>33</v>
      </c>
      <c r="BE129" t="s">
        <v>172</v>
      </c>
      <c r="BF129" t="s">
        <v>64</v>
      </c>
      <c r="BG129">
        <v>1300</v>
      </c>
      <c r="BH129">
        <v>1400</v>
      </c>
      <c r="BI129">
        <v>0</v>
      </c>
      <c r="BJ129">
        <v>0</v>
      </c>
      <c r="BK129">
        <v>600</v>
      </c>
      <c r="BL129">
        <v>740</v>
      </c>
      <c r="BM129">
        <v>0</v>
      </c>
      <c r="BN129">
        <v>0</v>
      </c>
      <c r="BO129">
        <v>500</v>
      </c>
      <c r="BP129">
        <v>250</v>
      </c>
      <c r="BQ129">
        <f>SUM(SimpleDashData810[[#This Row],[Convayance]:[Misc]])</f>
        <v>4790</v>
      </c>
      <c r="BR129">
        <v>1889</v>
      </c>
      <c r="BS129">
        <v>78</v>
      </c>
      <c r="BT129">
        <v>75</v>
      </c>
      <c r="BU129">
        <f>SUM(SimpleDashData810[[#This Row],[Male]:[Child]])</f>
        <v>2042</v>
      </c>
      <c r="BZ129">
        <f>SimpleDashData810[[#This Row],[Total Expense]]/SimpleDashData810[[#This Row],[Total Patients]]</f>
        <v>2.3457394711067581</v>
      </c>
      <c r="CA129">
        <v>0</v>
      </c>
    </row>
    <row r="130" spans="1:79" x14ac:dyDescent="0.3">
      <c r="A130">
        <v>119</v>
      </c>
      <c r="B130" t="str">
        <v>QCNM Sahiwal, Central Jail</v>
      </c>
      <c r="C130" t="str">
        <v>Trust Act</v>
      </c>
      <c r="D130" t="str">
        <v>South &amp; North Punjab Region</v>
      </c>
      <c r="E130" t="str">
        <v>Prison</v>
      </c>
      <c r="F130" s="2">
        <v>495</v>
      </c>
      <c r="G130" s="2">
        <v>3101</v>
      </c>
      <c r="H130" s="13">
        <v>0.15962592712028378</v>
      </c>
      <c r="I130" s="13"/>
      <c r="BA130">
        <v>129</v>
      </c>
      <c r="BB130" s="12" t="s">
        <v>196</v>
      </c>
      <c r="BD130" t="s">
        <v>68</v>
      </c>
      <c r="BE130" t="s">
        <v>172</v>
      </c>
      <c r="BF130" t="s">
        <v>64</v>
      </c>
      <c r="BG130">
        <v>0</v>
      </c>
      <c r="BH130">
        <v>0</v>
      </c>
      <c r="BI130">
        <v>0</v>
      </c>
      <c r="BJ130">
        <v>2310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f>SUM(SimpleDashData810[[#This Row],[Convayance]:[Misc]])</f>
        <v>2310</v>
      </c>
      <c r="BR130">
        <v>835</v>
      </c>
      <c r="BS130">
        <v>5</v>
      </c>
      <c r="BT130">
        <v>21</v>
      </c>
      <c r="BU130">
        <f>SUM(SimpleDashData810[[#This Row],[Male]:[Child]])</f>
        <v>861</v>
      </c>
      <c r="BZ130">
        <f>SimpleDashData810[[#This Row],[Total Expense]]/SimpleDashData810[[#This Row],[Total Patients]]</f>
        <v>2.6829268292682928</v>
      </c>
      <c r="CA130">
        <v>0</v>
      </c>
    </row>
    <row r="131" spans="1:79" x14ac:dyDescent="0.3">
      <c r="A131">
        <v>120</v>
      </c>
      <c r="B131" t="str">
        <v>QCNM Sukkur, Central Jail</v>
      </c>
      <c r="C131" t="str">
        <v>Trust Act</v>
      </c>
      <c r="D131" t="str">
        <v>Sindh, Balochistan &amp; AJK Region</v>
      </c>
      <c r="E131" t="str">
        <v>Prison</v>
      </c>
      <c r="F131" s="2">
        <v>240</v>
      </c>
      <c r="G131" s="2">
        <v>720</v>
      </c>
      <c r="H131" s="13">
        <v>0.33333333333333331</v>
      </c>
      <c r="I131" s="13"/>
      <c r="BA131">
        <v>130</v>
      </c>
      <c r="BB131" s="12" t="s">
        <v>197</v>
      </c>
      <c r="BD131" t="s">
        <v>33</v>
      </c>
      <c r="BE131" t="s">
        <v>172</v>
      </c>
      <c r="BF131" t="s">
        <v>64</v>
      </c>
      <c r="BG131">
        <v>17100</v>
      </c>
      <c r="BH131">
        <v>0</v>
      </c>
      <c r="BI131">
        <v>0</v>
      </c>
      <c r="BJ131">
        <v>11300</v>
      </c>
      <c r="BK131">
        <v>520</v>
      </c>
      <c r="BL131">
        <v>1110</v>
      </c>
      <c r="BM131">
        <v>0</v>
      </c>
      <c r="BN131">
        <v>0</v>
      </c>
      <c r="BO131">
        <v>0</v>
      </c>
      <c r="BP131">
        <v>500</v>
      </c>
      <c r="BQ131">
        <f>SUM(SimpleDashData810[[#This Row],[Convayance]:[Misc]])</f>
        <v>30530</v>
      </c>
      <c r="BR131">
        <v>834</v>
      </c>
      <c r="BS131">
        <v>355</v>
      </c>
      <c r="BT131">
        <v>481</v>
      </c>
      <c r="BU131">
        <f>SUM(SimpleDashData810[[#This Row],[Male]:[Child]])</f>
        <v>1670</v>
      </c>
      <c r="BZ131">
        <f>SimpleDashData810[[#This Row],[Total Expense]]/SimpleDashData810[[#This Row],[Total Patients]]</f>
        <v>18.281437125748504</v>
      </c>
      <c r="CA131">
        <v>0</v>
      </c>
    </row>
    <row r="132" spans="1:79" x14ac:dyDescent="0.3">
      <c r="A132">
        <v>121</v>
      </c>
      <c r="B132" t="str">
        <v>QCNM PTC Gilgit</v>
      </c>
      <c r="C132" t="str">
        <v>Trust Act</v>
      </c>
      <c r="D132" t="str">
        <v>Capital Region</v>
      </c>
      <c r="E132" t="str">
        <v>Public</v>
      </c>
      <c r="F132" s="2">
        <v>0</v>
      </c>
      <c r="G132" s="2">
        <v>2308</v>
      </c>
      <c r="H132" s="13">
        <v>0</v>
      </c>
      <c r="I132" s="13"/>
      <c r="BA132">
        <v>131</v>
      </c>
      <c r="BB132" s="12" t="s">
        <v>198</v>
      </c>
      <c r="BD132" t="s">
        <v>68</v>
      </c>
      <c r="BE132" t="s">
        <v>172</v>
      </c>
      <c r="BF132" t="s">
        <v>64</v>
      </c>
      <c r="BG132">
        <v>500</v>
      </c>
      <c r="BH132">
        <v>2120</v>
      </c>
      <c r="BI132">
        <v>0</v>
      </c>
      <c r="BJ132">
        <v>0</v>
      </c>
      <c r="BK132">
        <v>0</v>
      </c>
      <c r="BL132">
        <v>710</v>
      </c>
      <c r="BM132">
        <v>0</v>
      </c>
      <c r="BN132">
        <v>0</v>
      </c>
      <c r="BO132">
        <v>0</v>
      </c>
      <c r="BP132">
        <v>0</v>
      </c>
      <c r="BQ132">
        <f>SUM(SimpleDashData810[[#This Row],[Convayance]:[Misc]])</f>
        <v>3330</v>
      </c>
      <c r="BR132">
        <v>1499</v>
      </c>
      <c r="BS132">
        <v>47</v>
      </c>
      <c r="BT132">
        <v>103</v>
      </c>
      <c r="BU132">
        <f>SUM(SimpleDashData810[[#This Row],[Male]:[Child]])</f>
        <v>1649</v>
      </c>
      <c r="BZ132">
        <f>SimpleDashData810[[#This Row],[Total Expense]]/SimpleDashData810[[#This Row],[Total Patients]]</f>
        <v>2.0194057004244996</v>
      </c>
      <c r="CA132">
        <v>0</v>
      </c>
    </row>
    <row r="133" spans="1:79" x14ac:dyDescent="0.3">
      <c r="A133">
        <v>122</v>
      </c>
      <c r="B133" t="str">
        <v>QCNM SSGT Gilgit</v>
      </c>
      <c r="C133" t="str">
        <v>Trust Act</v>
      </c>
      <c r="D133" t="str">
        <v>Capital Region</v>
      </c>
      <c r="E133" t="str">
        <v>Public</v>
      </c>
      <c r="F133" s="2">
        <v>0</v>
      </c>
      <c r="G133" s="2">
        <v>2308</v>
      </c>
      <c r="H133" s="13">
        <v>0</v>
      </c>
      <c r="I133" s="13"/>
      <c r="BA133">
        <v>132</v>
      </c>
      <c r="BB133" s="12" t="s">
        <v>199</v>
      </c>
      <c r="BD133" t="s">
        <v>33</v>
      </c>
      <c r="BE133" t="s">
        <v>172</v>
      </c>
      <c r="BF133" t="s">
        <v>64</v>
      </c>
      <c r="BG133">
        <v>0</v>
      </c>
      <c r="BH133">
        <v>590</v>
      </c>
      <c r="BI133">
        <v>0</v>
      </c>
      <c r="BJ133">
        <v>6500</v>
      </c>
      <c r="BK133">
        <v>810</v>
      </c>
      <c r="BL133">
        <v>540</v>
      </c>
      <c r="BM133">
        <v>0</v>
      </c>
      <c r="BN133">
        <v>350</v>
      </c>
      <c r="BO133">
        <v>0</v>
      </c>
      <c r="BP133">
        <v>0</v>
      </c>
      <c r="BQ133">
        <f>SUM(SimpleDashData810[[#This Row],[Convayance]:[Misc]])</f>
        <v>8790</v>
      </c>
      <c r="BR133">
        <v>1559</v>
      </c>
      <c r="BS133">
        <v>6</v>
      </c>
      <c r="BT133">
        <v>2</v>
      </c>
      <c r="BU133">
        <f>SUM(SimpleDashData810[[#This Row],[Male]:[Child]])</f>
        <v>1567</v>
      </c>
      <c r="BZ133">
        <f>SimpleDashData810[[#This Row],[Total Expense]]/SimpleDashData810[[#This Row],[Total Patients]]</f>
        <v>5.6094447989789407</v>
      </c>
      <c r="CA133">
        <v>0</v>
      </c>
    </row>
    <row r="134" spans="1:79" x14ac:dyDescent="0.3">
      <c r="A134">
        <v>123</v>
      </c>
      <c r="B134" t="str">
        <v>QCNM Gilgit, Central Jail</v>
      </c>
      <c r="C134" t="str">
        <v>U/S 42</v>
      </c>
      <c r="D134" t="str">
        <v>Capital Region</v>
      </c>
      <c r="E134" t="str">
        <v>Prison</v>
      </c>
      <c r="F134" s="2">
        <v>0</v>
      </c>
      <c r="G134" s="2">
        <v>1613</v>
      </c>
      <c r="H134" s="13">
        <v>0</v>
      </c>
      <c r="I134" s="13"/>
      <c r="BA134">
        <v>133</v>
      </c>
      <c r="BB134" s="12" t="s">
        <v>200</v>
      </c>
      <c r="BD134" t="s">
        <v>89</v>
      </c>
      <c r="BE134" t="s">
        <v>172</v>
      </c>
      <c r="BF134" t="s">
        <v>64</v>
      </c>
      <c r="BG134">
        <v>1500</v>
      </c>
      <c r="BH134">
        <v>0</v>
      </c>
      <c r="BI134">
        <v>0</v>
      </c>
      <c r="BJ134">
        <v>800</v>
      </c>
      <c r="BK134">
        <v>360</v>
      </c>
      <c r="BL134">
        <v>300</v>
      </c>
      <c r="BM134">
        <v>2000</v>
      </c>
      <c r="BN134">
        <v>0</v>
      </c>
      <c r="BO134">
        <v>500</v>
      </c>
      <c r="BP134">
        <v>0</v>
      </c>
      <c r="BQ134">
        <f>SUM(SimpleDashData810[[#This Row],[Convayance]:[Misc]])</f>
        <v>5460</v>
      </c>
      <c r="BR134">
        <v>1410</v>
      </c>
      <c r="BS134">
        <v>18</v>
      </c>
      <c r="BT134">
        <v>28</v>
      </c>
      <c r="BU134">
        <f>SUM(SimpleDashData810[[#This Row],[Male]:[Child]])</f>
        <v>1456</v>
      </c>
      <c r="BZ134">
        <f>SimpleDashData810[[#This Row],[Total Expense]]/SimpleDashData810[[#This Row],[Total Patients]]</f>
        <v>3.75</v>
      </c>
      <c r="CA134">
        <v>0</v>
      </c>
    </row>
    <row r="135" spans="1:79" x14ac:dyDescent="0.3">
      <c r="A135">
        <v>124</v>
      </c>
      <c r="B135" t="str">
        <v>QCNM Hangu, District Jail</v>
      </c>
      <c r="C135" t="str">
        <v>Trust Act</v>
      </c>
      <c r="D135" t="str">
        <v>Capital Region</v>
      </c>
      <c r="E135" t="str">
        <v>Prison</v>
      </c>
      <c r="F135" s="2">
        <v>0</v>
      </c>
      <c r="G135" s="2">
        <v>2025</v>
      </c>
      <c r="H135" s="13">
        <v>0</v>
      </c>
      <c r="I135" s="13"/>
      <c r="BA135">
        <v>134</v>
      </c>
      <c r="BB135" s="12" t="s">
        <v>201</v>
      </c>
      <c r="BD135" t="s">
        <v>89</v>
      </c>
      <c r="BE135" t="s">
        <v>172</v>
      </c>
      <c r="BF135" t="s">
        <v>64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f>SUM(SimpleDashData810[[#This Row],[Convayance]:[Misc]])</f>
        <v>0</v>
      </c>
      <c r="BR135">
        <v>554</v>
      </c>
      <c r="BS135">
        <v>6</v>
      </c>
      <c r="BT135">
        <v>101</v>
      </c>
      <c r="BU135">
        <f>SUM(SimpleDashData810[[#This Row],[Male]:[Child]])</f>
        <v>661</v>
      </c>
      <c r="BZ135">
        <f>SimpleDashData810[[#This Row],[Total Expense]]/SimpleDashData810[[#This Row],[Total Patients]]</f>
        <v>0</v>
      </c>
      <c r="CA135">
        <v>0</v>
      </c>
    </row>
    <row r="136" spans="1:79" x14ac:dyDescent="0.3">
      <c r="A136">
        <v>125</v>
      </c>
      <c r="B136" t="str">
        <v>QCNM Subjail Parachinar</v>
      </c>
      <c r="C136" t="str">
        <v>Trust Act</v>
      </c>
      <c r="D136" t="str">
        <v>Capital Region</v>
      </c>
      <c r="E136" t="str">
        <v>Prison</v>
      </c>
      <c r="F136" s="2">
        <v>0</v>
      </c>
      <c r="G136" s="2">
        <v>0</v>
      </c>
      <c r="H136" s="13" t="str">
        <v/>
      </c>
      <c r="I136" s="13"/>
      <c r="BA136">
        <v>135</v>
      </c>
      <c r="BB136" s="12" t="s">
        <v>202</v>
      </c>
      <c r="BD136" t="s">
        <v>89</v>
      </c>
      <c r="BE136" t="s">
        <v>172</v>
      </c>
      <c r="BF136" t="s">
        <v>64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f>SUM(SimpleDashData810[[#This Row],[Convayance]:[Misc]])</f>
        <v>0</v>
      </c>
      <c r="BR136">
        <v>0</v>
      </c>
      <c r="BS136">
        <v>0</v>
      </c>
      <c r="BT136">
        <v>0</v>
      </c>
      <c r="BU136">
        <f>SUM(SimpleDashData810[[#This Row],[Male]:[Child]])</f>
        <v>0</v>
      </c>
      <c r="BZ136" t="e">
        <f>SimpleDashData810[[#This Row],[Total Expense]]/SimpleDashData810[[#This Row],[Total Patients]]</f>
        <v>#DIV/0!</v>
      </c>
      <c r="CA136">
        <v>0</v>
      </c>
    </row>
    <row r="137" spans="1:79" x14ac:dyDescent="0.3">
      <c r="A137">
        <v>126</v>
      </c>
      <c r="B137" t="str">
        <v>QCNM Lahore, Binnat School (Model Town)</v>
      </c>
      <c r="C137" t="str">
        <v>Trust Act</v>
      </c>
      <c r="D137" t="str">
        <v>Central Punjab Region</v>
      </c>
      <c r="E137" t="str">
        <v>Public</v>
      </c>
      <c r="F137" s="2">
        <v>0</v>
      </c>
      <c r="G137" s="2">
        <v>207</v>
      </c>
      <c r="H137" s="13">
        <v>0</v>
      </c>
      <c r="I137" s="13"/>
      <c r="BA137">
        <v>136</v>
      </c>
      <c r="BB137" s="30" t="s">
        <v>203</v>
      </c>
      <c r="BD137" t="s">
        <v>89</v>
      </c>
      <c r="BE137" t="s">
        <v>172</v>
      </c>
      <c r="BF137" t="s">
        <v>64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f>SUM(SimpleDashData810[[#This Row],[Convayance]:[Misc]])</f>
        <v>0</v>
      </c>
      <c r="BR137">
        <v>0</v>
      </c>
      <c r="BS137">
        <v>0</v>
      </c>
      <c r="BT137">
        <v>0</v>
      </c>
      <c r="BU137">
        <f>SUM(SimpleDashData810[[#This Row],[Male]:[Child]])</f>
        <v>0</v>
      </c>
      <c r="BZ137" t="e">
        <f>SimpleDashData810[[#This Row],[Total Expense]]/SimpleDashData810[[#This Row],[Total Patients]]</f>
        <v>#DIV/0!</v>
      </c>
      <c r="CA137">
        <v>0</v>
      </c>
    </row>
    <row r="138" spans="1:79" x14ac:dyDescent="0.3">
      <c r="A138">
        <v>127</v>
      </c>
      <c r="B138" t="str">
        <v>QCNM Gift University Gujranwala</v>
      </c>
      <c r="C138" t="str">
        <v>Trust Act</v>
      </c>
      <c r="D138" t="str">
        <v>Central Punjab Region</v>
      </c>
      <c r="E138" t="str">
        <v>Public</v>
      </c>
      <c r="F138" s="2">
        <v>0</v>
      </c>
      <c r="G138" s="2">
        <v>904</v>
      </c>
      <c r="H138" s="13">
        <v>0</v>
      </c>
      <c r="I138" s="13"/>
      <c r="CA138">
        <f>SUBTOTAL(109,SimpleDashData810[Monthly Performance])</f>
        <v>0</v>
      </c>
    </row>
    <row r="139" spans="1:79" x14ac:dyDescent="0.3">
      <c r="A139">
        <v>128</v>
      </c>
      <c r="B139" t="str">
        <v>QCNM Gift University Gujranwala (Women Campus)</v>
      </c>
      <c r="C139" t="str">
        <v>Trust Act</v>
      </c>
      <c r="D139" t="str">
        <v>Central Punjab Region</v>
      </c>
      <c r="E139" t="str">
        <v>Public</v>
      </c>
      <c r="F139" s="2">
        <v>0</v>
      </c>
      <c r="G139" s="2">
        <v>108</v>
      </c>
      <c r="H139" s="13">
        <v>0</v>
      </c>
      <c r="I139" s="13"/>
    </row>
    <row r="140" spans="1:79" x14ac:dyDescent="0.3">
      <c r="A140">
        <v>129</v>
      </c>
      <c r="B140" t="str">
        <v>QCNM, ZCD Hospital Toba tek Singh</v>
      </c>
      <c r="C140" t="str">
        <v>Trust Act</v>
      </c>
      <c r="D140" t="str">
        <v>Central Punjab Region</v>
      </c>
      <c r="E140" t="str">
        <v>Public</v>
      </c>
      <c r="F140" s="2">
        <v>0</v>
      </c>
      <c r="G140" s="2">
        <v>428</v>
      </c>
      <c r="H140" s="13">
        <v>0</v>
      </c>
      <c r="I140" s="13"/>
      <c r="BQ140">
        <f>SUM(BQ2:BQ139)</f>
        <v>919633</v>
      </c>
      <c r="BU140">
        <f>SUM(BU2:BU139)</f>
        <v>240252</v>
      </c>
    </row>
    <row r="141" spans="1:79" x14ac:dyDescent="0.3">
      <c r="A141">
        <v>130</v>
      </c>
      <c r="B141" t="str">
        <v xml:space="preserve">QCNM QCNM Lums </v>
      </c>
      <c r="C141" t="str">
        <v>Trust Act</v>
      </c>
      <c r="D141" t="str">
        <v>Central Punjab Region</v>
      </c>
      <c r="E141" t="str">
        <v>Public</v>
      </c>
      <c r="F141" s="2">
        <v>0</v>
      </c>
      <c r="G141" s="2">
        <v>73</v>
      </c>
      <c r="H141" s="13">
        <v>0</v>
      </c>
      <c r="I141" s="13"/>
    </row>
    <row r="142" spans="1:79" x14ac:dyDescent="0.3">
      <c r="A142">
        <v>131</v>
      </c>
      <c r="B142" t="str">
        <v>QCNM Faisalabad, Borstal Jail</v>
      </c>
      <c r="C142" t="str">
        <v>Trust Act</v>
      </c>
      <c r="D142" t="str">
        <v>Central Punjab Region</v>
      </c>
      <c r="E142" t="str">
        <v>Prison</v>
      </c>
      <c r="F142" s="2">
        <v>0</v>
      </c>
      <c r="G142" s="2">
        <v>187</v>
      </c>
      <c r="H142" s="13">
        <v>0</v>
      </c>
      <c r="I142" s="13"/>
    </row>
    <row r="143" spans="1:79" x14ac:dyDescent="0.3">
      <c r="A143">
        <v>132</v>
      </c>
      <c r="B143" t="str">
        <v>QCNM Faisalabad, Women District Jail</v>
      </c>
      <c r="C143" t="str">
        <v>Trust Act</v>
      </c>
      <c r="D143" t="str">
        <v>Central Punjab Region</v>
      </c>
      <c r="E143" t="str">
        <v>Prison</v>
      </c>
      <c r="F143" s="2">
        <v>0</v>
      </c>
      <c r="G143" s="2">
        <v>69</v>
      </c>
      <c r="H143" s="13">
        <v>0</v>
      </c>
      <c r="I143" s="13"/>
    </row>
    <row r="144" spans="1:79" x14ac:dyDescent="0.3">
      <c r="A144">
        <v>133</v>
      </c>
      <c r="B144" t="str">
        <v>QCNM Khuzdar(BUET) University</v>
      </c>
      <c r="C144" t="str">
        <v>Trust Act</v>
      </c>
      <c r="D144" t="str">
        <v>Sindh, Balochistan &amp; AJK Region</v>
      </c>
      <c r="E144" t="str">
        <v>Public</v>
      </c>
      <c r="F144" s="2">
        <v>0</v>
      </c>
      <c r="G144" s="2">
        <v>369</v>
      </c>
      <c r="H144" s="13">
        <v>0</v>
      </c>
      <c r="I144" s="13"/>
    </row>
    <row r="145" spans="1:59" x14ac:dyDescent="0.3">
      <c r="A145">
        <v>134</v>
      </c>
      <c r="B145" t="str">
        <v>QCNM Mirpur Central Jail</v>
      </c>
      <c r="C145" t="str">
        <v>Society Act</v>
      </c>
      <c r="D145" t="str">
        <v>Sindh, Balochistan &amp; AJK Region</v>
      </c>
      <c r="E145" t="str">
        <v>Prison</v>
      </c>
      <c r="F145" s="2">
        <v>0</v>
      </c>
      <c r="G145" s="2">
        <v>661</v>
      </c>
      <c r="H145" s="13">
        <v>0</v>
      </c>
      <c r="I145" s="13"/>
    </row>
    <row r="146" spans="1:59" x14ac:dyDescent="0.3">
      <c r="A146">
        <v>135</v>
      </c>
      <c r="B146" t="str">
        <v>QCNM Kotli District Jail</v>
      </c>
      <c r="C146" t="str">
        <v>Society Act</v>
      </c>
      <c r="D146" t="str">
        <v>Sindh, Balochistan &amp; AJK Region</v>
      </c>
      <c r="E146" t="str">
        <v>Prison</v>
      </c>
      <c r="F146" s="2">
        <v>0</v>
      </c>
      <c r="G146" s="2">
        <v>0</v>
      </c>
      <c r="H146" s="13" t="str">
        <v/>
      </c>
      <c r="I146" s="13"/>
    </row>
    <row r="147" spans="1:59" x14ac:dyDescent="0.3">
      <c r="A147">
        <v>136</v>
      </c>
      <c r="B147" t="str">
        <v>QCNM Rawalakot District Jail</v>
      </c>
      <c r="C147" t="str">
        <v>Society Act</v>
      </c>
      <c r="D147" t="str">
        <v>Sindh, Balochistan &amp; AJK Region</v>
      </c>
      <c r="E147" t="str">
        <v>Prison</v>
      </c>
      <c r="F147" s="2">
        <v>0</v>
      </c>
      <c r="G147" s="2">
        <v>0</v>
      </c>
      <c r="H147" s="13" t="str">
        <v/>
      </c>
      <c r="I147" s="13"/>
    </row>
    <row r="148" spans="1:59" x14ac:dyDescent="0.3">
      <c r="F148" s="2"/>
      <c r="G148" s="2"/>
      <c r="H148" s="13"/>
      <c r="I148" s="13"/>
    </row>
    <row r="149" spans="1:59" x14ac:dyDescent="0.3">
      <c r="F149" s="2"/>
      <c r="G149" s="31"/>
    </row>
    <row r="150" spans="1:59" x14ac:dyDescent="0.3">
      <c r="F150" s="2"/>
      <c r="G150" s="31"/>
      <c r="BB150" t="s">
        <v>204</v>
      </c>
      <c r="BC150" t="s">
        <v>205</v>
      </c>
      <c r="BD150" t="s">
        <v>206</v>
      </c>
      <c r="BE150" t="s">
        <v>207</v>
      </c>
    </row>
    <row r="151" spans="1:59" x14ac:dyDescent="0.3">
      <c r="BB151" t="s">
        <v>42</v>
      </c>
      <c r="BC151" t="s">
        <v>43</v>
      </c>
      <c r="BD151" t="s">
        <v>43</v>
      </c>
      <c r="BF151" t="s">
        <v>9</v>
      </c>
      <c r="BG151" cm="1">
        <f t="array" ref="BG151">SUMPRODUCT((IF($D$4&lt;&gt;"",1,IF($B$4="All Regions",1,SimpleDashData810[Region]=$B$4)))*(IF($D$4&lt;&gt;"",SimpleDashData810[QCNM Name]=$D$4,IF($G$4="All Clinics",1,SimpleDashData810[QCNM Name]=$G$4)))*SimpleDashData810[Convayance])</f>
        <v>156061</v>
      </c>
    </row>
    <row r="152" spans="1:59" x14ac:dyDescent="0.3">
      <c r="BB152" t="s">
        <v>34</v>
      </c>
      <c r="BC152" t="s">
        <v>107</v>
      </c>
      <c r="BD152" t="str" cm="1">
        <f t="array" ref="BD152">IFERROR(INDEX(_xlfn._xlws.SORT(_xlfn._xlws.FILTER(SimpleDashData810[QCNM Name],IF($D$4&lt;&gt;"",1,IF($B$4="All Regions",1,SimpleDashData810[Region]=$B$4)))),ROWS($BD$152:BD152)),"")</f>
        <v>Lahore, Jamia Ashrafia</v>
      </c>
      <c r="BF152" t="s">
        <v>9</v>
      </c>
      <c r="BG152" cm="1">
        <f t="array" ref="BG152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Sections",1,SimpleDashData810[Section]=$A$4))*SimpleDashData810[Convayance])</f>
        <v>156061</v>
      </c>
    </row>
    <row r="153" spans="1:59" x14ac:dyDescent="0.3">
      <c r="BB153" t="s">
        <v>100</v>
      </c>
      <c r="BC153" t="s">
        <v>104</v>
      </c>
      <c r="BD153" t="str" cm="1">
        <f t="array" ref="BD153">IFERROR(INDEX(_xlfn._xlws.SORT(_xlfn._xlws.FILTER(SimpleDashData810[QCNM Name],IF($D$4&lt;&gt;"",SimpleDashData810[QCNM Name]=$D$4,IF($B$4="All Regions",1,SimpleDashData810[Region]=$B$4))*IF($A$4="All Sections",1,SimpleDashData810[Section]=$A$4))),ROWS($BD$153:BD153)),"")</f>
        <v>Lahore, Jamia Ashrafia</v>
      </c>
      <c r="BF153" t="s">
        <v>10</v>
      </c>
      <c r="BG153" cm="1">
        <f t="array" ref="BG153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Sections",1,SimpleDashData810[Section]=$A$4))*SimpleDashData810[Purchasing])</f>
        <v>132426</v>
      </c>
    </row>
    <row r="154" spans="1:59" x14ac:dyDescent="0.3">
      <c r="BB154" t="s">
        <v>172</v>
      </c>
      <c r="BC154" t="s">
        <v>179</v>
      </c>
      <c r="BD154" t="str" cm="1">
        <f t="array" ref="BD154">IFERROR(INDEX(_xlfn._xlws.SORT(_xlfn._xlws.FILTER(SimpleDashData810[QCNM Name],IF($D$4&lt;&gt;"",SimpleDashData810[QCNM Name]=$D$4,IF($B$4="All Regions",1,SimpleDashData810[Region]=$B$4))*IF($A$4="All Sections",1,SimpleDashData810[Section]=$A$4))),ROWS($BD$153:BD154)),"")</f>
        <v>Lahore, QCNM Saggian</v>
      </c>
      <c r="BF154" t="s">
        <v>11</v>
      </c>
      <c r="BG154" cm="1">
        <f t="array" ref="BG154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Sections",1,SimpleDashData810[Section]=$A$4))*SimpleDashData810[Freight])</f>
        <v>87208</v>
      </c>
    </row>
    <row r="155" spans="1:59" x14ac:dyDescent="0.3">
      <c r="BB155" t="s">
        <v>135</v>
      </c>
      <c r="BC155" t="s">
        <v>113</v>
      </c>
      <c r="BD155" t="str" cm="1">
        <f t="array" ref="BD155">IFERROR(INDEX(_xlfn._xlws.SORT(_xlfn._xlws.FILTER(SimpleDashData810[QCNM Name],IF($D$4&lt;&gt;"",SimpleDashData810[QCNM Name]=$D$4,IF($B$4="All Regions",1,SimpleDashData810[Region]=$B$4))*IF($A$4="All Sections",1,SimpleDashData810[Section]=$A$4))),ROWS($BD$153:BD155)),"")</f>
        <v>OCNM SIBI ( MCKRU) University</v>
      </c>
      <c r="BF155" t="s">
        <v>12</v>
      </c>
      <c r="BG155" cm="1">
        <f t="array" ref="BG155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Sections",1,SimpleDashData810[Section]=$A$4))*SimpleDashData810[Packing])</f>
        <v>356425</v>
      </c>
    </row>
    <row r="156" spans="1:59" x14ac:dyDescent="0.3">
      <c r="BC156" t="s">
        <v>63</v>
      </c>
      <c r="BD156" t="str" cm="1">
        <f t="array" ref="BD156">IFERROR(INDEX(_xlfn._xlws.SORT(_xlfn._xlws.FILTER(SimpleDashData810[QCNM Name],IF($D$4&lt;&gt;"",SimpleDashData810[QCNM Name]=$D$4,IF($B$4="All Regions",1,SimpleDashData810[Region]=$B$4))*IF($A$4="All Sections",1,SimpleDashData810[Section]=$A$4))),ROWS($BD$153:BD156)),"")</f>
        <v>QCNM Aas Rehabilitation Centre</v>
      </c>
      <c r="BF156" t="s">
        <v>13</v>
      </c>
      <c r="BG156" cm="1">
        <f t="array" ref="BG156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Sections",1,SimpleDashData810[Section]=$A$4))*SimpleDashData810[Postage])</f>
        <v>29060</v>
      </c>
    </row>
    <row r="157" spans="1:59" x14ac:dyDescent="0.3">
      <c r="BC157" t="s">
        <v>142</v>
      </c>
      <c r="BD157" t="str" cm="1">
        <f t="array" ref="BD157">IFERROR(INDEX(_xlfn._xlws.SORT(_xlfn._xlws.FILTER(SimpleDashData810[QCNM Name],IF($D$4&lt;&gt;"",SimpleDashData810[QCNM Name]=$D$4,IF($B$4="All Regions",1,SimpleDashData810[Region]=$B$4))*IF($A$4="All Sections",1,SimpleDashData810[Section]=$A$4))),ROWS($BD$153:BD157)),"")</f>
        <v>QCNM Abottabad, District Jail</v>
      </c>
      <c r="BF157" t="s">
        <v>14</v>
      </c>
      <c r="BG157" cm="1">
        <f t="array" ref="BG157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Sections",1,SimpleDashData810[Section]=$A$4))*SimpleDashData810[Printing])</f>
        <v>42044</v>
      </c>
    </row>
    <row r="158" spans="1:59" x14ac:dyDescent="0.3">
      <c r="BC158" t="s">
        <v>154</v>
      </c>
      <c r="BD158" t="str" cm="1">
        <f t="array" ref="BD158">IFERROR(INDEX(_xlfn._xlws.SORT(_xlfn._xlws.FILTER(SimpleDashData810[QCNM Name],IF($D$4&lt;&gt;"",SimpleDashData810[QCNM Name]=$D$4,IF($B$4="All Regions",1,SimpleDashData810[Region]=$B$4))*IF($A$4="All Sections",1,SimpleDashData810[Section]=$A$4))),ROWS($BD$153:BD158)),"")</f>
        <v>QCNM Attock, District Jail</v>
      </c>
      <c r="BF158" t="s">
        <v>15</v>
      </c>
      <c r="BG158" cm="1">
        <f t="array" ref="BG158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Sections",1,SimpleDashData810[Section]=$A$4))*SimpleDashData810[Repair])</f>
        <v>13170</v>
      </c>
    </row>
    <row r="159" spans="1:59" x14ac:dyDescent="0.3">
      <c r="BC159" t="s">
        <v>136</v>
      </c>
      <c r="BD159" t="str" cm="1">
        <f t="array" ref="BD159">IFERROR(INDEX(_xlfn._xlws.SORT(_xlfn._xlws.FILTER(SimpleDashData810[QCNM Name],IF($D$4&lt;&gt;"",SimpleDashData810[QCNM Name]=$D$4,IF($B$4="All Regions",1,SimpleDashData810[Region]=$B$4))*IF($A$4="All Sections",1,SimpleDashData810[Section]=$A$4))),ROWS($BD$153:BD159)),"")</f>
        <v>QCNM Bahawalnagar, District Jail</v>
      </c>
      <c r="BF159" t="s">
        <v>16</v>
      </c>
      <c r="BG159" cm="1">
        <f t="array" ref="BG159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Sections",1,SimpleDashData810[Section]=$A$4))*SimpleDashData810[Stationary])</f>
        <v>37086</v>
      </c>
    </row>
    <row r="160" spans="1:59" x14ac:dyDescent="0.3">
      <c r="BC160" t="s">
        <v>137</v>
      </c>
      <c r="BD160" t="str" cm="1">
        <f t="array" ref="BD160">IFERROR(INDEX(_xlfn._xlws.SORT(_xlfn._xlws.FILTER(SimpleDashData810[QCNM Name],IF($D$4&lt;&gt;"",SimpleDashData810[QCNM Name]=$D$4,IF($B$4="All Regions",1,SimpleDashData810[Region]=$B$4))*IF($A$4="All Sections",1,SimpleDashData810[Section]=$A$4))),ROWS($BD$153:BD160)),"")</f>
        <v>QCNM Bahawalnagar, Zainab Rafique</v>
      </c>
      <c r="BF160" t="s">
        <v>17</v>
      </c>
      <c r="BG160" cm="1">
        <f t="array" ref="BG160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Sections",1,SimpleDashData810[Section]=$A$4))*SimpleDashData810[Utilities])</f>
        <v>34761</v>
      </c>
    </row>
    <row r="161" spans="55:59" x14ac:dyDescent="0.3">
      <c r="BC161" t="s">
        <v>153</v>
      </c>
      <c r="BD161" t="str" cm="1">
        <f t="array" ref="BD161">IFERROR(INDEX(_xlfn._xlws.SORT(_xlfn._xlws.FILTER(SimpleDashData810[QCNM Name],IF($D$4&lt;&gt;"",SimpleDashData810[QCNM Name]=$D$4,IF($B$4="All Regions",1,SimpleDashData810[Region]=$B$4))*IF($A$4="All Sections",1,SimpleDashData810[Section]=$A$4))),ROWS($BD$153:BD161)),"")</f>
        <v>QCNM Bahawalpur EMH</v>
      </c>
      <c r="BF161" t="s">
        <v>18</v>
      </c>
      <c r="BG161" cm="1">
        <f t="array" ref="BG161">SUMPRODUCT((IF($D$4&lt;&gt;"",1,IF($B$4="All Regions",1,SimpleDashData810[Region]=$B$4)))*(IF($D$4&lt;&gt;"",SimpleDashData810[QCNM Name]=$D$4,IF($G$4="All Clinics",1,SimpleDashData810[QCNM Name]=$G$4)))*(IF($A$4="All Sections",1,SimpleDashData810[Section]=$A$4))*SimpleDashData810[Misc])</f>
        <v>31392</v>
      </c>
    </row>
    <row r="162" spans="55:59" x14ac:dyDescent="0.3">
      <c r="BC162" t="s">
        <v>152</v>
      </c>
      <c r="BD162" t="str" cm="1">
        <f t="array" ref="BD162">IFERROR(INDEX(_xlfn._xlws.SORT(_xlfn._xlws.FILTER(SimpleDashData810[QCNM Name],IF($D$4&lt;&gt;"",SimpleDashData810[QCNM Name]=$D$4,IF($B$4="All Regions",1,SimpleDashData810[Region]=$B$4))*IF($A$4="All Sections",1,SimpleDashData810[Section]=$A$4))),ROWS($BD$153:BD162)),"")</f>
        <v>QCNM Bahawalpur, Borstal Jail</v>
      </c>
    </row>
    <row r="163" spans="55:59" x14ac:dyDescent="0.3">
      <c r="BC163" t="s">
        <v>65</v>
      </c>
      <c r="BD163" t="str" cm="1">
        <f t="array" ref="BD163">IFERROR(INDEX(_xlfn._xlws.SORT(_xlfn._xlws.FILTER(SimpleDashData810[QCNM Name],IF($D$4&lt;&gt;"",SimpleDashData810[QCNM Name]=$D$4,IF($B$4="All Regions",1,SimpleDashData810[Region]=$B$4))*IF($A$4="All Sections",1,SimpleDashData810[Section]=$A$4))),ROWS($BD$153:BD163)),"")</f>
        <v>QCNM Bahawalpur, Central Jail</v>
      </c>
    </row>
    <row r="164" spans="55:59" x14ac:dyDescent="0.3">
      <c r="BC164" t="s">
        <v>48</v>
      </c>
      <c r="BD164" t="str" cm="1">
        <f t="array" ref="BD164">IFERROR(INDEX(_xlfn._xlws.SORT(_xlfn._xlws.FILTER(SimpleDashData810[QCNM Name],IF($D$4&lt;&gt;"",SimpleDashData810[QCNM Name]=$D$4,IF($B$4="All Regions",1,SimpleDashData810[Region]=$B$4))*IF($A$4="All Sections",1,SimpleDashData810[Section]=$A$4))),ROWS($BD$153:BD164)),"")</f>
        <v>QCNM Bannu, Central Prison</v>
      </c>
    </row>
    <row r="165" spans="55:59" x14ac:dyDescent="0.3">
      <c r="BC165" t="s">
        <v>155</v>
      </c>
      <c r="BD165" t="str" cm="1">
        <f t="array" ref="BD165">IFERROR(INDEX(_xlfn._xlws.SORT(_xlfn._xlws.FILTER(SimpleDashData810[QCNM Name],IF($D$4&lt;&gt;"",SimpleDashData810[QCNM Name]=$D$4,IF($B$4="All Regions",1,SimpleDashData810[Region]=$B$4))*IF($A$4="All Sections",1,SimpleDashData810[Section]=$A$4))),ROWS($BD$153:BD165)),"")</f>
        <v>QCNM Bannu, USTB University</v>
      </c>
    </row>
    <row r="166" spans="55:59" x14ac:dyDescent="0.3">
      <c r="BC166" t="s">
        <v>96</v>
      </c>
      <c r="BD166" t="str" cm="1">
        <f t="array" ref="BD166">IFERROR(INDEX(_xlfn._xlws.SORT(_xlfn._xlws.FILTER(SimpleDashData810[QCNM Name],IF($D$4&lt;&gt;"",SimpleDashData810[QCNM Name]=$D$4,IF($B$4="All Regions",1,SimpleDashData810[Region]=$B$4))*IF($A$4="All Sections",1,SimpleDashData810[Section]=$A$4))),ROWS($BD$153:BD166)),"")</f>
        <v>QCNM Bhakkar, District Jail</v>
      </c>
    </row>
    <row r="167" spans="55:59" x14ac:dyDescent="0.3">
      <c r="BC167" t="s">
        <v>134</v>
      </c>
      <c r="BD167" t="str" cm="1">
        <f t="array" ref="BD167">IFERROR(INDEX(_xlfn._xlws.SORT(_xlfn._xlws.FILTER(SimpleDashData810[QCNM Name],IF($D$4&lt;&gt;"",SimpleDashData810[QCNM Name]=$D$4,IF($B$4="All Regions",1,SimpleDashData810[Region]=$B$4))*IF($A$4="All Sections",1,SimpleDashData810[Section]=$A$4))),ROWS($BD$153:BD167)),"")</f>
        <v>QCNM Buner Central Prison</v>
      </c>
    </row>
    <row r="168" spans="55:59" x14ac:dyDescent="0.3">
      <c r="BC168" t="s">
        <v>196</v>
      </c>
      <c r="BD168" t="str" cm="1">
        <f t="array" ref="BD168">IFERROR(INDEX(_xlfn._xlws.SORT(_xlfn._xlws.FILTER(SimpleDashData810[QCNM Name],IF($D$4&lt;&gt;"",SimpleDashData810[QCNM Name]=$D$4,IF($B$4="All Regions",1,SimpleDashData810[Region]=$B$4))*IF($A$4="All Sections",1,SimpleDashData810[Section]=$A$4))),ROWS($BD$153:BD168)),"")</f>
        <v>QCNM Burhan, Doke Mughalan</v>
      </c>
    </row>
    <row r="169" spans="55:59" x14ac:dyDescent="0.3">
      <c r="BC169" t="s">
        <v>193</v>
      </c>
      <c r="BD169" t="str" cm="1">
        <f t="array" ref="BD169">IFERROR(INDEX(_xlfn._xlws.SORT(_xlfn._xlws.FILTER(SimpleDashData810[QCNM Name],IF($D$4&lt;&gt;"",SimpleDashData810[QCNM Name]=$D$4,IF($B$4="All Regions",1,SimpleDashData810[Region]=$B$4))*IF($A$4="All Sections",1,SimpleDashData810[Section]=$A$4))),ROWS($BD$153:BD169)),"")</f>
        <v>QCNM Central Jail Mach</v>
      </c>
    </row>
    <row r="170" spans="55:59" x14ac:dyDescent="0.3">
      <c r="BC170" t="s">
        <v>94</v>
      </c>
      <c r="BD170" t="str" cm="1">
        <f t="array" ref="BD170">IFERROR(INDEX(_xlfn._xlws.SORT(_xlfn._xlws.FILTER(SimpleDashData810[QCNM Name],IF($D$4&lt;&gt;"",SimpleDashData810[QCNM Name]=$D$4,IF($B$4="All Regions",1,SimpleDashData810[Region]=$B$4))*IF($A$4="All Sections",1,SimpleDashData810[Section]=$A$4))),ROWS($BD$153:BD170)),"")</f>
        <v>QCNM Central Jail Zohb</v>
      </c>
    </row>
    <row r="171" spans="55:59" x14ac:dyDescent="0.3">
      <c r="BC171" t="s">
        <v>86</v>
      </c>
      <c r="BD171" t="str" cm="1">
        <f t="array" ref="BD171">IFERROR(INDEX(_xlfn._xlws.SORT(_xlfn._xlws.FILTER(SimpleDashData810[QCNM Name],IF($D$4&lt;&gt;"",SimpleDashData810[QCNM Name]=$D$4,IF($B$4="All Regions",1,SimpleDashData810[Region]=$B$4))*IF($A$4="All Sections",1,SimpleDashData810[Section]=$A$4))),ROWS($BD$153:BD171)),"")</f>
        <v>QCNM Charsadda, Sub Jail</v>
      </c>
    </row>
    <row r="172" spans="55:59" x14ac:dyDescent="0.3">
      <c r="BC172" t="s">
        <v>97</v>
      </c>
      <c r="BD172" t="str" cm="1">
        <f t="array" ref="BD172">IFERROR(INDEX(_xlfn._xlws.SORT(_xlfn._xlws.FILTER(SimpleDashData810[QCNM Name],IF($D$4&lt;&gt;"",SimpleDashData810[QCNM Name]=$D$4,IF($B$4="All Regions",1,SimpleDashData810[Region]=$B$4))*IF($A$4="All Sections",1,SimpleDashData810[Section]=$A$4))),ROWS($BD$153:BD172)),"")</f>
        <v>QCNM Chillas District Jail</v>
      </c>
    </row>
    <row r="173" spans="55:59" x14ac:dyDescent="0.3">
      <c r="BC173" t="s">
        <v>156</v>
      </c>
      <c r="BD173" t="str" cm="1">
        <f t="array" ref="BD173">IFERROR(INDEX(_xlfn._xlws.SORT(_xlfn._xlws.FILTER(SimpleDashData810[QCNM Name],IF($D$4&lt;&gt;"",SimpleDashData810[QCNM Name]=$D$4,IF($B$4="All Regions",1,SimpleDashData810[Region]=$B$4))*IF($A$4="All Sections",1,SimpleDashData810[Section]=$A$4))),ROWS($BD$153:BD173)),"")</f>
        <v>QCNM Chitral District Jail</v>
      </c>
    </row>
    <row r="174" spans="55:59" x14ac:dyDescent="0.3">
      <c r="BC174" t="s">
        <v>66</v>
      </c>
      <c r="BD174" t="str" cm="1">
        <f t="array" ref="BD174">IFERROR(INDEX(_xlfn._xlws.SORT(_xlfn._xlws.FILTER(SimpleDashData810[QCNM Name],IF($D$4&lt;&gt;"",SimpleDashData810[QCNM Name]=$D$4,IF($B$4="All Regions",1,SimpleDashData810[Region]=$B$4))*IF($A$4="All Sections",1,SimpleDashData810[Section]=$A$4))),ROWS($BD$153:BD174)),"")</f>
        <v>QCNM D.G Khan, Central Jail</v>
      </c>
    </row>
    <row r="175" spans="55:59" x14ac:dyDescent="0.3">
      <c r="BC175" t="s">
        <v>182</v>
      </c>
      <c r="BD175" t="str" cm="1">
        <f t="array" ref="BD175">IFERROR(INDEX(_xlfn._xlws.SORT(_xlfn._xlws.FILTER(SimpleDashData810[QCNM Name],IF($D$4&lt;&gt;"",SimpleDashData810[QCNM Name]=$D$4,IF($B$4="All Regions",1,SimpleDashData810[Region]=$B$4))*IF($A$4="All Sections",1,SimpleDashData810[Section]=$A$4))),ROWS($BD$153:BD175)),"")</f>
        <v>QCNM D.I Khan, Central Jail</v>
      </c>
    </row>
    <row r="176" spans="55:59" x14ac:dyDescent="0.3">
      <c r="BC176" t="s">
        <v>47</v>
      </c>
      <c r="BD176" t="str" cm="1">
        <f t="array" ref="BD176">IFERROR(INDEX(_xlfn._xlws.SORT(_xlfn._xlws.FILTER(SimpleDashData810[QCNM Name],IF($D$4&lt;&gt;"",SimpleDashData810[QCNM Name]=$D$4,IF($B$4="All Regions",1,SimpleDashData810[Region]=$B$4))*IF($A$4="All Sections",1,SimpleDashData810[Section]=$A$4))),ROWS($BD$153:BD176)),"")</f>
        <v>QCNM Faisalabad, Borstal Jail</v>
      </c>
    </row>
    <row r="177" spans="55:56" x14ac:dyDescent="0.3">
      <c r="BC177" t="s">
        <v>121</v>
      </c>
      <c r="BD177" t="str" cm="1">
        <f t="array" ref="BD177">IFERROR(INDEX(_xlfn._xlws.SORT(_xlfn._xlws.FILTER(SimpleDashData810[QCNM Name],IF($D$4&lt;&gt;"",SimpleDashData810[QCNM Name]=$D$4,IF($B$4="All Regions",1,SimpleDashData810[Region]=$B$4))*IF($A$4="All Sections",1,SimpleDashData810[Section]=$A$4))),ROWS($BD$153:BD177)),"")</f>
        <v>QCNM Faisalabad, Central Jail</v>
      </c>
    </row>
    <row r="178" spans="55:56" x14ac:dyDescent="0.3">
      <c r="BC178" t="s">
        <v>119</v>
      </c>
      <c r="BD178" t="str" cm="1">
        <f t="array" ref="BD178">IFERROR(INDEX(_xlfn._xlws.SORT(_xlfn._xlws.FILTER(SimpleDashData810[QCNM Name],IF($D$4&lt;&gt;"",SimpleDashData810[QCNM Name]=$D$4,IF($B$4="All Regions",1,SimpleDashData810[Region]=$B$4))*IF($A$4="All Sections",1,SimpleDashData810[Section]=$A$4))),ROWS($BD$153:BD178)),"")</f>
        <v>QCNM Faisalabad, District Jail</v>
      </c>
    </row>
    <row r="179" spans="55:56" x14ac:dyDescent="0.3">
      <c r="BC179" t="s">
        <v>120</v>
      </c>
      <c r="BD179" t="str" cm="1">
        <f t="array" ref="BD179">IFERROR(INDEX(_xlfn._xlws.SORT(_xlfn._xlws.FILTER(SimpleDashData810[QCNM Name],IF($D$4&lt;&gt;"",SimpleDashData810[QCNM Name]=$D$4,IF($B$4="All Regions",1,SimpleDashData810[Region]=$B$4))*IF($A$4="All Sections",1,SimpleDashData810[Section]=$A$4))),ROWS($BD$153:BD179)),"")</f>
        <v>QCNM Faisalabad, GCU (New Campus)</v>
      </c>
    </row>
    <row r="180" spans="55:56" x14ac:dyDescent="0.3">
      <c r="BC180" t="s">
        <v>109</v>
      </c>
      <c r="BD180" t="str" cm="1">
        <f t="array" ref="BD180">IFERROR(INDEX(_xlfn._xlws.SORT(_xlfn._xlws.FILTER(SimpleDashData810[QCNM Name],IF($D$4&lt;&gt;"",SimpleDashData810[QCNM Name]=$D$4,IF($B$4="All Regions",1,SimpleDashData810[Region]=$B$4))*IF($A$4="All Sections",1,SimpleDashData810[Section]=$A$4))),ROWS($BD$153:BD180)),"")</f>
        <v>QCNM Faisalabad, GCU (Old Campus)</v>
      </c>
    </row>
    <row r="181" spans="55:56" x14ac:dyDescent="0.3">
      <c r="BC181" t="s">
        <v>110</v>
      </c>
      <c r="BD181" t="str" cm="1">
        <f t="array" ref="BD181">IFERROR(INDEX(_xlfn._xlws.SORT(_xlfn._xlws.FILTER(SimpleDashData810[QCNM Name],IF($D$4&lt;&gt;"",SimpleDashData810[QCNM Name]=$D$4,IF($B$4="All Regions",1,SimpleDashData810[Region]=$B$4))*IF($A$4="All Sections",1,SimpleDashData810[Section]=$A$4))),ROWS($BD$153:BD181)),"")</f>
        <v>QCNM Faisalabad, Women District Jail</v>
      </c>
    </row>
    <row r="182" spans="55:56" x14ac:dyDescent="0.3">
      <c r="BC182" t="s">
        <v>132</v>
      </c>
      <c r="BD182" t="str" cm="1">
        <f t="array" ref="BD182">IFERROR(INDEX(_xlfn._xlws.SORT(_xlfn._xlws.FILTER(SimpleDashData810[QCNM Name],IF($D$4&lt;&gt;"",SimpleDashData810[QCNM Name]=$D$4,IF($B$4="All Regions",1,SimpleDashData810[Region]=$B$4))*IF($A$4="All Sections",1,SimpleDashData810[Section]=$A$4))),ROWS($BD$153:BD182)),"")</f>
        <v>QCNM FUUAST ( Abdul Haq Campus)</v>
      </c>
    </row>
    <row r="183" spans="55:56" x14ac:dyDescent="0.3">
      <c r="BC183" t="s">
        <v>69</v>
      </c>
      <c r="BD183" t="str" cm="1">
        <f t="array" ref="BD183">IFERROR(INDEX(_xlfn._xlws.SORT(_xlfn._xlws.FILTER(SimpleDashData810[QCNM Name],IF($D$4&lt;&gt;"",SimpleDashData810[QCNM Name]=$D$4,IF($B$4="All Regions",1,SimpleDashData810[Region]=$B$4))*IF($A$4="All Sections",1,SimpleDashData810[Section]=$A$4))),ROWS($BD$153:BD183)),"")</f>
        <v>QCNM FUUAST Islamabad</v>
      </c>
    </row>
    <row r="184" spans="55:56" x14ac:dyDescent="0.3">
      <c r="BC184" t="s">
        <v>114</v>
      </c>
      <c r="BD184" t="str" cm="1">
        <f t="array" ref="BD184">IFERROR(INDEX(_xlfn._xlws.SORT(_xlfn._xlws.FILTER(SimpleDashData810[QCNM Name],IF($D$4&lt;&gt;"",SimpleDashData810[QCNM Name]=$D$4,IF($B$4="All Regions",1,SimpleDashData810[Region]=$B$4))*IF($A$4="All Sections",1,SimpleDashData810[Section]=$A$4))),ROWS($BD$153:BD184)),"")</f>
        <v>QCNM Ghizer, District Jail</v>
      </c>
    </row>
    <row r="185" spans="55:56" x14ac:dyDescent="0.3">
      <c r="BC185" t="s">
        <v>115</v>
      </c>
      <c r="BD185" t="str" cm="1">
        <f t="array" ref="BD185">IFERROR(INDEX(_xlfn._xlws.SORT(_xlfn._xlws.FILTER(SimpleDashData810[QCNM Name],IF($D$4&lt;&gt;"",SimpleDashData810[QCNM Name]=$D$4,IF($B$4="All Regions",1,SimpleDashData810[Region]=$B$4))*IF($A$4="All Sections",1,SimpleDashData810[Section]=$A$4))),ROWS($BD$153:BD185)),"")</f>
        <v>QCNM Gift University Gujranwala</v>
      </c>
    </row>
    <row r="186" spans="55:56" x14ac:dyDescent="0.3">
      <c r="BC186" t="s">
        <v>67</v>
      </c>
      <c r="BD186" t="str" cm="1">
        <f t="array" ref="BD186">IFERROR(INDEX(_xlfn._xlws.SORT(_xlfn._xlws.FILTER(SimpleDashData810[QCNM Name],IF($D$4&lt;&gt;"",SimpleDashData810[QCNM Name]=$D$4,IF($B$4="All Regions",1,SimpleDashData810[Region]=$B$4))*IF($A$4="All Sections",1,SimpleDashData810[Section]=$A$4))),ROWS($BD$153:BD186)),"")</f>
        <v>QCNM Gift University Gujranwala (Women Campus)</v>
      </c>
    </row>
    <row r="187" spans="55:56" x14ac:dyDescent="0.3">
      <c r="BC187" t="s">
        <v>122</v>
      </c>
      <c r="BD187" t="str" cm="1">
        <f t="array" ref="BD187">IFERROR(INDEX(_xlfn._xlws.SORT(_xlfn._xlws.FILTER(SimpleDashData810[QCNM Name],IF($D$4&lt;&gt;"",SimpleDashData810[QCNM Name]=$D$4,IF($B$4="All Regions",1,SimpleDashData810[Region]=$B$4))*IF($A$4="All Sections",1,SimpleDashData810[Section]=$A$4))),ROWS($BD$153:BD187)),"")</f>
        <v>QCNM Gilgit, Central Jail</v>
      </c>
    </row>
    <row r="188" spans="55:56" x14ac:dyDescent="0.3">
      <c r="BC188" t="s">
        <v>133</v>
      </c>
      <c r="BD188" t="str" cm="1">
        <f t="array" ref="BD188">IFERROR(INDEX(_xlfn._xlws.SORT(_xlfn._xlws.FILTER(SimpleDashData810[QCNM Name],IF($D$4&lt;&gt;"",SimpleDashData810[QCNM Name]=$D$4,IF($B$4="All Regions",1,SimpleDashData810[Region]=$B$4))*IF($A$4="All Sections",1,SimpleDashData810[Section]=$A$4))),ROWS($BD$153:BD188)),"")</f>
        <v>QCNM Gujranwala, Central Jail</v>
      </c>
    </row>
    <row r="189" spans="55:56" x14ac:dyDescent="0.3">
      <c r="BC189" t="s">
        <v>208</v>
      </c>
      <c r="BD189" t="str" cm="1">
        <f t="array" ref="BD189">IFERROR(INDEX(_xlfn._xlws.SORT(_xlfn._xlws.FILTER(SimpleDashData810[QCNM Name],IF($D$4&lt;&gt;"",SimpleDashData810[QCNM Name]=$D$4,IF($B$4="All Regions",1,SimpleDashData810[Region]=$B$4))*IF($A$4="All Sections",1,SimpleDashData810[Section]=$A$4))),ROWS($BD$153:BD189)),"")</f>
        <v>QCNM Gujrat, District Jail</v>
      </c>
    </row>
    <row r="190" spans="55:56" x14ac:dyDescent="0.3">
      <c r="BC190" t="s">
        <v>111</v>
      </c>
      <c r="BD190" t="str" cm="1">
        <f t="array" ref="BD190">IFERROR(INDEX(_xlfn._xlws.SORT(_xlfn._xlws.FILTER(SimpleDashData810[QCNM Name],IF($D$4&lt;&gt;"",SimpleDashData810[QCNM Name]=$D$4,IF($B$4="All Regions",1,SimpleDashData810[Region]=$B$4))*IF($A$4="All Sections",1,SimpleDashData810[Section]=$A$4))),ROWS($BD$153:BD190)),"")</f>
        <v xml:space="preserve">QCNM Gujrat, HK Sardar Ali </v>
      </c>
    </row>
    <row r="191" spans="55:56" x14ac:dyDescent="0.3">
      <c r="BC191" t="s">
        <v>144</v>
      </c>
      <c r="BD191" t="str" cm="1">
        <f t="array" ref="BD191">IFERROR(INDEX(_xlfn._xlws.SORT(_xlfn._xlws.FILTER(SimpleDashData810[QCNM Name],IF($D$4&lt;&gt;"",SimpleDashData810[QCNM Name]=$D$4,IF($B$4="All Regions",1,SimpleDashData810[Region]=$B$4))*IF($A$4="All Sections",1,SimpleDashData810[Section]=$A$4))),ROWS($BD$153:BD191)),"")</f>
        <v>QCNM Hadi Free Hospital</v>
      </c>
    </row>
    <row r="192" spans="55:56" x14ac:dyDescent="0.3">
      <c r="BC192" t="s">
        <v>91</v>
      </c>
      <c r="BD192" t="str" cm="1">
        <f t="array" ref="BD192">IFERROR(INDEX(_xlfn._xlws.SORT(_xlfn._xlws.FILTER(SimpleDashData810[QCNM Name],IF($D$4&lt;&gt;"",SimpleDashData810[QCNM Name]=$D$4,IF($B$4="All Regions",1,SimpleDashData810[Region]=$B$4))*IF($A$4="All Sections",1,SimpleDashData810[Section]=$A$4))),ROWS($BD$153:BD192)),"")</f>
        <v>QCNM Hafizabad, Dist Jail</v>
      </c>
    </row>
    <row r="193" spans="55:56" x14ac:dyDescent="0.3">
      <c r="BC193" t="s">
        <v>72</v>
      </c>
      <c r="BD193" t="str" cm="1">
        <f t="array" ref="BD193">IFERROR(INDEX(_xlfn._xlws.SORT(_xlfn._xlws.FILTER(SimpleDashData810[QCNM Name],IF($D$4&lt;&gt;"",SimpleDashData810[QCNM Name]=$D$4,IF($B$4="All Regions",1,SimpleDashData810[Region]=$B$4))*IF($A$4="All Sections",1,SimpleDashData810[Section]=$A$4))),ROWS($BD$153:BD193)),"")</f>
        <v>QCNM Hangu, District Jail</v>
      </c>
    </row>
    <row r="194" spans="55:56" x14ac:dyDescent="0.3">
      <c r="BC194" t="s">
        <v>32</v>
      </c>
      <c r="BD194" t="str" cm="1">
        <f t="array" ref="BD194">IFERROR(INDEX(_xlfn._xlws.SORT(_xlfn._xlws.FILTER(SimpleDashData810[QCNM Name],IF($D$4&lt;&gt;"",SimpleDashData810[QCNM Name]=$D$4,IF($B$4="All Regions",1,SimpleDashData810[Region]=$B$4))*IF($A$4="All Sections",1,SimpleDashData810[Section]=$A$4))),ROWS($BD$153:BD194)),"")</f>
        <v>QCNM Haripur, Central Jail</v>
      </c>
    </row>
    <row r="195" spans="55:56" x14ac:dyDescent="0.3">
      <c r="BC195" t="s">
        <v>187</v>
      </c>
      <c r="BD195" t="str" cm="1">
        <f t="array" ref="BD195">IFERROR(INDEX(_xlfn._xlws.SORT(_xlfn._xlws.FILTER(SimpleDashData810[QCNM Name],IF($D$4&lt;&gt;"",SimpleDashData810[QCNM Name]=$D$4,IF($B$4="All Regions",1,SimpleDashData810[Region]=$B$4))*IF($A$4="All Sections",1,SimpleDashData810[Section]=$A$4))),ROWS($BD$153:BD195)),"")</f>
        <v>QCNM Hattar</v>
      </c>
    </row>
    <row r="196" spans="55:56" x14ac:dyDescent="0.3">
      <c r="BC196" t="s">
        <v>41</v>
      </c>
      <c r="BD196" t="str" cm="1">
        <f t="array" ref="BD196">IFERROR(INDEX(_xlfn._xlws.SORT(_xlfn._xlws.FILTER(SimpleDashData810[QCNM Name],IF($D$4&lt;&gt;"",SimpleDashData810[QCNM Name]=$D$4,IF($B$4="All Regions",1,SimpleDashData810[Region]=$B$4))*IF($A$4="All Sections",1,SimpleDashData810[Section]=$A$4))),ROWS($BD$153:BD196)),"")</f>
        <v>QCNM High Security Prison Mianwali</v>
      </c>
    </row>
    <row r="197" spans="55:56" x14ac:dyDescent="0.3">
      <c r="BC197" t="s">
        <v>143</v>
      </c>
      <c r="BD197" t="str" cm="1">
        <f t="array" ref="BD197">IFERROR(INDEX(_xlfn._xlws.SORT(_xlfn._xlws.FILTER(SimpleDashData810[QCNM Name],IF($D$4&lt;&gt;"",SimpleDashData810[QCNM Name]=$D$4,IF($B$4="All Regions",1,SimpleDashData810[Region]=$B$4))*IF($A$4="All Sections",1,SimpleDashData810[Section]=$A$4))),ROWS($BD$153:BD197)),"")</f>
        <v>QCNM Hyderabad, Central Prison</v>
      </c>
    </row>
    <row r="198" spans="55:56" x14ac:dyDescent="0.3">
      <c r="BC198" t="s">
        <v>123</v>
      </c>
      <c r="BD198" t="str" cm="1">
        <f t="array" ref="BD198">IFERROR(INDEX(_xlfn._xlws.SORT(_xlfn._xlws.FILTER(SimpleDashData810[QCNM Name],IF($D$4&lt;&gt;"",SimpleDashData810[QCNM Name]=$D$4,IF($B$4="All Regions",1,SimpleDashData810[Region]=$B$4))*IF($A$4="All Sections",1,SimpleDashData810[Section]=$A$4))),ROWS($BD$153:BD198)),"")</f>
        <v>QCNM Islamabad, Police line</v>
      </c>
    </row>
    <row r="199" spans="55:56" x14ac:dyDescent="0.3">
      <c r="BC199" t="s">
        <v>190</v>
      </c>
      <c r="BD199" t="str" cm="1">
        <f t="array" ref="BD199">IFERROR(INDEX(_xlfn._xlws.SORT(_xlfn._xlws.FILTER(SimpleDashData810[QCNM Name],IF($D$4&lt;&gt;"",SimpleDashData810[QCNM Name]=$D$4,IF($B$4="All Regions",1,SimpleDashData810[Region]=$B$4))*IF($A$4="All Sections",1,SimpleDashData810[Section]=$A$4))),ROWS($BD$153:BD199)),"")</f>
        <v>QCNM Jehlum, District Jail</v>
      </c>
    </row>
    <row r="200" spans="55:56" x14ac:dyDescent="0.3">
      <c r="BC200" t="s">
        <v>74</v>
      </c>
      <c r="BD200" t="str" cm="1">
        <f t="array" ref="BD200">IFERROR(INDEX(_xlfn._xlws.SORT(_xlfn._xlws.FILTER(SimpleDashData810[QCNM Name],IF($D$4&lt;&gt;"",SimpleDashData810[QCNM Name]=$D$4,IF($B$4="All Regions",1,SimpleDashData810[Region]=$B$4))*IF($A$4="All Sections",1,SimpleDashData810[Section]=$A$4))),ROWS($BD$153:BD200)),"")</f>
        <v>QCNM Jhang, District Jail</v>
      </c>
    </row>
    <row r="201" spans="55:56" x14ac:dyDescent="0.3">
      <c r="BC201" t="s">
        <v>124</v>
      </c>
      <c r="BD201" t="str" cm="1">
        <f t="array" ref="BD201">IFERROR(INDEX(_xlfn._xlws.SORT(_xlfn._xlws.FILTER(SimpleDashData810[QCNM Name],IF($D$4&lt;&gt;"",SimpleDashData810[QCNM Name]=$D$4,IF($B$4="All Regions",1,SimpleDashData810[Region]=$B$4))*IF($A$4="All Sections",1,SimpleDashData810[Section]=$A$4))),ROWS($BD$153:BD201)),"")</f>
        <v>QCNM Karachi, Central Prison</v>
      </c>
    </row>
    <row r="202" spans="55:56" x14ac:dyDescent="0.3">
      <c r="BC202" t="s">
        <v>197</v>
      </c>
      <c r="BD202" t="str" cm="1">
        <f t="array" ref="BD202">IFERROR(INDEX(_xlfn._xlws.SORT(_xlfn._xlws.FILTER(SimpleDashData810[QCNM Name],IF($D$4&lt;&gt;"",SimpleDashData810[QCNM Name]=$D$4,IF($B$4="All Regions",1,SimpleDashData810[Region]=$B$4))*IF($A$4="All Sections",1,SimpleDashData810[Section]=$A$4))),ROWS($BD$153:BD202)),"")</f>
        <v>QCNM Karak, Central Jail</v>
      </c>
    </row>
    <row r="203" spans="55:56" x14ac:dyDescent="0.3">
      <c r="BC203" t="s">
        <v>157</v>
      </c>
      <c r="BD203" t="str" cm="1">
        <f t="array" ref="BD203">IFERROR(INDEX(_xlfn._xlws.SORT(_xlfn._xlws.FILTER(SimpleDashData810[QCNM Name],IF($D$4&lt;&gt;"",SimpleDashData810[QCNM Name]=$D$4,IF($B$4="All Regions",1,SimpleDashData810[Region]=$B$4))*IF($A$4="All Sections",1,SimpleDashData810[Section]=$A$4))),ROWS($BD$153:BD203)),"")</f>
        <v>QCNM Kasur, District Jail</v>
      </c>
    </row>
    <row r="204" spans="55:56" x14ac:dyDescent="0.3">
      <c r="BC204" t="s">
        <v>178</v>
      </c>
      <c r="BD204" t="str" cm="1">
        <f t="array" ref="BD204">IFERROR(INDEX(_xlfn._xlws.SORT(_xlfn._xlws.FILTER(SimpleDashData810[QCNM Name],IF($D$4&lt;&gt;"",SimpleDashData810[QCNM Name]=$D$4,IF($B$4="All Regions",1,SimpleDashData810[Region]=$B$4))*IF($A$4="All Sections",1,SimpleDashData810[Section]=$A$4))),ROWS($BD$153:BD204)),"")</f>
        <v>QCNM Khairpur, Central Jail</v>
      </c>
    </row>
    <row r="205" spans="55:56" x14ac:dyDescent="0.3">
      <c r="BC205" t="s">
        <v>198</v>
      </c>
      <c r="BD205" t="str" cm="1">
        <f t="array" ref="BD205">IFERROR(INDEX(_xlfn._xlws.SORT(_xlfn._xlws.FILTER(SimpleDashData810[QCNM Name],IF($D$4&lt;&gt;"",SimpleDashData810[QCNM Name]=$D$4,IF($B$4="All Regions",1,SimpleDashData810[Region]=$B$4))*IF($A$4="All Sections",1,SimpleDashData810[Section]=$A$4))),ROWS($BD$153:BD205)),"")</f>
        <v>QCNM Khanewal, District Jail</v>
      </c>
    </row>
    <row r="206" spans="55:56" x14ac:dyDescent="0.3">
      <c r="BC206" t="s">
        <v>112</v>
      </c>
      <c r="BD206" t="str" cm="1">
        <f t="array" ref="BD206">IFERROR(INDEX(_xlfn._xlws.SORT(_xlfn._xlws.FILTER(SimpleDashData810[QCNM Name],IF($D$4&lt;&gt;"",SimpleDashData810[QCNM Name]=$D$4,IF($B$4="All Regions",1,SimpleDashData810[Region]=$B$4))*IF($A$4="All Sections",1,SimpleDashData810[Section]=$A$4))),ROWS($BD$153:BD206)),"")</f>
        <v>QCNM Khuzdar(BUET) University</v>
      </c>
    </row>
    <row r="207" spans="55:56" x14ac:dyDescent="0.3">
      <c r="BC207" t="s">
        <v>73</v>
      </c>
      <c r="BD207" t="str" cm="1">
        <f t="array" ref="BD207">IFERROR(INDEX(_xlfn._xlws.SORT(_xlfn._xlws.FILTER(SimpleDashData810[QCNM Name],IF($D$4&lt;&gt;"",SimpleDashData810[QCNM Name]=$D$4,IF($B$4="All Regions",1,SimpleDashData810[Region]=$B$4))*IF($A$4="All Sections",1,SimpleDashData810[Section]=$A$4))),ROWS($BD$153:BD207)),"")</f>
        <v>QCNM Khuzdar, Central Jail</v>
      </c>
    </row>
    <row r="208" spans="55:56" x14ac:dyDescent="0.3">
      <c r="BC208" t="s">
        <v>202</v>
      </c>
      <c r="BD208" t="str" cm="1">
        <f t="array" ref="BD208">IFERROR(INDEX(_xlfn._xlws.SORT(_xlfn._xlws.FILTER(SimpleDashData810[QCNM Name],IF($D$4&lt;&gt;"",SimpleDashData810[QCNM Name]=$D$4,IF($B$4="All Regions",1,SimpleDashData810[Region]=$B$4))*IF($A$4="All Sections",1,SimpleDashData810[Section]=$A$4))),ROWS($BD$153:BD208)),"")</f>
        <v>QCNM Kisan Centre</v>
      </c>
    </row>
    <row r="209" spans="55:56" x14ac:dyDescent="0.3">
      <c r="BC209" t="s">
        <v>105</v>
      </c>
      <c r="BD209" t="str" cm="1">
        <f t="array" ref="BD209">IFERROR(INDEX(_xlfn._xlws.SORT(_xlfn._xlws.FILTER(SimpleDashData810[QCNM Name],IF($D$4&lt;&gt;"",SimpleDashData810[QCNM Name]=$D$4,IF($B$4="All Regions",1,SimpleDashData810[Region]=$B$4))*IF($A$4="All Sections",1,SimpleDashData810[Section]=$A$4))),ROWS($BD$153:BD209)),"")</f>
        <v>QCNM Kohat, District Jail</v>
      </c>
    </row>
    <row r="210" spans="55:56" x14ac:dyDescent="0.3">
      <c r="BC210" t="s">
        <v>106</v>
      </c>
      <c r="BD210" t="str" cm="1">
        <f t="array" ref="BD210">IFERROR(INDEX(_xlfn._xlws.SORT(_xlfn._xlws.FILTER(SimpleDashData810[QCNM Name],IF($D$4&lt;&gt;"",SimpleDashData810[QCNM Name]=$D$4,IF($B$4="All Regions",1,SimpleDashData810[Region]=$B$4))*IF($A$4="All Sections",1,SimpleDashData810[Section]=$A$4))),ROWS($BD$153:BD210)),"")</f>
        <v>QCNM Kotli District Jail</v>
      </c>
    </row>
    <row r="211" spans="55:56" x14ac:dyDescent="0.3">
      <c r="BC211" t="s">
        <v>101</v>
      </c>
      <c r="BD211" t="str" cm="1">
        <f t="array" ref="BD211">IFERROR(INDEX(_xlfn._xlws.SORT(_xlfn._xlws.FILTER(SimpleDashData810[QCNM Name],IF($D$4&lt;&gt;"",SimpleDashData810[QCNM Name]=$D$4,IF($B$4="All Regions",1,SimpleDashData810[Region]=$B$4))*IF($A$4="All Sections",1,SimpleDashData810[Section]=$A$4))),ROWS($BD$153:BD211)),"")</f>
        <v>QCNM Lahore, Al Mustafa Trust</v>
      </c>
    </row>
    <row r="212" spans="55:56" x14ac:dyDescent="0.3">
      <c r="BC212" t="s">
        <v>125</v>
      </c>
      <c r="BD212" t="str" cm="1">
        <f t="array" ref="BD212">IFERROR(INDEX(_xlfn._xlws.SORT(_xlfn._xlws.FILTER(SimpleDashData810[QCNM Name],IF($D$4&lt;&gt;"",SimpleDashData810[QCNM Name]=$D$4,IF($B$4="All Regions",1,SimpleDashData810[Region]=$B$4))*IF($A$4="All Sections",1,SimpleDashData810[Section]=$A$4))),ROWS($BD$153:BD212)),"")</f>
        <v>QCNM Lahore, Binnat School (Model Town)</v>
      </c>
    </row>
    <row r="213" spans="55:56" x14ac:dyDescent="0.3">
      <c r="BC213" t="s">
        <v>126</v>
      </c>
      <c r="BD213" t="str" cm="1">
        <f t="array" ref="BD213">IFERROR(INDEX(_xlfn._xlws.SORT(_xlfn._xlws.FILTER(SimpleDashData810[QCNM Name],IF($D$4&lt;&gt;"",SimpleDashData810[QCNM Name]=$D$4,IF($B$4="All Regions",1,SimpleDashData810[Region]=$B$4))*IF($A$4="All Sections",1,SimpleDashData810[Section]=$A$4))),ROWS($BD$153:BD213)),"")</f>
        <v>QCNM Lahore, Chauburji</v>
      </c>
    </row>
    <row r="214" spans="55:56" x14ac:dyDescent="0.3">
      <c r="BC214" t="s">
        <v>103</v>
      </c>
      <c r="BD214" t="str" cm="1">
        <f t="array" ref="BD214">IFERROR(INDEX(_xlfn._xlws.SORT(_xlfn._xlws.FILTER(SimpleDashData810[QCNM Name],IF($D$4&lt;&gt;"",SimpleDashData810[QCNM Name]=$D$4,IF($B$4="All Regions",1,SimpleDashData810[Region]=$B$4))*IF($A$4="All Sections",1,SimpleDashData810[Section]=$A$4))),ROWS($BD$153:BD214)),"")</f>
        <v>QCNM Lahore, District (Camp) Jail</v>
      </c>
    </row>
    <row r="215" spans="55:56" x14ac:dyDescent="0.3">
      <c r="BC215" t="s">
        <v>102</v>
      </c>
      <c r="BD215" t="str" cm="1">
        <f t="array" ref="BD215">IFERROR(INDEX(_xlfn._xlws.SORT(_xlfn._xlws.FILTER(SimpleDashData810[QCNM Name],IF($D$4&lt;&gt;"",SimpleDashData810[QCNM Name]=$D$4,IF($B$4="All Regions",1,SimpleDashData810[Region]=$B$4))*IF($A$4="All Sections",1,SimpleDashData810[Section]=$A$4))),ROWS($BD$153:BD215)),"")</f>
        <v>QCNM Lahore, Kot Lakhpat Jail</v>
      </c>
    </row>
    <row r="216" spans="55:56" x14ac:dyDescent="0.3">
      <c r="BC216" t="s">
        <v>131</v>
      </c>
      <c r="BD216" t="str" cm="1">
        <f t="array" ref="BD216">IFERROR(INDEX(_xlfn._xlws.SORT(_xlfn._xlws.FILTER(SimpleDashData810[QCNM Name],IF($D$4&lt;&gt;"",SimpleDashData810[QCNM Name]=$D$4,IF($B$4="All Regions",1,SimpleDashData810[Region]=$B$4))*IF($A$4="All Sections",1,SimpleDashData810[Section]=$A$4))),ROWS($BD$153:BD216)),"")</f>
        <v>QCNM Lahore, Molvi Najjar Ashiana Housing</v>
      </c>
    </row>
    <row r="217" spans="55:56" x14ac:dyDescent="0.3">
      <c r="BC217" t="s">
        <v>82</v>
      </c>
      <c r="BD217" t="str" cm="1">
        <f t="array" ref="BD217">IFERROR(INDEX(_xlfn._xlws.SORT(_xlfn._xlws.FILTER(SimpleDashData810[QCNM Name],IF($D$4&lt;&gt;"",SimpleDashData810[QCNM Name]=$D$4,IF($B$4="All Regions",1,SimpleDashData810[Region]=$B$4))*IF($A$4="All Sections",1,SimpleDashData810[Section]=$A$4))),ROWS($BD$153:BD217)),"")</f>
        <v>QCNM Lahore, Nonarian</v>
      </c>
    </row>
    <row r="218" spans="55:56" x14ac:dyDescent="0.3">
      <c r="BC218" t="s">
        <v>189</v>
      </c>
      <c r="BD218" t="str" cm="1">
        <f t="array" ref="BD218">IFERROR(INDEX(_xlfn._xlws.SORT(_xlfn._xlws.FILTER(SimpleDashData810[QCNM Name],IF($D$4&lt;&gt;"",SimpleDashData810[QCNM Name]=$D$4,IF($B$4="All Regions",1,SimpleDashData810[Region]=$B$4))*IF($A$4="All Sections",1,SimpleDashData810[Section]=$A$4))),ROWS($BD$153:BD218)),"")</f>
        <v>QCNM Lahore, Women Central Jail</v>
      </c>
    </row>
    <row r="219" spans="55:56" x14ac:dyDescent="0.3">
      <c r="BC219" t="s">
        <v>199</v>
      </c>
      <c r="BD219" t="str" cm="1">
        <f t="array" ref="BD219">IFERROR(INDEX(_xlfn._xlws.SORT(_xlfn._xlws.FILTER(SimpleDashData810[QCNM Name],IF($D$4&lt;&gt;"",SimpleDashData810[QCNM Name]=$D$4,IF($B$4="All Regions",1,SimpleDashData810[Region]=$B$4))*IF($A$4="All Sections",1,SimpleDashData810[Section]=$A$4))),ROWS($BD$153:BD219)),"")</f>
        <v>QCNM Lakki Marwat District Jail</v>
      </c>
    </row>
    <row r="220" spans="55:56" x14ac:dyDescent="0.3">
      <c r="BC220" t="s">
        <v>177</v>
      </c>
      <c r="BD220" t="str" cm="1">
        <f t="array" ref="BD220">IFERROR(INDEX(_xlfn._xlws.SORT(_xlfn._xlws.FILTER(SimpleDashData810[QCNM Name],IF($D$4&lt;&gt;"",SimpleDashData810[QCNM Name]=$D$4,IF($B$4="All Regions",1,SimpleDashData810[Region]=$B$4))*IF($A$4="All Sections",1,SimpleDashData810[Section]=$A$4))),ROWS($BD$153:BD220)),"")</f>
        <v>QCNM Larkana, Central Prison</v>
      </c>
    </row>
    <row r="221" spans="55:56" x14ac:dyDescent="0.3">
      <c r="BC221" t="s">
        <v>158</v>
      </c>
      <c r="BD221" t="str" cm="1">
        <f t="array" ref="BD221">IFERROR(INDEX(_xlfn._xlws.SORT(_xlfn._xlws.FILTER(SimpleDashData810[QCNM Name],IF($D$4&lt;&gt;"",SimpleDashData810[QCNM Name]=$D$4,IF($B$4="All Regions",1,SimpleDashData810[Region]=$B$4))*IF($A$4="All Sections",1,SimpleDashData810[Section]=$A$4))),ROWS($BD$153:BD221)),"")</f>
        <v>QCNM Larkana, District Jail</v>
      </c>
    </row>
    <row r="222" spans="55:56" x14ac:dyDescent="0.3">
      <c r="BC222" t="s">
        <v>159</v>
      </c>
      <c r="BD222" t="str" cm="1">
        <f t="array" ref="BD222">IFERROR(INDEX(_xlfn._xlws.SORT(_xlfn._xlws.FILTER(SimpleDashData810[QCNM Name],IF($D$4&lt;&gt;"",SimpleDashData810[QCNM Name]=$D$4,IF($B$4="All Regions",1,SimpleDashData810[Region]=$B$4))*IF($A$4="All Sections",1,SimpleDashData810[Section]=$A$4))),ROWS($BD$153:BD222)),"")</f>
        <v>QCNM Lasbela (LUWAMS) University</v>
      </c>
    </row>
    <row r="223" spans="55:56" x14ac:dyDescent="0.3">
      <c r="BC223" t="s">
        <v>171</v>
      </c>
      <c r="BD223" t="str" cm="1">
        <f t="array" ref="BD223">IFERROR(INDEX(_xlfn._xlws.SORT(_xlfn._xlws.FILTER(SimpleDashData810[QCNM Name],IF($D$4&lt;&gt;"",SimpleDashData810[QCNM Name]=$D$4,IF($B$4="All Regions",1,SimpleDashData810[Region]=$B$4))*IF($A$4="All Sections",1,SimpleDashData810[Section]=$A$4))),ROWS($BD$153:BD223)),"")</f>
        <v>QCNM Layyah, District Jail</v>
      </c>
    </row>
    <row r="224" spans="55:56" x14ac:dyDescent="0.3">
      <c r="BC224" t="s">
        <v>188</v>
      </c>
      <c r="BD224" t="str" cm="1">
        <f t="array" ref="BD224">IFERROR(INDEX(_xlfn._xlws.SORT(_xlfn._xlws.FILTER(SimpleDashData810[QCNM Name],IF($D$4&lt;&gt;"",SimpleDashData810[QCNM Name]=$D$4,IF($B$4="All Regions",1,SimpleDashData810[Region]=$B$4))*IF($A$4="All Sections",1,SimpleDashData810[Section]=$A$4))),ROWS($BD$153:BD224)),"")</f>
        <v>QCNM Lodhran, District Jail</v>
      </c>
    </row>
    <row r="225" spans="55:56" x14ac:dyDescent="0.3">
      <c r="BC225" t="s">
        <v>99</v>
      </c>
      <c r="BD225" t="str" cm="1">
        <f t="array" ref="BD225">IFERROR(INDEX(_xlfn._xlws.SORT(_xlfn._xlws.FILTER(SimpleDashData810[QCNM Name],IF($D$4&lt;&gt;"",SimpleDashData810[QCNM Name]=$D$4,IF($B$4="All Regions",1,SimpleDashData810[Region]=$B$4))*IF($A$4="All Sections",1,SimpleDashData810[Section]=$A$4))),ROWS($BD$153:BD225)),"")</f>
        <v>QCNM Loralai</v>
      </c>
    </row>
    <row r="226" spans="55:56" x14ac:dyDescent="0.3">
      <c r="BC226" t="s">
        <v>146</v>
      </c>
      <c r="BD226" t="str" cm="1">
        <f t="array" ref="BD226">IFERROR(INDEX(_xlfn._xlws.SORT(_xlfn._xlws.FILTER(SimpleDashData810[QCNM Name],IF($D$4&lt;&gt;"",SimpleDashData810[QCNM Name]=$D$4,IF($B$4="All Regions",1,SimpleDashData810[Region]=$B$4))*IF($A$4="All Sections",1,SimpleDashData810[Section]=$A$4))),ROWS($BD$153:BD226)),"")</f>
        <v>QCNM Loralai, District Jail</v>
      </c>
    </row>
    <row r="227" spans="55:56" x14ac:dyDescent="0.3">
      <c r="BC227" t="s">
        <v>75</v>
      </c>
      <c r="BD227" t="str" cm="1">
        <f t="array" ref="BD227">IFERROR(INDEX(_xlfn._xlws.SORT(_xlfn._xlws.FILTER(SimpleDashData810[QCNM Name],IF($D$4&lt;&gt;"",SimpleDashData810[QCNM Name]=$D$4,IF($B$4="All Regions",1,SimpleDashData810[Region]=$B$4))*IF($A$4="All Sections",1,SimpleDashData810[Section]=$A$4))),ROWS($BD$153:BD227)),"")</f>
        <v>QCNM Mamukanjan</v>
      </c>
    </row>
    <row r="228" spans="55:56" x14ac:dyDescent="0.3">
      <c r="BC228" t="s">
        <v>76</v>
      </c>
      <c r="BD228" t="str" cm="1">
        <f t="array" ref="BD228">IFERROR(INDEX(_xlfn._xlws.SORT(_xlfn._xlws.FILTER(SimpleDashData810[QCNM Name],IF($D$4&lt;&gt;"",SimpleDashData810[QCNM Name]=$D$4,IF($B$4="All Regions",1,SimpleDashData810[Region]=$B$4))*IF($A$4="All Sections",1,SimpleDashData810[Section]=$A$4))),ROWS($BD$153:BD228)),"")</f>
        <v>QCNM Mandibhaudin, District Jail</v>
      </c>
    </row>
    <row r="229" spans="55:56" x14ac:dyDescent="0.3">
      <c r="BC229" t="s">
        <v>209</v>
      </c>
      <c r="BD229" t="str" cm="1">
        <f t="array" ref="BD229">IFERROR(INDEX(_xlfn._xlws.SORT(_xlfn._xlws.FILTER(SimpleDashData810[QCNM Name],IF($D$4&lt;&gt;"",SimpleDashData810[QCNM Name]=$D$4,IF($B$4="All Regions",1,SimpleDashData810[Region]=$B$4))*IF($A$4="All Sections",1,SimpleDashData810[Section]=$A$4))),ROWS($BD$153:BD229)),"")</f>
        <v>QCNM Mansehra, District Jail</v>
      </c>
    </row>
    <row r="230" spans="55:56" x14ac:dyDescent="0.3">
      <c r="BC230" t="s">
        <v>147</v>
      </c>
      <c r="BD230" t="str" cm="1">
        <f t="array" ref="BD230">IFERROR(INDEX(_xlfn._xlws.SORT(_xlfn._xlws.FILTER(SimpleDashData810[QCNM Name],IF($D$4&lt;&gt;"",SimpleDashData810[QCNM Name]=$D$4,IF($B$4="All Regions",1,SimpleDashData810[Region]=$B$4))*IF($A$4="All Sections",1,SimpleDashData810[Section]=$A$4))),ROWS($BD$153:BD230)),"")</f>
        <v>QCNM Mardan, Central Jail</v>
      </c>
    </row>
    <row r="231" spans="55:56" x14ac:dyDescent="0.3">
      <c r="BC231" t="s">
        <v>138</v>
      </c>
      <c r="BD231" t="str" cm="1">
        <f t="array" ref="BD231">IFERROR(INDEX(_xlfn._xlws.SORT(_xlfn._xlws.FILTER(SimpleDashData810[QCNM Name],IF($D$4&lt;&gt;"",SimpleDashData810[QCNM Name]=$D$4,IF($B$4="All Regions",1,SimpleDashData810[Region]=$B$4))*IF($A$4="All Sections",1,SimpleDashData810[Section]=$A$4))),ROWS($BD$153:BD231)),"")</f>
        <v>QCNM Mianwali, Central Jail</v>
      </c>
    </row>
    <row r="232" spans="55:56" x14ac:dyDescent="0.3">
      <c r="BC232" t="s">
        <v>201</v>
      </c>
      <c r="BD232" t="str" cm="1">
        <f t="array" ref="BD232">IFERROR(INDEX(_xlfn._xlws.SORT(_xlfn._xlws.FILTER(SimpleDashData810[QCNM Name],IF($D$4&lt;&gt;"",SimpleDashData810[QCNM Name]=$D$4,IF($B$4="All Regions",1,SimpleDashData810[Region]=$B$4))*IF($A$4="All Sections",1,SimpleDashData810[Section]=$A$4))),ROWS($BD$153:BD232)),"")</f>
        <v>QCNM Minchinabad Jamia</v>
      </c>
    </row>
    <row r="233" spans="55:56" x14ac:dyDescent="0.3">
      <c r="BC233" t="s">
        <v>195</v>
      </c>
      <c r="BD233" t="str" cm="1">
        <f t="array" ref="BD233">IFERROR(INDEX(_xlfn._xlws.SORT(_xlfn._xlws.FILTER(SimpleDashData810[QCNM Name],IF($D$4&lt;&gt;"",SimpleDashData810[QCNM Name]=$D$4,IF($B$4="All Regions",1,SimpleDashData810[Region]=$B$4))*IF($A$4="All Sections",1,SimpleDashData810[Section]=$A$4))),ROWS($BD$153:BD233)),"")</f>
        <v>QCNM Mirpur Central Jail</v>
      </c>
    </row>
    <row r="234" spans="55:56" x14ac:dyDescent="0.3">
      <c r="BC234" t="s">
        <v>160</v>
      </c>
      <c r="BD234" t="str" cm="1">
        <f t="array" ref="BD234">IFERROR(INDEX(_xlfn._xlws.SORT(_xlfn._xlws.FILTER(SimpleDashData810[QCNM Name],IF($D$4&lt;&gt;"",SimpleDashData810[QCNM Name]=$D$4,IF($B$4="All Regions",1,SimpleDashData810[Region]=$B$4))*IF($A$4="All Sections",1,SimpleDashData810[Section]=$A$4))),ROWS($BD$153:BD234)),"")</f>
        <v>QCNM Mirpur khas CJ Jail</v>
      </c>
    </row>
    <row r="235" spans="55:56" x14ac:dyDescent="0.3">
      <c r="BC235" t="s">
        <v>161</v>
      </c>
      <c r="BD235" t="str" cm="1">
        <f t="array" ref="BD235">IFERROR(INDEX(_xlfn._xlws.SORT(_xlfn._xlws.FILTER(SimpleDashData810[QCNM Name],IF($D$4&lt;&gt;"",SimpleDashData810[QCNM Name]=$D$4,IF($B$4="All Regions",1,SimpleDashData810[Region]=$B$4))*IF($A$4="All Sections",1,SimpleDashData810[Section]=$A$4))),ROWS($BD$153:BD235)),"")</f>
        <v>QCNM Multan, Central Jail</v>
      </c>
    </row>
    <row r="236" spans="55:56" x14ac:dyDescent="0.3">
      <c r="BC236" t="s">
        <v>108</v>
      </c>
      <c r="BD236" t="str" cm="1">
        <f t="array" ref="BD236">IFERROR(INDEX(_xlfn._xlws.SORT(_xlfn._xlws.FILTER(SimpleDashData810[QCNM Name],IF($D$4&lt;&gt;"",SimpleDashData810[QCNM Name]=$D$4,IF($B$4="All Regions",1,SimpleDashData810[Region]=$B$4))*IF($A$4="All Sections",1,SimpleDashData810[Section]=$A$4))),ROWS($BD$153:BD236)),"")</f>
        <v>QCNM Multan, District Jail</v>
      </c>
    </row>
    <row r="237" spans="55:56" x14ac:dyDescent="0.3">
      <c r="BC237" t="s">
        <v>200</v>
      </c>
      <c r="BD237" t="str" cm="1">
        <f t="array" ref="BD237">IFERROR(INDEX(_xlfn._xlws.SORT(_xlfn._xlws.FILTER(SimpleDashData810[QCNM Name],IF($D$4&lt;&gt;"",SimpleDashData810[QCNM Name]=$D$4,IF($B$4="All Regions",1,SimpleDashData810[Region]=$B$4))*IF($A$4="All Sections",1,SimpleDashData810[Section]=$A$4))),ROWS($BD$153:BD237)),"")</f>
        <v>QCNM Muridke, Disp</v>
      </c>
    </row>
    <row r="238" spans="55:56" x14ac:dyDescent="0.3">
      <c r="BC238" t="s">
        <v>162</v>
      </c>
      <c r="BD238" t="str" cm="1">
        <f t="array" ref="BD238">IFERROR(INDEX(_xlfn._xlws.SORT(_xlfn._xlws.FILTER(SimpleDashData810[QCNM Name],IF($D$4&lt;&gt;"",SimpleDashData810[QCNM Name]=$D$4,IF($B$4="All Regions",1,SimpleDashData810[Region]=$B$4))*IF($A$4="All Sections",1,SimpleDashData810[Section]=$A$4))),ROWS($BD$153:BD238)),"")</f>
        <v>QCNM Muzaffarabad Central Jail</v>
      </c>
    </row>
    <row r="239" spans="55:56" x14ac:dyDescent="0.3">
      <c r="BC239" t="s">
        <v>127</v>
      </c>
      <c r="BD239" t="str" cm="1">
        <f t="array" ref="BD239">IFERROR(INDEX(_xlfn._xlws.SORT(_xlfn._xlws.FILTER(SimpleDashData810[QCNM Name],IF($D$4&lt;&gt;"",SimpleDashData810[QCNM Name]=$D$4,IF($B$4="All Regions",1,SimpleDashData810[Region]=$B$4))*IF($A$4="All Sections",1,SimpleDashData810[Section]=$A$4))),ROWS($BD$153:BD239)),"")</f>
        <v>QCNM Muzaffargarh, District Jail</v>
      </c>
    </row>
    <row r="240" spans="55:56" x14ac:dyDescent="0.3">
      <c r="BC240" t="s">
        <v>93</v>
      </c>
      <c r="BD240" t="str" cm="1">
        <f t="array" ref="BD240">IFERROR(INDEX(_xlfn._xlws.SORT(_xlfn._xlws.FILTER(SimpleDashData810[QCNM Name],IF($D$4&lt;&gt;"",SimpleDashData810[QCNM Name]=$D$4,IF($B$4="All Regions",1,SimpleDashData810[Region]=$B$4))*IF($A$4="All Sections",1,SimpleDashData810[Section]=$A$4))),ROWS($BD$153:BD240)),"")</f>
        <v>QCNM Narowal, Disst Jail</v>
      </c>
    </row>
    <row r="241" spans="55:56" x14ac:dyDescent="0.3">
      <c r="BC241" t="s">
        <v>164</v>
      </c>
      <c r="BD241" t="str" cm="1">
        <f t="array" ref="BD241">IFERROR(INDEX(_xlfn._xlws.SORT(_xlfn._xlws.FILTER(SimpleDashData810[QCNM Name],IF($D$4&lt;&gt;"",SimpleDashData810[QCNM Name]=$D$4,IF($B$4="All Regions",1,SimpleDashData810[Region]=$B$4))*IF($A$4="All Sections",1,SimpleDashData810[Section]=$A$4))),ROWS($BD$153:BD241)),"")</f>
        <v>QCNM Nowshera, Sub Jail</v>
      </c>
    </row>
    <row r="242" spans="55:56" x14ac:dyDescent="0.3">
      <c r="BC242" t="s">
        <v>55</v>
      </c>
      <c r="BD242" t="str" cm="1">
        <f t="array" ref="BD242">IFERROR(INDEX(_xlfn._xlws.SORT(_xlfn._xlws.FILTER(SimpleDashData810[QCNM Name],IF($D$4&lt;&gt;"",SimpleDashData810[QCNM Name]=$D$4,IF($B$4="All Regions",1,SimpleDashData810[Region]=$B$4))*IF($A$4="All Sections",1,SimpleDashData810[Section]=$A$4))),ROWS($BD$153:BD242)),"")</f>
        <v>QCNM Okara, District Jail</v>
      </c>
    </row>
    <row r="243" spans="55:56" x14ac:dyDescent="0.3">
      <c r="BC243" t="s">
        <v>44</v>
      </c>
      <c r="BD243" t="str" cm="1">
        <f t="array" ref="BD243">IFERROR(INDEX(_xlfn._xlws.SORT(_xlfn._xlws.FILTER(SimpleDashData810[QCNM Name],IF($D$4&lt;&gt;"",SimpleDashData810[QCNM Name]=$D$4,IF($B$4="All Regions",1,SimpleDashData810[Region]=$B$4))*IF($A$4="All Sections",1,SimpleDashData810[Section]=$A$4))),ROWS($BD$153:BD243)),"")</f>
        <v>QCNM Pak Pattan, District Jail</v>
      </c>
    </row>
    <row r="244" spans="55:56" x14ac:dyDescent="0.3">
      <c r="BC244" t="s">
        <v>165</v>
      </c>
      <c r="BD244" t="str" cm="1">
        <f t="array" ref="BD244">IFERROR(INDEX(_xlfn._xlws.SORT(_xlfn._xlws.FILTER(SimpleDashData810[QCNM Name],IF($D$4&lt;&gt;"",SimpleDashData810[QCNM Name]=$D$4,IF($B$4="All Regions",1,SimpleDashData810[Region]=$B$4))*IF($A$4="All Sections",1,SimpleDashData810[Section]=$A$4))),ROWS($BD$153:BD244)),"")</f>
        <v>QCNM Peshawar, Central Prison</v>
      </c>
    </row>
    <row r="245" spans="55:56" x14ac:dyDescent="0.3">
      <c r="BC245" t="s">
        <v>77</v>
      </c>
      <c r="BD245" t="str" cm="1">
        <f t="array" ref="BD245">IFERROR(INDEX(_xlfn._xlws.SORT(_xlfn._xlws.FILTER(SimpleDashData810[QCNM Name],IF($D$4&lt;&gt;"",SimpleDashData810[QCNM Name]=$D$4,IF($B$4="All Regions",1,SimpleDashData810[Region]=$B$4))*IF($A$4="All Sections",1,SimpleDashData810[Section]=$A$4))),ROWS($BD$153:BD245)),"")</f>
        <v>QCNM PHQ Gilgit</v>
      </c>
    </row>
    <row r="246" spans="55:56" x14ac:dyDescent="0.3">
      <c r="BC246" t="s">
        <v>210</v>
      </c>
      <c r="BD246" t="str" cm="1">
        <f t="array" ref="BD246">IFERROR(INDEX(_xlfn._xlws.SORT(_xlfn._xlws.FILTER(SimpleDashData810[QCNM Name],IF($D$4&lt;&gt;"",SimpleDashData810[QCNM Name]=$D$4,IF($B$4="All Regions",1,SimpleDashData810[Region]=$B$4))*IF($A$4="All Sections",1,SimpleDashData810[Section]=$A$4))),ROWS($BD$153:BD246)),"")</f>
        <v>QCNM PTC Gilgit</v>
      </c>
    </row>
    <row r="247" spans="55:56" x14ac:dyDescent="0.3">
      <c r="BC247" t="s">
        <v>191</v>
      </c>
      <c r="BD247" t="str" cm="1">
        <f t="array" ref="BD247">IFERROR(INDEX(_xlfn._xlws.SORT(_xlfn._xlws.FILTER(SimpleDashData810[QCNM Name],IF($D$4&lt;&gt;"",SimpleDashData810[QCNM Name]=$D$4,IF($B$4="All Regions",1,SimpleDashData810[Region]=$B$4))*IF($A$4="All Sections",1,SimpleDashData810[Section]=$A$4))),ROWS($BD$153:BD247)),"")</f>
        <v xml:space="preserve">QCNM QCNM Lums </v>
      </c>
    </row>
    <row r="248" spans="55:56" x14ac:dyDescent="0.3">
      <c r="BC248" t="s">
        <v>139</v>
      </c>
      <c r="BD248" t="str" cm="1">
        <f t="array" ref="BD248">IFERROR(INDEX(_xlfn._xlws.SORT(_xlfn._xlws.FILTER(SimpleDashData810[QCNM Name],IF($D$4&lt;&gt;"",SimpleDashData810[QCNM Name]=$D$4,IF($B$4="All Regions",1,SimpleDashData810[Region]=$B$4))*IF($A$4="All Sections",1,SimpleDashData810[Section]=$A$4))),ROWS($BD$153:BD248)),"")</f>
        <v>QCNM Quetta, District Jail</v>
      </c>
    </row>
    <row r="249" spans="55:56" x14ac:dyDescent="0.3">
      <c r="BC249" t="s">
        <v>186</v>
      </c>
      <c r="BD249" t="str" cm="1">
        <f t="array" ref="BD249">IFERROR(INDEX(_xlfn._xlws.SORT(_xlfn._xlws.FILTER(SimpleDashData810[QCNM Name],IF($D$4&lt;&gt;"",SimpleDashData810[QCNM Name]=$D$4,IF($B$4="All Regions",1,SimpleDashData810[Region]=$B$4))*IF($A$4="All Sections",1,SimpleDashData810[Section]=$A$4))),ROWS($BD$153:BD249)),"")</f>
        <v>QCNM Rahim Yar Khan, District Jail</v>
      </c>
    </row>
    <row r="250" spans="55:56" x14ac:dyDescent="0.3">
      <c r="BC250" t="s">
        <v>54</v>
      </c>
      <c r="BD250" t="str" cm="1">
        <f t="array" ref="BD250">IFERROR(INDEX(_xlfn._xlws.SORT(_xlfn._xlws.FILTER(SimpleDashData810[QCNM Name],IF($D$4&lt;&gt;"",SimpleDashData810[QCNM Name]=$D$4,IF($B$4="All Regions",1,SimpleDashData810[Region]=$B$4))*IF($A$4="All Sections",1,SimpleDashData810[Section]=$A$4))),ROWS($BD$153:BD250)),"")</f>
        <v>QCNM RAHMA Hospital Janpur</v>
      </c>
    </row>
    <row r="251" spans="55:56" x14ac:dyDescent="0.3">
      <c r="BC251" t="s">
        <v>56</v>
      </c>
      <c r="BD251" t="str" cm="1">
        <f t="array" ref="BD251">IFERROR(INDEX(_xlfn._xlws.SORT(_xlfn._xlws.FILTER(SimpleDashData810[QCNM Name],IF($D$4&lt;&gt;"",SimpleDashData810[QCNM Name]=$D$4,IF($B$4="All Regions",1,SimpleDashData810[Region]=$B$4))*IF($A$4="All Sections",1,SimpleDashData810[Section]=$A$4))),ROWS($BD$153:BD251)),"")</f>
        <v>QCNM Rajanpur, Distrit jail</v>
      </c>
    </row>
    <row r="252" spans="55:56" x14ac:dyDescent="0.3">
      <c r="BC252" t="s">
        <v>167</v>
      </c>
      <c r="BD252" t="str" cm="1">
        <f t="array" ref="BD252">IFERROR(INDEX(_xlfn._xlws.SORT(_xlfn._xlws.FILTER(SimpleDashData810[QCNM Name],IF($D$4&lt;&gt;"",SimpleDashData810[QCNM Name]=$D$4,IF($B$4="All Regions",1,SimpleDashData810[Region]=$B$4))*IF($A$4="All Sections",1,SimpleDashData810[Section]=$A$4))),ROWS($BD$153:BD252)),"")</f>
        <v>QCNM Rawalakot District Jail</v>
      </c>
    </row>
    <row r="253" spans="55:56" x14ac:dyDescent="0.3">
      <c r="BC253" t="s">
        <v>166</v>
      </c>
      <c r="BD253" t="str" cm="1">
        <f t="array" ref="BD253">IFERROR(INDEX(_xlfn._xlws.SORT(_xlfn._xlws.FILTER(SimpleDashData810[QCNM Name],IF($D$4&lt;&gt;"",SimpleDashData810[QCNM Name]=$D$4,IF($B$4="All Regions",1,SimpleDashData810[Region]=$B$4))*IF($A$4="All Sections",1,SimpleDashData810[Section]=$A$4))),ROWS($BD$153:BD253)),"")</f>
        <v>QCNM Rawalakot, University of Poonch</v>
      </c>
    </row>
    <row r="254" spans="55:56" x14ac:dyDescent="0.3">
      <c r="BC254" t="s">
        <v>203</v>
      </c>
      <c r="BD254" t="str" cm="1">
        <f t="array" ref="BD254">IFERROR(INDEX(_xlfn._xlws.SORT(_xlfn._xlws.FILTER(SimpleDashData810[QCNM Name],IF($D$4&lt;&gt;"",SimpleDashData810[QCNM Name]=$D$4,IF($B$4="All Regions",1,SimpleDashData810[Region]=$B$4))*IF($A$4="All Sections",1,SimpleDashData810[Section]=$A$4))),ROWS($BD$153:BD254)),"")</f>
        <v>QCNM Rawalpindi Adayala Jail</v>
      </c>
    </row>
    <row r="255" spans="55:56" x14ac:dyDescent="0.3">
      <c r="BC255" t="s">
        <v>183</v>
      </c>
      <c r="BD255" t="str" cm="1">
        <f t="array" ref="BD255">IFERROR(INDEX(_xlfn._xlws.SORT(_xlfn._xlws.FILTER(SimpleDashData810[QCNM Name],IF($D$4&lt;&gt;"",SimpleDashData810[QCNM Name]=$D$4,IF($B$4="All Regions",1,SimpleDashData810[Region]=$B$4))*IF($A$4="All Sections",1,SimpleDashData810[Section]=$A$4))),ROWS($BD$153:BD255)),"")</f>
        <v>QCNM RHC Washbood</v>
      </c>
    </row>
    <row r="256" spans="55:56" x14ac:dyDescent="0.3">
      <c r="BC256" t="s">
        <v>148</v>
      </c>
      <c r="BD256" t="str" cm="1">
        <f t="array" ref="BD256">IFERROR(INDEX(_xlfn._xlws.SORT(_xlfn._xlws.FILTER(SimpleDashData810[QCNM Name],IF($D$4&lt;&gt;"",SimpleDashData810[QCNM Name]=$D$4,IF($B$4="All Regions",1,SimpleDashData810[Region]=$B$4))*IF($A$4="All Sections",1,SimpleDashData810[Section]=$A$4))),ROWS($BD$153:BD256)),"")</f>
        <v>QCNM RHQ Chillas</v>
      </c>
    </row>
    <row r="257" spans="55:56" x14ac:dyDescent="0.3">
      <c r="BC257" t="s">
        <v>57</v>
      </c>
      <c r="BD257" t="str" cm="1">
        <f t="array" ref="BD257">IFERROR(INDEX(_xlfn._xlws.SORT(_xlfn._xlws.FILTER(SimpleDashData810[QCNM Name],IF($D$4&lt;&gt;"",SimpleDashData810[QCNM Name]=$D$4,IF($B$4="All Regions",1,SimpleDashData810[Region]=$B$4))*IF($A$4="All Sections",1,SimpleDashData810[Section]=$A$4))),ROWS($BD$153:BD257)),"")</f>
        <v>QCNM RHQ- Hospital Skardu</v>
      </c>
    </row>
    <row r="258" spans="55:56" x14ac:dyDescent="0.3">
      <c r="BC258" t="s">
        <v>92</v>
      </c>
      <c r="BD258" t="str" cm="1">
        <f t="array" ref="BD258">IFERROR(INDEX(_xlfn._xlws.SORT(_xlfn._xlws.FILTER(SimpleDashData810[QCNM Name],IF($D$4&lt;&gt;"",SimpleDashData810[QCNM Name]=$D$4,IF($B$4="All Regions",1,SimpleDashData810[Region]=$B$4))*IF($A$4="All Sections",1,SimpleDashData810[Section]=$A$4))),ROWS($BD$153:BD258)),"")</f>
        <v>QCNM Sadda, Sub Jail</v>
      </c>
    </row>
    <row r="259" spans="55:56" x14ac:dyDescent="0.3">
      <c r="BC259" t="s">
        <v>168</v>
      </c>
      <c r="BD259" t="str" cm="1">
        <f t="array" ref="BD259">IFERROR(INDEX(_xlfn._xlws.SORT(_xlfn._xlws.FILTER(SimpleDashData810[QCNM Name],IF($D$4&lt;&gt;"",SimpleDashData810[QCNM Name]=$D$4,IF($B$4="All Regions",1,SimpleDashData810[Region]=$B$4))*IF($A$4="All Sections",1,SimpleDashData810[Section]=$A$4))),ROWS($BD$153:BD259)),"")</f>
        <v>QCNM Sahiwal, Central Jail</v>
      </c>
    </row>
    <row r="260" spans="55:56" x14ac:dyDescent="0.3">
      <c r="BC260" t="s">
        <v>170</v>
      </c>
      <c r="BD260" t="str" cm="1">
        <f t="array" ref="BD260">IFERROR(INDEX(_xlfn._xlws.SORT(_xlfn._xlws.FILTER(SimpleDashData810[QCNM Name],IF($D$4&lt;&gt;"",SimpleDashData810[QCNM Name]=$D$4,IF($B$4="All Regions",1,SimpleDashData810[Region]=$B$4))*IF($A$4="All Sections",1,SimpleDashData810[Section]=$A$4))),ROWS($BD$153:BD260)),"")</f>
        <v>QCNM Sahiwal, High Security Prison</v>
      </c>
    </row>
    <row r="261" spans="55:56" x14ac:dyDescent="0.3">
      <c r="BC261" t="s">
        <v>176</v>
      </c>
      <c r="BD261" t="str" cm="1">
        <f t="array" ref="BD261">IFERROR(INDEX(_xlfn._xlws.SORT(_xlfn._xlws.FILTER(SimpleDashData810[QCNM Name],IF($D$4&lt;&gt;"",SimpleDashData810[QCNM Name]=$D$4,IF($B$4="All Regions",1,SimpleDashData810[Region]=$B$4))*IF($A$4="All Sections",1,SimpleDashData810[Section]=$A$4))),ROWS($BD$153:BD261)),"")</f>
        <v>QCNM Sardar Bahdur Khan University</v>
      </c>
    </row>
    <row r="262" spans="55:56" x14ac:dyDescent="0.3">
      <c r="BC262" t="s">
        <v>149</v>
      </c>
      <c r="BD262" t="str" cm="1">
        <f t="array" ref="BD262">IFERROR(INDEX(_xlfn._xlws.SORT(_xlfn._xlws.FILTER(SimpleDashData810[QCNM Name],IF($D$4&lt;&gt;"",SimpleDashData810[QCNM Name]=$D$4,IF($B$4="All Regions",1,SimpleDashData810[Region]=$B$4))*IF($A$4="All Sections",1,SimpleDashData810[Section]=$A$4))),ROWS($BD$153:BD262)),"")</f>
        <v>QCNM Sargodha, District Jail</v>
      </c>
    </row>
    <row r="263" spans="55:56" x14ac:dyDescent="0.3">
      <c r="BC263" t="s">
        <v>150</v>
      </c>
      <c r="BD263" t="str" cm="1">
        <f t="array" ref="BD263">IFERROR(INDEX(_xlfn._xlws.SORT(_xlfn._xlws.FILTER(SimpleDashData810[QCNM Name],IF($D$4&lt;&gt;"",SimpleDashData810[QCNM Name]=$D$4,IF($B$4="All Regions",1,SimpleDashData810[Region]=$B$4))*IF($A$4="All Sections",1,SimpleDashData810[Section]=$A$4))),ROWS($BD$153:BD263)),"")</f>
        <v>QCNM Shahpur, Dist Jail</v>
      </c>
    </row>
    <row r="264" spans="55:56" x14ac:dyDescent="0.3">
      <c r="BC264" t="s">
        <v>128</v>
      </c>
      <c r="BD264" t="str" cm="1">
        <f t="array" ref="BD264">IFERROR(INDEX(_xlfn._xlws.SORT(_xlfn._xlws.FILTER(SimpleDashData810[QCNM Name],IF($D$4&lt;&gt;"",SimpleDashData810[QCNM Name]=$D$4,IF($B$4="All Regions",1,SimpleDashData810[Region]=$B$4))*IF($A$4="All Sections",1,SimpleDashData810[Section]=$A$4))),ROWS($BD$153:BD264)),"")</f>
        <v>QCNM Sheikhupura, District Jail</v>
      </c>
    </row>
    <row r="265" spans="55:56" x14ac:dyDescent="0.3">
      <c r="BC265" t="s">
        <v>129</v>
      </c>
      <c r="BD265" t="str" cm="1">
        <f t="array" ref="BD265">IFERROR(INDEX(_xlfn._xlws.SORT(_xlfn._xlws.FILTER(SimpleDashData810[QCNM Name],IF($D$4&lt;&gt;"",SimpleDashData810[QCNM Name]=$D$4,IF($B$4="All Regions",1,SimpleDashData810[Region]=$B$4))*IF($A$4="All Sections",1,SimpleDashData810[Section]=$A$4))),ROWS($BD$153:BD265)),"")</f>
        <v>QCNM Sialkot, District Jail</v>
      </c>
    </row>
    <row r="266" spans="55:56" x14ac:dyDescent="0.3">
      <c r="BC266" t="s">
        <v>85</v>
      </c>
      <c r="BD266" t="str" cm="1">
        <f t="array" ref="BD266">IFERROR(INDEX(_xlfn._xlws.SORT(_xlfn._xlws.FILTER(SimpleDashData810[QCNM Name],IF($D$4&lt;&gt;"",SimpleDashData810[QCNM Name]=$D$4,IF($B$4="All Regions",1,SimpleDashData810[Region]=$B$4))*IF($A$4="All Sections",1,SimpleDashData810[Section]=$A$4))),ROWS($BD$153:BD266)),"")</f>
        <v>QCNM Skardu District Jail</v>
      </c>
    </row>
    <row r="267" spans="55:56" x14ac:dyDescent="0.3">
      <c r="BC267" t="s">
        <v>145</v>
      </c>
      <c r="BD267" t="str" cm="1">
        <f t="array" ref="BD267">IFERROR(INDEX(_xlfn._xlws.SORT(_xlfn._xlws.FILTER(SimpleDashData810[QCNM Name],IF($D$4&lt;&gt;"",SimpleDashData810[QCNM Name]=$D$4,IF($B$4="All Regions",1,SimpleDashData810[Region]=$B$4))*IF($A$4="All Sections",1,SimpleDashData810[Section]=$A$4))),ROWS($BD$153:BD267)),"")</f>
        <v>QCNM SSGT Gilgit</v>
      </c>
    </row>
    <row r="268" spans="55:56" x14ac:dyDescent="0.3">
      <c r="BC268" t="s">
        <v>98</v>
      </c>
      <c r="BD268" t="str" cm="1">
        <f t="array" ref="BD268">IFERROR(INDEX(_xlfn._xlws.SORT(_xlfn._xlws.FILTER(SimpleDashData810[QCNM Name],IF($D$4&lt;&gt;"",SimpleDashData810[QCNM Name]=$D$4,IF($B$4="All Regions",1,SimpleDashData810[Region]=$B$4))*IF($A$4="All Sections",1,SimpleDashData810[Section]=$A$4))),ROWS($BD$153:BD268)),"")</f>
        <v>QCNM Sub Jail, Chakwal</v>
      </c>
    </row>
    <row r="269" spans="55:56" x14ac:dyDescent="0.3">
      <c r="BC269" t="s">
        <v>192</v>
      </c>
      <c r="BD269" t="str" cm="1">
        <f t="array" ref="BD269">IFERROR(INDEX(_xlfn._xlws.SORT(_xlfn._xlws.FILTER(SimpleDashData810[QCNM Name],IF($D$4&lt;&gt;"",SimpleDashData810[QCNM Name]=$D$4,IF($B$4="All Regions",1,SimpleDashData810[Region]=$B$4))*IF($A$4="All Sections",1,SimpleDashData810[Section]=$A$4))),ROWS($BD$153:BD269)),"")</f>
        <v>QCNM Subjail Parachinar</v>
      </c>
    </row>
    <row r="270" spans="55:56" x14ac:dyDescent="0.3">
      <c r="BC270" t="s">
        <v>88</v>
      </c>
      <c r="BD270" t="str" cm="1">
        <f t="array" ref="BD270">IFERROR(INDEX(_xlfn._xlws.SORT(_xlfn._xlws.FILTER(SimpleDashData810[QCNM Name],IF($D$4&lt;&gt;"",SimpleDashData810[QCNM Name]=$D$4,IF($B$4="All Regions",1,SimpleDashData810[Region]=$B$4))*IF($A$4="All Sections",1,SimpleDashData810[Section]=$A$4))),ROWS($BD$153:BD270)),"")</f>
        <v>QCNM Sukkur, Central Jail</v>
      </c>
    </row>
    <row r="271" spans="55:56" x14ac:dyDescent="0.3">
      <c r="BC271" t="s">
        <v>78</v>
      </c>
      <c r="BD271" t="str" cm="1">
        <f t="array" ref="BD271">IFERROR(INDEX(_xlfn._xlws.SORT(_xlfn._xlws.FILTER(SimpleDashData810[QCNM Name],IF($D$4&lt;&gt;"",SimpleDashData810[QCNM Name]=$D$4,IF($B$4="All Regions",1,SimpleDashData810[Region]=$B$4))*IF($A$4="All Sections",1,SimpleDashData810[Section]=$A$4))),ROWS($BD$153:BD271)),"")</f>
        <v>QCNM Swabi, Sub Jail</v>
      </c>
    </row>
    <row r="272" spans="55:56" x14ac:dyDescent="0.3">
      <c r="BC272" t="s">
        <v>95</v>
      </c>
      <c r="BD272" t="str" cm="1">
        <f t="array" ref="BD272">IFERROR(INDEX(_xlfn._xlws.SORT(_xlfn._xlws.FILTER(SimpleDashData810[QCNM Name],IF($D$4&lt;&gt;"",SimpleDashData810[QCNM Name]=$D$4,IF($B$4="All Regions",1,SimpleDashData810[Region]=$B$4))*IF($A$4="All Sections",1,SimpleDashData810[Section]=$A$4))),ROWS($BD$153:BD272)),"")</f>
        <v>QCNM Swat, District Jail</v>
      </c>
    </row>
    <row r="273" spans="55:56" x14ac:dyDescent="0.3">
      <c r="BC273" t="s">
        <v>141</v>
      </c>
      <c r="BD273" t="str" cm="1">
        <f t="array" ref="BD273">IFERROR(INDEX(_xlfn._xlws.SORT(_xlfn._xlws.FILTER(SimpleDashData810[QCNM Name],IF($D$4&lt;&gt;"",SimpleDashData810[QCNM Name]=$D$4,IF($B$4="All Regions",1,SimpleDashData810[Region]=$B$4))*IF($A$4="All Sections",1,SimpleDashData810[Section]=$A$4))),ROWS($BD$153:BD273)),"")</f>
        <v>QCNM Tank, Sub Jail</v>
      </c>
    </row>
    <row r="274" spans="55:56" x14ac:dyDescent="0.3">
      <c r="BC274" t="s">
        <v>90</v>
      </c>
      <c r="BD274" t="str" cm="1">
        <f t="array" ref="BD274">IFERROR(INDEX(_xlfn._xlws.SORT(_xlfn._xlws.FILTER(SimpleDashData810[QCNM Name],IF($D$4&lt;&gt;"",SimpleDashData810[QCNM Name]=$D$4,IF($B$4="All Regions",1,SimpleDashData810[Region]=$B$4))*IF($A$4="All Sections",1,SimpleDashData810[Section]=$A$4))),ROWS($BD$153:BD274)),"")</f>
        <v>QCNM The Islamia Uni of Bahawalpur</v>
      </c>
    </row>
    <row r="275" spans="55:56" x14ac:dyDescent="0.3">
      <c r="BC275" t="s">
        <v>130</v>
      </c>
      <c r="BD275" t="str" cm="1">
        <f t="array" ref="BD275">IFERROR(INDEX(_xlfn._xlws.SORT(_xlfn._xlws.FILTER(SimpleDashData810[QCNM Name],IF($D$4&lt;&gt;"",SimpleDashData810[QCNM Name]=$D$4,IF($B$4="All Regions",1,SimpleDashData810[Region]=$B$4))*IF($A$4="All Sections",1,SimpleDashData810[Section]=$A$4))),ROWS($BD$153:BD275)),"")</f>
        <v>QCNM Timergara, District Jail</v>
      </c>
    </row>
    <row r="276" spans="55:56" x14ac:dyDescent="0.3">
      <c r="BC276" t="s">
        <v>184</v>
      </c>
      <c r="BD276" t="str" cm="1">
        <f t="array" ref="BD276">IFERROR(INDEX(_xlfn._xlws.SORT(_xlfn._xlws.FILTER(SimpleDashData810[QCNM Name],IF($D$4&lt;&gt;"",SimpleDashData810[QCNM Name]=$D$4,IF($B$4="All Regions",1,SimpleDashData810[Region]=$B$4))*IF($A$4="All Sections",1,SimpleDashData810[Section]=$A$4))),ROWS($BD$153:BD276)),"")</f>
        <v>QCNM Toba Tek singh,District Jail</v>
      </c>
    </row>
    <row r="277" spans="55:56" x14ac:dyDescent="0.3">
      <c r="BC277" t="s">
        <v>211</v>
      </c>
      <c r="BD277" t="str" cm="1">
        <f t="array" ref="BD277">IFERROR(INDEX(_xlfn._xlws.SORT(_xlfn._xlws.FILTER(SimpleDashData810[QCNM Name],IF($D$4&lt;&gt;"",SimpleDashData810[QCNM Name]=$D$4,IF($B$4="All Regions",1,SimpleDashData810[Region]=$B$4))*IF($A$4="All Sections",1,SimpleDashData810[Section]=$A$4))),ROWS($BD$153:BD277)),"")</f>
        <v>QCNM University of AJK, MZD</v>
      </c>
    </row>
    <row r="278" spans="55:56" x14ac:dyDescent="0.3">
      <c r="BC278" t="s">
        <v>174</v>
      </c>
      <c r="BD278" t="str" cm="1">
        <f t="array" ref="BD278">IFERROR(INDEX(_xlfn._xlws.SORT(_xlfn._xlws.FILTER(SimpleDashData810[QCNM Name],IF($D$4&lt;&gt;"",SimpleDashData810[QCNM Name]=$D$4,IF($B$4="All Regions",1,SimpleDashData810[Region]=$B$4))*IF($A$4="All Sections",1,SimpleDashData810[Section]=$A$4))),ROWS($BD$153:BD278)),"")</f>
        <v xml:space="preserve">QCNM University of Balochistan </v>
      </c>
    </row>
    <row r="279" spans="55:56" x14ac:dyDescent="0.3">
      <c r="BC279" t="s">
        <v>185</v>
      </c>
      <c r="BD279" t="str" cm="1">
        <f t="array" ref="BD279">IFERROR(INDEX(_xlfn._xlws.SORT(_xlfn._xlws.FILTER(SimpleDashData810[QCNM Name],IF($D$4&lt;&gt;"",SimpleDashData810[QCNM Name]=$D$4,IF($B$4="All Regions",1,SimpleDashData810[Region]=$B$4))*IF($A$4="All Sections",1,SimpleDashData810[Section]=$A$4))),ROWS($BD$153:BD279)),"")</f>
        <v>QCNM University of Karachi</v>
      </c>
    </row>
    <row r="280" spans="55:56" x14ac:dyDescent="0.3">
      <c r="BC280" t="s">
        <v>181</v>
      </c>
      <c r="BD280" t="str" cm="1">
        <f t="array" ref="BD280">IFERROR(INDEX(_xlfn._xlws.SORT(_xlfn._xlws.FILTER(SimpleDashData810[QCNM Name],IF($D$4&lt;&gt;"",SimpleDashData810[QCNM Name]=$D$4,IF($B$4="All Regions",1,SimpleDashData810[Region]=$B$4))*IF($A$4="All Sections",1,SimpleDashData810[Section]=$A$4))),ROWS($BD$153:BD280)),"")</f>
        <v>QCNM University of Kotli</v>
      </c>
    </row>
    <row r="281" spans="55:56" x14ac:dyDescent="0.3">
      <c r="BC281" t="s">
        <v>140</v>
      </c>
      <c r="BD281" t="str" cm="1">
        <f t="array" ref="BD281">IFERROR(INDEX(_xlfn._xlws.SORT(_xlfn._xlws.FILTER(SimpleDashData810[QCNM Name],IF($D$4&lt;&gt;"",SimpleDashData810[QCNM Name]=$D$4,IF($B$4="All Regions",1,SimpleDashData810[Region]=$B$4))*IF($A$4="All Sections",1,SimpleDashData810[Section]=$A$4))),ROWS($BD$153:BD281)),"")</f>
        <v>QCNM University of Loralai</v>
      </c>
    </row>
    <row r="282" spans="55:56" x14ac:dyDescent="0.3">
      <c r="BC282" t="s">
        <v>180</v>
      </c>
      <c r="BD282" t="str" cm="1">
        <f t="array" ref="BD282">IFERROR(INDEX(_xlfn._xlws.SORT(_xlfn._xlws.FILTER(SimpleDashData810[QCNM Name],IF($D$4&lt;&gt;"",SimpleDashData810[QCNM Name]=$D$4,IF($B$4="All Regions",1,SimpleDashData810[Region]=$B$4))*IF($A$4="All Sections",1,SimpleDashData810[Section]=$A$4))),ROWS($BD$153:BD282)),"")</f>
        <v>QCNM University of Okara</v>
      </c>
    </row>
    <row r="283" spans="55:56" x14ac:dyDescent="0.3">
      <c r="BC283" t="s">
        <v>169</v>
      </c>
      <c r="BD283" t="str" cm="1">
        <f t="array" ref="BD283">IFERROR(INDEX(_xlfn._xlws.SORT(_xlfn._xlws.FILTER(SimpleDashData810[QCNM Name],IF($D$4&lt;&gt;"",SimpleDashData810[QCNM Name]=$D$4,IF($B$4="All Regions",1,SimpleDashData810[Region]=$B$4))*IF($A$4="All Sections",1,SimpleDashData810[Section]=$A$4))),ROWS($BD$153:BD283)),"")</f>
        <v>QCNM University of Sindh</v>
      </c>
    </row>
    <row r="284" spans="55:56" x14ac:dyDescent="0.3">
      <c r="BC284" t="s">
        <v>163</v>
      </c>
      <c r="BD284" t="str" cm="1">
        <f t="array" ref="BD284">IFERROR(INDEX(_xlfn._xlws.SORT(_xlfn._xlws.FILTER(SimpleDashData810[QCNM Name],IF($D$4&lt;&gt;"",SimpleDashData810[QCNM Name]=$D$4,IF($B$4="All Regions",1,SimpleDashData810[Region]=$B$4))*IF($A$4="All Sections",1,SimpleDashData810[Section]=$A$4))),ROWS($BD$153:BD284)),"")</f>
        <v>QCNM Vehari, District Jail</v>
      </c>
    </row>
    <row r="285" spans="55:56" x14ac:dyDescent="0.3">
      <c r="BC285" t="s">
        <v>194</v>
      </c>
      <c r="BD285" t="str" cm="1">
        <f t="array" ref="BD285">IFERROR(INDEX(_xlfn._xlws.SORT(_xlfn._xlws.FILTER(SimpleDashData810[QCNM Name],IF($D$4&lt;&gt;"",SimpleDashData810[QCNM Name]=$D$4,IF($B$4="All Regions",1,SimpleDashData810[Region]=$B$4))*IF($A$4="All Sections",1,SimpleDashData810[Section]=$A$4))),ROWS($BD$153:BD285)),"")</f>
        <v>QCNM Woman Jail, Multan</v>
      </c>
    </row>
    <row r="286" spans="55:56" x14ac:dyDescent="0.3">
      <c r="BC286" t="s">
        <v>173</v>
      </c>
      <c r="BD286" t="str" cm="1">
        <f t="array" ref="BD286">IFERROR(INDEX(_xlfn._xlws.SORT(_xlfn._xlws.FILTER(SimpleDashData810[QCNM Name],IF($D$4&lt;&gt;"",SimpleDashData810[QCNM Name]=$D$4,IF($B$4="All Regions",1,SimpleDashData810[Region]=$B$4))*IF($A$4="All Sections",1,SimpleDashData810[Section]=$A$4))),ROWS($BD$153:BD286)),"")</f>
        <v>QCNM Women Jail Karachi</v>
      </c>
    </row>
    <row r="287" spans="55:56" x14ac:dyDescent="0.3">
      <c r="BC287" t="s">
        <v>116</v>
      </c>
      <c r="BD287" t="str" cm="1">
        <f t="array" ref="BD287">IFERROR(INDEX(_xlfn._xlws.SORT(_xlfn._xlws.FILTER(SimpleDashData810[QCNM Name],IF($D$4&lt;&gt;"",SimpleDashData810[QCNM Name]=$D$4,IF($B$4="All Regions",1,SimpleDashData810[Region]=$B$4))*IF($A$4="All Sections",1,SimpleDashData810[Section]=$A$4))),ROWS($BD$153:BD287)),"")</f>
        <v>QCNM, Fedral Urdu University</v>
      </c>
    </row>
    <row r="288" spans="55:56" x14ac:dyDescent="0.3">
      <c r="BD288" t="str" cm="1">
        <f t="array" ref="BD288">IFERROR(INDEX(_xlfn._xlws.SORT(_xlfn._xlws.FILTER(SimpleDashData810[QCNM Name],IF($D$4&lt;&gt;"",SimpleDashData810[QCNM Name]=$D$4,IF($B$4="All Regions",1,SimpleDashData810[Region]=$B$4))*IF($A$4="All Sections",1,SimpleDashData810[Section]=$A$4))),ROWS($BD$153:BD288)),"")</f>
        <v>QCNM, ZCD Hospital Toba tek Singh</v>
      </c>
    </row>
    <row r="289" spans="56:56" x14ac:dyDescent="0.3">
      <c r="BD289" t="str" cm="1">
        <f t="array" ref="BD289">IFERROR(INDEX(_xlfn._xlws.SORT(_xlfn._xlws.FILTER(SimpleDashData810[QCNM Name],IF($D$4&lt;&gt;"",SimpleDashData810[QCNM Name]=$D$4,IF($B$4="All Regions",1,SimpleDashData810[Region]=$B$4))*IF($A$4="All Sections",1,SimpleDashData810[Section]=$A$4))),ROWS($BD$153:BD289)),"")</f>
        <v/>
      </c>
    </row>
    <row r="290" spans="56:56" x14ac:dyDescent="0.3">
      <c r="BD290" t="str" cm="1">
        <f t="array" ref="BD290">IFERROR(INDEX(_xlfn._xlws.SORT(_xlfn._xlws.FILTER(SimpleDashData810[QCNM Name],IF($D$4&lt;&gt;"",SimpleDashData810[QCNM Name]=$D$4,IF($B$4="All Regions",1,SimpleDashData810[Region]=$B$4))*IF($A$4="All Sections",1,SimpleDashData810[Section]=$A$4))),ROWS($BD$153:BD290)),"")</f>
        <v/>
      </c>
    </row>
    <row r="291" spans="56:56" x14ac:dyDescent="0.3">
      <c r="BD291" t="str" cm="1">
        <f t="array" ref="BD291">IFERROR(INDEX(_xlfn._xlws.SORT(_xlfn._xlws.FILTER(SimpleDashData810[QCNM Name],IF($D$4&lt;&gt;"",SimpleDashData810[QCNM Name]=$D$4,IF($B$4="All Regions",1,SimpleDashData810[Region]=$B$4))*IF($A$4="All Sections",1,SimpleDashData810[Section]=$A$4))),ROWS($BD$153:BD291)),"")</f>
        <v/>
      </c>
    </row>
    <row r="292" spans="56:56" x14ac:dyDescent="0.3">
      <c r="BD292" t="str" cm="1">
        <f t="array" ref="BD292">IFERROR(INDEX(_xlfn._xlws.SORT(_xlfn._xlws.FILTER(SimpleDashData810[QCNM Name],IF($D$4&lt;&gt;"",SimpleDashData810[QCNM Name]=$D$4,IF($B$4="All Regions",1,SimpleDashData810[Region]=$B$4))*IF($A$4="All Sections",1,SimpleDashData810[Section]=$A$4))),ROWS($BD$153:BD292)),"")</f>
        <v/>
      </c>
    </row>
    <row r="293" spans="56:56" x14ac:dyDescent="0.3">
      <c r="BD293" t="str" cm="1">
        <f t="array" ref="BD293">IFERROR(INDEX(_xlfn._xlws.SORT(_xlfn._xlws.FILTER(SimpleDashData810[QCNM Name],IF($D$4&lt;&gt;"",SimpleDashData810[QCNM Name]=$D$4,IF($B$4="All Regions",1,SimpleDashData810[Region]=$B$4))*IF($A$4="All Sections",1,SimpleDashData810[Section]=$A$4))),ROWS($BD$153:BD293)),"")</f>
        <v/>
      </c>
    </row>
    <row r="294" spans="56:56" x14ac:dyDescent="0.3">
      <c r="BD294" t="str" cm="1">
        <f t="array" ref="BD294">IFERROR(INDEX(_xlfn._xlws.SORT(_xlfn._xlws.FILTER(SimpleDashData810[QCNM Name],IF($D$4&lt;&gt;"",SimpleDashData810[QCNM Name]=$D$4,IF($B$4="All Regions",1,SimpleDashData810[Region]=$B$4))*IF($A$4="All Sections",1,SimpleDashData810[Section]=$A$4))),ROWS($BD$153:BD294)),"")</f>
        <v/>
      </c>
    </row>
    <row r="295" spans="56:56" x14ac:dyDescent="0.3">
      <c r="BD295" t="str" cm="1">
        <f t="array" ref="BD295">IFERROR(INDEX(_xlfn._xlws.SORT(_xlfn._xlws.FILTER(SimpleDashData810[QCNM Name],IF($D$4&lt;&gt;"",SimpleDashData810[QCNM Name]=$D$4,IF($B$4="All Regions",1,SimpleDashData810[Region]=$B$4))*IF($A$4="All Sections",1,SimpleDashData810[Section]=$A$4))),ROWS($BD$153:BD295)),"")</f>
        <v/>
      </c>
    </row>
    <row r="296" spans="56:56" x14ac:dyDescent="0.3">
      <c r="BD296" t="str" cm="1">
        <f t="array" ref="BD296">IFERROR(INDEX(_xlfn._xlws.SORT(_xlfn._xlws.FILTER(SimpleDashData810[QCNM Name],IF($D$4&lt;&gt;"",SimpleDashData810[QCNM Name]=$D$4,IF($B$4="All Regions",1,SimpleDashData810[Region]=$B$4))*IF($A$4="All Sections",1,SimpleDashData810[Section]=$A$4))),ROWS($BD$153:BD296)),"")</f>
        <v/>
      </c>
    </row>
    <row r="297" spans="56:56" x14ac:dyDescent="0.3">
      <c r="BD297" t="str" cm="1">
        <f t="array" ref="BD297">IFERROR(INDEX(_xlfn._xlws.SORT(_xlfn._xlws.FILTER(SimpleDashData810[QCNM Name],IF($D$4&lt;&gt;"",SimpleDashData810[QCNM Name]=$D$4,IF($B$4="All Regions",1,SimpleDashData810[Region]=$B$4))*IF($A$4="All Sections",1,SimpleDashData810[Section]=$A$4))),ROWS($BD$153:BD297)),"")</f>
        <v/>
      </c>
    </row>
    <row r="298" spans="56:56" x14ac:dyDescent="0.3">
      <c r="BD298" t="str" cm="1">
        <f t="array" ref="BD298">IFERROR(INDEX(_xlfn._xlws.SORT(_xlfn._xlws.FILTER(SimpleDashData810[QCNM Name],IF($D$4&lt;&gt;"",SimpleDashData810[QCNM Name]=$D$4,IF($B$4="All Regions",1,SimpleDashData810[Region]=$B$4))*IF($A$4="All Sections",1,SimpleDashData810[Section]=$A$4))),ROWS($BD$153:BD298)),"")</f>
        <v/>
      </c>
    </row>
    <row r="299" spans="56:56" x14ac:dyDescent="0.3">
      <c r="BD299" t="str" cm="1">
        <f t="array" ref="BD299">IFERROR(INDEX(_xlfn._xlws.SORT(_xlfn._xlws.FILTER(SimpleDashData810[QCNM Name],IF($D$4&lt;&gt;"",SimpleDashData810[QCNM Name]=$D$4,IF($B$4="All Regions",1,SimpleDashData810[Region]=$B$4))*IF($A$4="All Sections",1,SimpleDashData810[Section]=$A$4))),ROWS($BD$153:BD299)),"")</f>
        <v/>
      </c>
    </row>
    <row r="300" spans="56:56" x14ac:dyDescent="0.3">
      <c r="BD300" t="str" cm="1">
        <f t="array" ref="BD300">IFERROR(INDEX(_xlfn._xlws.SORT(_xlfn._xlws.FILTER(SimpleDashData810[QCNM Name],IF($D$4&lt;&gt;"",SimpleDashData810[QCNM Name]=$D$4,IF($B$4="All Regions",1,SimpleDashData810[Region]=$B$4))*IF($A$4="All Sections",1,SimpleDashData810[Section]=$A$4))),ROWS($BD$153:BD300)),"")</f>
        <v/>
      </c>
    </row>
  </sheetData>
  <mergeCells count="12">
    <mergeCell ref="P17:P19"/>
    <mergeCell ref="J23:N23"/>
    <mergeCell ref="P23:T23"/>
    <mergeCell ref="V23:X23"/>
    <mergeCell ref="A1:O1"/>
    <mergeCell ref="A2:O2"/>
    <mergeCell ref="B3:C3"/>
    <mergeCell ref="D4:E4"/>
    <mergeCell ref="G3:I3"/>
    <mergeCell ref="B4:C4"/>
    <mergeCell ref="G4:I4"/>
    <mergeCell ref="D3:E3"/>
  </mergeCells>
  <dataValidations count="6">
    <dataValidation type="list" allowBlank="1" showInputMessage="1" showErrorMessage="1" errorTitle="Select a patient rank" error="Choose Expense Rank, Total, Male, Female, or Child." sqref="L4" xr:uid="{69982993-8CA7-444E-93A9-A94613AFA77A}">
      <formula1>$AL$2:$AL$6</formula1>
    </dataValidation>
    <dataValidation type="list" allowBlank="1" showInputMessage="1" showErrorMessage="1" errorTitle="Select a budget head" error="Choose a value from the budget-head list." sqref="K4" xr:uid="{5A8BD534-25DD-4EA2-9525-6BCC6B232270}">
      <formula1>$AK$2:$AK$12</formula1>
    </dataValidation>
    <dataValidation type="list" allowBlank="1" showInputMessage="1" showErrorMessage="1" promptTitle="Clinic Search" prompt="Type or choose one clinic name. Clear D3 to return to the Region/Clinic menus." sqref="D4" xr:uid="{3B90D653-44E5-4E14-89E5-1F97296D5012}">
      <formula1>$BB$2:$BB$137</formula1>
    </dataValidation>
    <dataValidation type="list" allowBlank="1" showInputMessage="1" showErrorMessage="1" sqref="G4" xr:uid="{C52C0ADD-976F-4039-B320-1E3EE9A4EA15}">
      <formula1>$BD$151:$BD$300</formula1>
    </dataValidation>
    <dataValidation type="list" allowBlank="1" showInputMessage="1" showErrorMessage="1" sqref="B4" xr:uid="{9E076E0F-EC5C-4740-A97E-47F6CC2406BC}">
      <formula1>$BB$151:$BB$155</formula1>
    </dataValidation>
    <dataValidation type="list" allowBlank="1" showInputMessage="1" showErrorMessage="1" sqref="A4" xr:uid="{1F349E93-5656-4F60-B0B4-9B11E0D08772}">
      <formula1>"All Sections,Public,Prison"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29F3-3633-4C16-A63A-A2B8D48D1C9F}">
  <dimension ref="A1:CA301"/>
  <sheetViews>
    <sheetView topLeftCell="G10" zoomScale="105" zoomScaleNormal="149" workbookViewId="0">
      <selection activeCell="G4" sqref="G4:I4"/>
    </sheetView>
  </sheetViews>
  <sheetFormatPr defaultRowHeight="14.4" x14ac:dyDescent="0.3"/>
  <cols>
    <col min="1" max="1" width="12.6640625" customWidth="1"/>
    <col min="2" max="2" width="37.5546875" customWidth="1"/>
    <col min="3" max="3" width="12.6640625" customWidth="1"/>
    <col min="4" max="4" width="12.5546875" bestFit="1" customWidth="1"/>
    <col min="5" max="5" width="6.77734375" customWidth="1"/>
    <col min="6" max="6" width="12.33203125" bestFit="1" customWidth="1"/>
    <col min="7" max="7" width="15.44140625" bestFit="1" customWidth="1"/>
    <col min="8" max="8" width="11.109375" bestFit="1" customWidth="1"/>
    <col min="9" max="9" width="11.109375" customWidth="1"/>
    <col min="10" max="10" width="13.6640625" bestFit="1" customWidth="1"/>
    <col min="11" max="12" width="16.33203125" customWidth="1"/>
    <col min="13" max="13" width="8.5546875" customWidth="1"/>
    <col min="14" max="14" width="18.5546875" bestFit="1" customWidth="1"/>
    <col min="15" max="15" width="11.33203125" customWidth="1"/>
    <col min="16" max="16" width="8.33203125" customWidth="1"/>
    <col min="17" max="17" width="13.109375" bestFit="1" customWidth="1"/>
    <col min="18" max="18" width="12.88671875" bestFit="1" customWidth="1"/>
    <col min="19" max="19" width="7.109375" bestFit="1" customWidth="1"/>
    <col min="20" max="20" width="19.33203125" customWidth="1"/>
    <col min="21" max="21" width="7.109375" bestFit="1" customWidth="1"/>
    <col min="22" max="22" width="6.77734375" bestFit="1" customWidth="1"/>
    <col min="23" max="23" width="18.6640625" customWidth="1"/>
    <col min="24" max="24" width="17.6640625" customWidth="1"/>
    <col min="25" max="25" width="7.88671875" bestFit="1" customWidth="1"/>
    <col min="26" max="26" width="12.88671875" bestFit="1" customWidth="1"/>
    <col min="27" max="27" width="7.109375" bestFit="1" customWidth="1"/>
    <col min="28" max="28" width="15.88671875" bestFit="1" customWidth="1"/>
    <col min="30" max="30" width="5.33203125" bestFit="1" customWidth="1"/>
    <col min="31" max="31" width="11.88671875" bestFit="1" customWidth="1"/>
    <col min="32" max="32" width="12.5546875" bestFit="1" customWidth="1"/>
    <col min="33" max="33" width="17" bestFit="1" customWidth="1"/>
    <col min="35" max="35" width="17.21875" bestFit="1" customWidth="1"/>
    <col min="36" max="36" width="7.5546875" bestFit="1" customWidth="1"/>
    <col min="37" max="38" width="0" hidden="1" customWidth="1"/>
    <col min="53" max="53" width="7.6640625" bestFit="1" customWidth="1"/>
    <col min="54" max="56" width="43" bestFit="1" customWidth="1"/>
    <col min="57" max="57" width="25.77734375" bestFit="1" customWidth="1"/>
    <col min="58" max="58" width="10.77734375" bestFit="1" customWidth="1"/>
    <col min="59" max="59" width="13.21875" bestFit="1" customWidth="1"/>
    <col min="60" max="60" width="12.33203125" bestFit="1" customWidth="1"/>
    <col min="61" max="61" width="9" bestFit="1" customWidth="1"/>
    <col min="62" max="63" width="9.77734375" bestFit="1" customWidth="1"/>
    <col min="64" max="64" width="9.6640625" bestFit="1" customWidth="1"/>
    <col min="65" max="65" width="8.6640625" bestFit="1" customWidth="1"/>
    <col min="66" max="66" width="11.77734375" bestFit="1" customWidth="1"/>
    <col min="67" max="67" width="9.88671875" bestFit="1" customWidth="1"/>
    <col min="68" max="68" width="7.109375" bestFit="1" customWidth="1"/>
    <col min="69" max="69" width="14.5546875" bestFit="1" customWidth="1"/>
    <col min="70" max="70" width="7.21875" bestFit="1" customWidth="1"/>
    <col min="71" max="71" width="9.44140625" bestFit="1" customWidth="1"/>
    <col min="72" max="72" width="7.6640625" bestFit="1" customWidth="1"/>
    <col min="73" max="73" width="14.5546875" bestFit="1" customWidth="1"/>
    <col min="74" max="74" width="14.33203125" bestFit="1" customWidth="1"/>
    <col min="75" max="75" width="15.33203125" bestFit="1" customWidth="1"/>
    <col min="76" max="76" width="18.5546875" bestFit="1" customWidth="1"/>
    <col min="77" max="77" width="27.33203125" bestFit="1" customWidth="1"/>
    <col min="78" max="78" width="19.77734375" bestFit="1" customWidth="1"/>
    <col min="79" max="79" width="21" bestFit="1" customWidth="1"/>
  </cols>
  <sheetData>
    <row r="1" spans="1:79" ht="23.4" x14ac:dyDescent="0.4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AK1" t="s">
        <v>1</v>
      </c>
      <c r="AL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10</v>
      </c>
      <c r="BI1" t="s">
        <v>11</v>
      </c>
      <c r="BJ1" t="s">
        <v>12</v>
      </c>
      <c r="BK1" t="s">
        <v>13</v>
      </c>
      <c r="BL1" t="s">
        <v>14</v>
      </c>
      <c r="BM1" t="s">
        <v>15</v>
      </c>
      <c r="BN1" t="s">
        <v>16</v>
      </c>
      <c r="BO1" t="s">
        <v>17</v>
      </c>
      <c r="BP1" t="s">
        <v>18</v>
      </c>
      <c r="BQ1" t="s">
        <v>19</v>
      </c>
      <c r="BR1" t="s">
        <v>20</v>
      </c>
      <c r="BS1" t="s">
        <v>21</v>
      </c>
      <c r="BT1" t="s">
        <v>22</v>
      </c>
      <c r="BU1" t="s">
        <v>23</v>
      </c>
      <c r="BV1" t="s">
        <v>24</v>
      </c>
      <c r="BW1" t="s">
        <v>25</v>
      </c>
      <c r="BX1" t="s">
        <v>26</v>
      </c>
      <c r="BY1" t="s">
        <v>27</v>
      </c>
      <c r="BZ1" t="s">
        <v>28</v>
      </c>
      <c r="CA1" t="s">
        <v>29</v>
      </c>
    </row>
    <row r="2" spans="1:79" ht="15" thickBot="1" x14ac:dyDescent="0.35">
      <c r="A2" s="70" t="s">
        <v>228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AK2" t="s">
        <v>19</v>
      </c>
      <c r="AL2" t="s">
        <v>31</v>
      </c>
      <c r="BA2">
        <v>1</v>
      </c>
      <c r="BB2" t="s">
        <v>32</v>
      </c>
      <c r="BC2">
        <v>2010210</v>
      </c>
      <c r="BD2" t="s">
        <v>33</v>
      </c>
      <c r="BE2" t="s">
        <v>34</v>
      </c>
      <c r="BF2" t="s">
        <v>35</v>
      </c>
      <c r="BG2">
        <v>1350</v>
      </c>
      <c r="BH2">
        <v>0</v>
      </c>
      <c r="BI2">
        <v>0</v>
      </c>
      <c r="BJ2">
        <v>8300</v>
      </c>
      <c r="BK2">
        <v>560</v>
      </c>
      <c r="BL2">
        <v>0</v>
      </c>
      <c r="BM2">
        <v>0</v>
      </c>
      <c r="BN2">
        <v>460</v>
      </c>
      <c r="BO2">
        <v>1000</v>
      </c>
      <c r="BP2">
        <v>200</v>
      </c>
      <c r="BQ2">
        <f>SUM(SimpleDashData88[[#This Row],[Convayance]:[Misc]])</f>
        <v>11870</v>
      </c>
      <c r="BR2">
        <v>1301</v>
      </c>
      <c r="BS2">
        <v>602</v>
      </c>
      <c r="BT2">
        <v>359</v>
      </c>
      <c r="BU2">
        <f>SUM(SimpleDashData88[[#This Row],[Male]:[Child]])</f>
        <v>2262</v>
      </c>
      <c r="BV2">
        <v>2262</v>
      </c>
      <c r="BW2">
        <v>13572</v>
      </c>
      <c r="BZ2">
        <f>SimpleDashData88[[#This Row],[Total Expense]]/SimpleDashData88[[#This Row],[Total Patients]]</f>
        <v>5.2475685234305924</v>
      </c>
      <c r="CA2">
        <v>0</v>
      </c>
    </row>
    <row r="3" spans="1:79" ht="25.05" customHeight="1" thickTop="1" thickBot="1" x14ac:dyDescent="0.35">
      <c r="A3" s="58" t="s">
        <v>227</v>
      </c>
      <c r="B3" s="80" t="s">
        <v>36</v>
      </c>
      <c r="C3" s="80"/>
      <c r="D3" s="84" t="s">
        <v>226</v>
      </c>
      <c r="E3" s="84"/>
      <c r="F3" s="1"/>
      <c r="G3" s="80" t="s">
        <v>37</v>
      </c>
      <c r="H3" s="80"/>
      <c r="I3" s="80"/>
      <c r="K3" s="56" t="s">
        <v>38</v>
      </c>
      <c r="L3" s="56" t="s">
        <v>39</v>
      </c>
      <c r="AK3" t="s">
        <v>9</v>
      </c>
      <c r="AL3" t="s">
        <v>40</v>
      </c>
      <c r="BA3">
        <v>2</v>
      </c>
      <c r="BB3" t="s">
        <v>41</v>
      </c>
      <c r="BC3">
        <v>2010215</v>
      </c>
      <c r="BD3" t="s">
        <v>33</v>
      </c>
      <c r="BE3" t="s">
        <v>34</v>
      </c>
      <c r="BF3" t="s">
        <v>35</v>
      </c>
      <c r="BG3">
        <v>1000</v>
      </c>
      <c r="BH3">
        <v>0</v>
      </c>
      <c r="BI3">
        <v>0</v>
      </c>
      <c r="BJ3">
        <v>2000</v>
      </c>
      <c r="BK3">
        <v>0</v>
      </c>
      <c r="BL3">
        <v>100</v>
      </c>
      <c r="BM3">
        <v>0</v>
      </c>
      <c r="BN3">
        <v>480</v>
      </c>
      <c r="BO3">
        <v>0</v>
      </c>
      <c r="BP3">
        <v>1000</v>
      </c>
      <c r="BQ3">
        <f>SUM(SimpleDashData88[[#This Row],[Convayance]:[Misc]])</f>
        <v>4580</v>
      </c>
      <c r="BR3">
        <v>371</v>
      </c>
      <c r="BS3">
        <v>174</v>
      </c>
      <c r="BT3">
        <v>165</v>
      </c>
      <c r="BU3">
        <f>SUM(SimpleDashData88[[#This Row],[Male]:[Child]])</f>
        <v>710</v>
      </c>
      <c r="BV3">
        <v>710</v>
      </c>
      <c r="BW3">
        <v>3224</v>
      </c>
      <c r="BZ3">
        <f>SimpleDashData88[[#This Row],[Total Expense]]/SimpleDashData88[[#This Row],[Total Patients]]</f>
        <v>6.450704225352113</v>
      </c>
      <c r="CA3">
        <v>0</v>
      </c>
    </row>
    <row r="4" spans="1:79" ht="25.05" customHeight="1" thickTop="1" thickBot="1" x14ac:dyDescent="0.35">
      <c r="A4" s="59" t="s">
        <v>224</v>
      </c>
      <c r="B4" s="83" t="s">
        <v>42</v>
      </c>
      <c r="C4" s="83"/>
      <c r="D4" s="81"/>
      <c r="E4" s="82"/>
      <c r="F4" s="1"/>
      <c r="G4" s="83" t="s">
        <v>43</v>
      </c>
      <c r="H4" s="83"/>
      <c r="I4" s="83"/>
      <c r="K4" s="57" t="s">
        <v>19</v>
      </c>
      <c r="L4" s="57" t="s">
        <v>31</v>
      </c>
      <c r="AK4" t="s">
        <v>10</v>
      </c>
      <c r="AL4" t="s">
        <v>20</v>
      </c>
      <c r="BA4">
        <v>3</v>
      </c>
      <c r="BB4" t="s">
        <v>44</v>
      </c>
      <c r="BC4">
        <v>2010298</v>
      </c>
      <c r="BD4" t="s">
        <v>33</v>
      </c>
      <c r="BE4" t="s">
        <v>34</v>
      </c>
      <c r="BF4" t="s">
        <v>35</v>
      </c>
      <c r="BG4">
        <v>0</v>
      </c>
      <c r="BH4">
        <v>0</v>
      </c>
      <c r="BI4">
        <v>0</v>
      </c>
      <c r="BJ4">
        <v>0</v>
      </c>
      <c r="BK4">
        <v>0</v>
      </c>
      <c r="BL4">
        <v>340</v>
      </c>
      <c r="BM4">
        <v>600</v>
      </c>
      <c r="BN4">
        <v>0</v>
      </c>
      <c r="BO4">
        <v>950</v>
      </c>
      <c r="BP4">
        <v>7500</v>
      </c>
      <c r="BQ4">
        <f>SUM(SimpleDashData88[[#This Row],[Convayance]:[Misc]])</f>
        <v>9390</v>
      </c>
      <c r="BR4">
        <v>496</v>
      </c>
      <c r="BS4">
        <v>41</v>
      </c>
      <c r="BT4">
        <v>64</v>
      </c>
      <c r="BU4">
        <f>SUM(SimpleDashData88[[#This Row],[Male]:[Child]])</f>
        <v>601</v>
      </c>
      <c r="BV4">
        <v>601</v>
      </c>
      <c r="BW4">
        <v>2811</v>
      </c>
      <c r="BZ4">
        <f>SimpleDashData88[[#This Row],[Total Expense]]/SimpleDashData88[[#This Row],[Total Patients]]</f>
        <v>15.623960066555741</v>
      </c>
      <c r="CA4">
        <v>0</v>
      </c>
    </row>
    <row r="5" spans="1:79" ht="15" thickTop="1" x14ac:dyDescent="0.3">
      <c r="AI5" t="s">
        <v>45</v>
      </c>
      <c r="AJ5" t="s">
        <v>46</v>
      </c>
      <c r="AK5" t="s">
        <v>11</v>
      </c>
      <c r="AL5" t="s">
        <v>21</v>
      </c>
      <c r="BA5">
        <v>4</v>
      </c>
      <c r="BB5" t="s">
        <v>47</v>
      </c>
      <c r="BD5" t="s">
        <v>33</v>
      </c>
      <c r="BE5" t="s">
        <v>34</v>
      </c>
      <c r="BF5" t="s">
        <v>35</v>
      </c>
      <c r="BG5">
        <v>8400</v>
      </c>
      <c r="BH5">
        <v>4170</v>
      </c>
      <c r="BI5">
        <v>0</v>
      </c>
      <c r="BJ5">
        <v>0</v>
      </c>
      <c r="BK5">
        <v>0</v>
      </c>
      <c r="BL5">
        <v>0</v>
      </c>
      <c r="BM5">
        <v>300</v>
      </c>
      <c r="BN5">
        <v>0</v>
      </c>
      <c r="BO5">
        <v>0</v>
      </c>
      <c r="BP5">
        <v>1000</v>
      </c>
      <c r="BQ5">
        <f>SUM(SimpleDashData88[[#This Row],[Convayance]:[Misc]])</f>
        <v>13870</v>
      </c>
      <c r="BR5">
        <v>491</v>
      </c>
      <c r="BS5">
        <v>588</v>
      </c>
      <c r="BT5">
        <v>222</v>
      </c>
      <c r="BU5">
        <f>SUM(SimpleDashData88[[#This Row],[Male]:[Child]])</f>
        <v>1301</v>
      </c>
      <c r="BV5">
        <v>1301</v>
      </c>
      <c r="BW5">
        <v>6505</v>
      </c>
      <c r="BZ5">
        <f>SimpleDashData88[[#This Row],[Total Expense]]/SimpleDashData88[[#This Row],[Total Patients]]</f>
        <v>10.661029976940815</v>
      </c>
      <c r="CA5">
        <v>0</v>
      </c>
    </row>
    <row r="6" spans="1:79" x14ac:dyDescent="0.3">
      <c r="AI6" t="s">
        <v>9</v>
      </c>
      <c r="AJ6" s="2">
        <f>SUMIFS(SimpleDashData88[Convayance],SimpleDashData88[Section],IF($A$4="All Sections","&lt;&gt;",$A$4))</f>
        <v>233154</v>
      </c>
      <c r="AK6" t="s">
        <v>12</v>
      </c>
      <c r="AL6" t="s">
        <v>22</v>
      </c>
      <c r="BA6">
        <v>5</v>
      </c>
      <c r="BB6" t="s">
        <v>48</v>
      </c>
      <c r="BD6" t="s">
        <v>33</v>
      </c>
      <c r="BE6" t="s">
        <v>34</v>
      </c>
      <c r="BF6" t="s">
        <v>35</v>
      </c>
      <c r="BG6">
        <v>11100</v>
      </c>
      <c r="BH6">
        <v>700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1000</v>
      </c>
      <c r="BQ6">
        <f>SUM(SimpleDashData88[[#This Row],[Convayance]:[Misc]])</f>
        <v>12800</v>
      </c>
      <c r="BR6">
        <v>1443</v>
      </c>
      <c r="BS6">
        <v>790</v>
      </c>
      <c r="BT6">
        <v>25</v>
      </c>
      <c r="BU6">
        <f>SUM(SimpleDashData88[[#This Row],[Male]:[Child]])</f>
        <v>2258</v>
      </c>
      <c r="BV6">
        <v>2258</v>
      </c>
      <c r="BW6">
        <v>9032</v>
      </c>
      <c r="BZ6">
        <f>SimpleDashData88[[#This Row],[Total Expense]]/SimpleDashData88[[#This Row],[Total Patients]]</f>
        <v>5.6687333923826397</v>
      </c>
      <c r="CA6">
        <v>0</v>
      </c>
    </row>
    <row r="7" spans="1:79" x14ac:dyDescent="0.3">
      <c r="A7" s="3" t="s">
        <v>19</v>
      </c>
      <c r="B7" s="4"/>
      <c r="C7" s="3" t="s">
        <v>23</v>
      </c>
      <c r="D7" s="4"/>
      <c r="E7" s="3" t="s">
        <v>49</v>
      </c>
      <c r="F7" s="4"/>
      <c r="G7" s="3" t="s">
        <v>50</v>
      </c>
      <c r="H7" s="4"/>
      <c r="I7" s="4"/>
      <c r="J7" s="3" t="s">
        <v>51</v>
      </c>
      <c r="K7" s="4"/>
      <c r="L7" s="3" t="s">
        <v>52</v>
      </c>
      <c r="M7" s="4"/>
      <c r="N7" s="4" t="s">
        <v>53</v>
      </c>
      <c r="O7" s="4"/>
      <c r="AI7" t="s">
        <v>10</v>
      </c>
      <c r="AJ7" s="2">
        <f>SUMIFS(SimpleDashData88[Purchasing],SimpleDashData88[Section],IF($A$4="All Sections","&lt;&gt;",$A$4))</f>
        <v>87852</v>
      </c>
      <c r="AK7" t="s">
        <v>13</v>
      </c>
      <c r="BA7">
        <v>6</v>
      </c>
      <c r="BB7" t="s">
        <v>54</v>
      </c>
      <c r="BD7" t="s">
        <v>33</v>
      </c>
      <c r="BE7" t="s">
        <v>34</v>
      </c>
      <c r="BF7" t="s">
        <v>35</v>
      </c>
      <c r="BG7">
        <v>0</v>
      </c>
      <c r="BH7">
        <v>0</v>
      </c>
      <c r="BI7">
        <v>0</v>
      </c>
      <c r="BJ7">
        <v>1200</v>
      </c>
      <c r="BK7">
        <v>0</v>
      </c>
      <c r="BL7">
        <v>0</v>
      </c>
      <c r="BM7">
        <v>1140</v>
      </c>
      <c r="BN7">
        <v>880</v>
      </c>
      <c r="BO7">
        <v>0</v>
      </c>
      <c r="BP7">
        <v>0</v>
      </c>
      <c r="BQ7">
        <f>SUM(SimpleDashData88[[#This Row],[Convayance]:[Misc]])</f>
        <v>3220</v>
      </c>
      <c r="BR7">
        <v>542</v>
      </c>
      <c r="BS7">
        <v>586</v>
      </c>
      <c r="BT7">
        <v>129</v>
      </c>
      <c r="BU7">
        <f>SUM(SimpleDashData88[[#This Row],[Male]:[Child]])</f>
        <v>1257</v>
      </c>
      <c r="BV7">
        <v>1257</v>
      </c>
      <c r="BW7">
        <v>7200</v>
      </c>
      <c r="BZ7">
        <f>SimpleDashData88[[#This Row],[Total Expense]]/SimpleDashData88[[#This Row],[Total Patients]]</f>
        <v>2.5616547334924422</v>
      </c>
      <c r="CA7">
        <v>0</v>
      </c>
    </row>
    <row r="8" spans="1:79" x14ac:dyDescent="0.3">
      <c r="A8" s="5" cm="1">
        <f t="array" ref="A8">SUMPRODUCT((IF($D$4&lt;&gt;"",1,IF($B$4="All Regions",1,SimpleDashData88[Region]=$B$4)))*(IF($D$4&lt;&gt;"",SimpleDashData88[QCNM Name]=$D$4,IF($G$4="All Clinics",1,SimpleDashData88[QCNM Name]=$G$4)))*(IF($A$4="All Sections",1,SimpleDashData88[Section]=$A$4))*SimpleDashData88[Total Expense])</f>
        <v>1031009</v>
      </c>
      <c r="B8" s="6"/>
      <c r="C8" s="5" cm="1">
        <f t="array" ref="C8">SUMPRODUCT((IF($D$4&lt;&gt;"",1,IF($B$4="All Regions",1,SimpleDashData88[Region]=$B$4)))*(IF($D$4&lt;&gt;"",SimpleDashData88[QCNM Name]=$D$4,IF($G$4="All Clinics",1,SimpleDashData88[QCNM Name]=$G$4)))*(IF($A$4="All Sections",1,SimpleDashData88[Section]=$A$4))*SimpleDashData88[Total Patients])</f>
        <v>236182</v>
      </c>
      <c r="D8" s="6"/>
      <c r="E8" s="5" cm="1">
        <f t="array" ref="E8">SUMPRODUCT((IF($D$4&lt;&gt;"",1,IF($B$4="All Regions",1,SimpleDashData88[Region]=$B$4)))*(IF($D$4&lt;&gt;"",SimpleDashData88[QCNM Name]=$D$4,IF($G$4="All Clinics",1,SimpleDashData88[QCNM Name]=$G$4)))*(IF($A$4="All Sections",1,SimpleDashData88[Section]=$A$4))*(SimpleDashData88[QCNM Name]&lt;&gt;""))</f>
        <v>136</v>
      </c>
      <c r="F8" s="6"/>
      <c r="G8" s="7">
        <f>IFERROR(A8/C8,0)</f>
        <v>4.3653157310887369</v>
      </c>
      <c r="H8" s="6"/>
      <c r="I8" s="6"/>
      <c r="J8" s="5" cm="1">
        <f t="array" ref="J8">SUMPRODUCT((IF($D$4&lt;&gt;"",1,IF($B$4="All Regions",1,SimpleDashData88[Region]=$B$4)))*(IF($D$4&lt;&gt;"",SimpleDashData88[QCNM Name]=$D$4,IF($G$4="All Clinics",1,SimpleDashData88[QCNM Name]=$G$4)))*(IF($A$4="All Sections",1,SimpleDashData88[Section]=$A$4))*(SimpleDashData88[Section]="Public")*SimpleDashData88[Total Expense])</f>
        <v>515533</v>
      </c>
      <c r="K8" s="6"/>
      <c r="L8" s="5" cm="1">
        <f t="array" ref="L8">SUMPRODUCT((IF($D$4&lt;&gt;"",1,IF($B$4="All Regions",1,SimpleDashData88[Region]=$B$4)))*(IF($D$4&lt;&gt;"",SimpleDashData88[QCNM Name]=$D$4,IF($G$4="All Clinics",1,SimpleDashData88[QCNM Name]=$G$4)))*(IF($A$4="All Sections",1,SimpleDashData88[Section]=$A$4))*(SimpleDashData88[Section]="Prison")*SimpleDashData88[Total Expense])</f>
        <v>515476</v>
      </c>
      <c r="M8" s="8"/>
      <c r="N8" s="8" t="str">
        <f>IF($D$4&lt;&gt;"","Search: "&amp;$D$4&amp;" / "&amp;$A$4,$A$4&amp;" / "&amp;$B$4&amp;" / "&amp;$G$4)</f>
        <v>All Sections / All Regions / All Clinics</v>
      </c>
      <c r="O8" s="8"/>
      <c r="AI8" t="s">
        <v>11</v>
      </c>
      <c r="AJ8" s="2">
        <f>SUMIFS(SimpleDashData88[Freight],SimpleDashData88[Section],IF($A$4="All Sections","&lt;&gt;",$A$4))</f>
        <v>33411</v>
      </c>
      <c r="AK8" t="s">
        <v>14</v>
      </c>
      <c r="BA8">
        <v>7</v>
      </c>
      <c r="BB8" t="s">
        <v>55</v>
      </c>
      <c r="BD8" t="s">
        <v>33</v>
      </c>
      <c r="BE8" t="s">
        <v>34</v>
      </c>
      <c r="BF8" t="s">
        <v>35</v>
      </c>
      <c r="BG8">
        <v>0</v>
      </c>
      <c r="BH8">
        <v>1200</v>
      </c>
      <c r="BI8">
        <v>0</v>
      </c>
      <c r="BJ8">
        <v>0</v>
      </c>
      <c r="BK8">
        <v>0</v>
      </c>
      <c r="BL8">
        <v>200</v>
      </c>
      <c r="BM8">
        <v>0</v>
      </c>
      <c r="BN8">
        <v>350</v>
      </c>
      <c r="BO8">
        <v>0</v>
      </c>
      <c r="BP8">
        <v>0</v>
      </c>
      <c r="BQ8">
        <f>SUM(SimpleDashData88[[#This Row],[Convayance]:[Misc]])</f>
        <v>1750</v>
      </c>
      <c r="BR8">
        <v>258</v>
      </c>
      <c r="BS8">
        <v>800</v>
      </c>
      <c r="BT8">
        <v>149</v>
      </c>
      <c r="BU8">
        <f>SUM(SimpleDashData88[[#This Row],[Male]:[Child]])</f>
        <v>1207</v>
      </c>
      <c r="BV8">
        <v>1207</v>
      </c>
      <c r="BW8">
        <v>6035</v>
      </c>
      <c r="BZ8">
        <f>SimpleDashData88[[#This Row],[Total Expense]]/SimpleDashData88[[#This Row],[Total Patients]]</f>
        <v>1.4498757249378624</v>
      </c>
      <c r="CA8">
        <v>0</v>
      </c>
    </row>
    <row r="9" spans="1:79" x14ac:dyDescent="0.3">
      <c r="C9" s="9"/>
      <c r="AI9" t="s">
        <v>12</v>
      </c>
      <c r="AJ9" s="2">
        <f>SUMIFS(SimpleDashData88[Packing],SimpleDashData88[Section],IF($A$4="All Sections","&lt;&gt;",$A$4))</f>
        <v>395960</v>
      </c>
      <c r="AK9" t="s">
        <v>15</v>
      </c>
      <c r="BA9">
        <v>8</v>
      </c>
      <c r="BB9" t="s">
        <v>56</v>
      </c>
      <c r="BD9" t="s">
        <v>33</v>
      </c>
      <c r="BE9" t="s">
        <v>34</v>
      </c>
      <c r="BF9" t="s">
        <v>35</v>
      </c>
      <c r="BG9">
        <v>0</v>
      </c>
      <c r="BH9">
        <v>1000</v>
      </c>
      <c r="BI9">
        <v>0</v>
      </c>
      <c r="BJ9">
        <v>0</v>
      </c>
      <c r="BK9">
        <v>0</v>
      </c>
      <c r="BL9">
        <v>120</v>
      </c>
      <c r="BM9">
        <v>0</v>
      </c>
      <c r="BN9">
        <v>0</v>
      </c>
      <c r="BO9">
        <v>0</v>
      </c>
      <c r="BP9">
        <v>700</v>
      </c>
      <c r="BQ9">
        <f>SUM(SimpleDashData88[[#This Row],[Convayance]:[Misc]])</f>
        <v>1820</v>
      </c>
      <c r="BR9">
        <v>213</v>
      </c>
      <c r="BS9">
        <v>838</v>
      </c>
      <c r="BT9">
        <v>95</v>
      </c>
      <c r="BU9">
        <f>SUM(SimpleDashData88[[#This Row],[Male]:[Child]])</f>
        <v>1146</v>
      </c>
      <c r="BV9">
        <v>1146</v>
      </c>
      <c r="BW9">
        <v>5680</v>
      </c>
      <c r="BZ9">
        <f>SimpleDashData88[[#This Row],[Total Expense]]/SimpleDashData88[[#This Row],[Total Patients]]</f>
        <v>1.588132635253054</v>
      </c>
      <c r="CA9">
        <v>0</v>
      </c>
    </row>
    <row r="10" spans="1:79" x14ac:dyDescent="0.3">
      <c r="H10" s="62" t="b">
        <v>0</v>
      </c>
      <c r="AI10" t="s">
        <v>13</v>
      </c>
      <c r="AJ10" s="2">
        <f>SUMIFS(SimpleDashData88[Postage],SimpleDashData88[Section],IF($A$4="All Sections","&lt;&gt;",$A$4))</f>
        <v>50695</v>
      </c>
      <c r="AK10" t="s">
        <v>16</v>
      </c>
      <c r="BA10">
        <v>9</v>
      </c>
      <c r="BB10" t="s">
        <v>57</v>
      </c>
      <c r="BD10" t="s">
        <v>33</v>
      </c>
      <c r="BE10" t="s">
        <v>34</v>
      </c>
      <c r="BF10" t="s">
        <v>35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f>SUM(SimpleDashData88[[#This Row],[Convayance]:[Misc]])</f>
        <v>0</v>
      </c>
      <c r="BR10">
        <v>569</v>
      </c>
      <c r="BS10">
        <v>1128</v>
      </c>
      <c r="BT10">
        <v>284</v>
      </c>
      <c r="BU10">
        <f>SUM(SimpleDashData88[[#This Row],[Male]:[Child]])</f>
        <v>1981</v>
      </c>
      <c r="BV10">
        <v>1981</v>
      </c>
      <c r="BW10">
        <v>9905</v>
      </c>
      <c r="BZ10">
        <f>SimpleDashData88[[#This Row],[Total Expense]]/SimpleDashData88[[#This Row],[Total Patients]]</f>
        <v>0</v>
      </c>
      <c r="CA10">
        <v>0</v>
      </c>
    </row>
    <row r="11" spans="1:79" x14ac:dyDescent="0.3">
      <c r="A11" s="10" t="s">
        <v>58</v>
      </c>
      <c r="B11" s="10" t="s">
        <v>59</v>
      </c>
      <c r="C11" s="10" t="s">
        <v>6</v>
      </c>
      <c r="D11" s="10" t="s">
        <v>7</v>
      </c>
      <c r="E11" s="10" t="s">
        <v>8</v>
      </c>
      <c r="F11" s="10" t="str">
        <f>IF($K$4="","Total Expense",$K$4)</f>
        <v>Total Expense</v>
      </c>
      <c r="G11" s="10" t="str">
        <f>IF($L$4="Expense Rank","Total Patients",$L$4&amp;" Patients")</f>
        <v>Total Patients</v>
      </c>
      <c r="H11" s="10" t="s">
        <v>60</v>
      </c>
      <c r="I11" s="10"/>
      <c r="J11" s="11" t="s">
        <v>58</v>
      </c>
      <c r="K11" s="11" t="s">
        <v>61</v>
      </c>
      <c r="L11" s="11" t="s">
        <v>46</v>
      </c>
      <c r="N11" s="11" t="s">
        <v>8</v>
      </c>
      <c r="O11" s="11" t="s">
        <v>62</v>
      </c>
      <c r="AI11" t="s">
        <v>14</v>
      </c>
      <c r="AJ11" s="2">
        <f>SUMIFS(SimpleDashData88[Printing],SimpleDashData88[Section],IF($A$4="All Sections","&lt;&gt;",$A$4))</f>
        <v>32041</v>
      </c>
      <c r="AK11" t="s">
        <v>17</v>
      </c>
      <c r="BA11">
        <v>10</v>
      </c>
      <c r="BB11" s="12" t="s">
        <v>63</v>
      </c>
      <c r="BC11">
        <v>2010259</v>
      </c>
      <c r="BD11" t="s">
        <v>33</v>
      </c>
      <c r="BE11" t="s">
        <v>34</v>
      </c>
      <c r="BF11" t="s">
        <v>64</v>
      </c>
      <c r="BG11">
        <v>200</v>
      </c>
      <c r="BH11">
        <v>430</v>
      </c>
      <c r="BI11">
        <v>0</v>
      </c>
      <c r="BJ11">
        <v>2500</v>
      </c>
      <c r="BK11">
        <v>0</v>
      </c>
      <c r="BL11">
        <v>0</v>
      </c>
      <c r="BM11">
        <v>0</v>
      </c>
      <c r="BN11">
        <v>0</v>
      </c>
      <c r="BO11">
        <v>1000</v>
      </c>
      <c r="BP11">
        <v>0</v>
      </c>
      <c r="BQ11">
        <f>SUM(SimpleDashData88[[#This Row],[Convayance]:[Misc]])</f>
        <v>4130</v>
      </c>
      <c r="BR11">
        <v>1896</v>
      </c>
      <c r="BS11">
        <v>0</v>
      </c>
      <c r="BT11">
        <v>0</v>
      </c>
      <c r="BU11">
        <f>SUM(SimpleDashData88[[#This Row],[Male]:[Child]])</f>
        <v>1896</v>
      </c>
      <c r="BV11">
        <v>1896</v>
      </c>
      <c r="BW11">
        <v>3792</v>
      </c>
      <c r="BZ11">
        <f>SimpleDashData88[[#This Row],[Total Expense]]/SimpleDashData88[[#This Row],[Total Patients]]</f>
        <v>2.178270042194093</v>
      </c>
      <c r="CA11">
        <v>0</v>
      </c>
    </row>
    <row r="12" spans="1:79" x14ac:dyDescent="0.3">
      <c r="A12" cm="1">
        <f t="array" ref="A12:A147">IFERROR(_xlfn.SEQUENCE(ROWS(_xlfn.ANCHORARRAY(B12))),"")</f>
        <v>1</v>
      </c>
      <c r="B12" t="str" cm="1">
        <f t="array" ref="B12:B147">_xlfn.LET(_xlpm.r,IF($D$4&lt;&gt;"",1,IF($B$4="All Regions",1,SimpleDashData88[Region]=$B$4)),_xlpm.c,IF($D$4&lt;&gt;"",SimpleDashData88[QCNM Name]=$D$4,IF($G$4="All Clinics",1,SimpleDashData88[QCNM Name]=$G$4)),_xlpm.s,IF($A$4="All Sections",1,SimpleDashData88[Section]=$A$4),_xlpm.m,_xlfn.SWITCH($L$4,"Total",SimpleDashData88[Total Patients],"Male",SimpleDashData88[Male],"Female",SimpleDashData88[Female],"Child",SimpleDashData88[Child],_xlfn.SWITCH($K$4,"Convayance",SimpleDashData88[Convayance],"Purchasing",SimpleDashData88[Purchasing],"Freight",SimpleDashData88[Freight],"Packing",SimpleDashData88[Packing],"Postage",SimpleDashData88[Postage],"Printing",SimpleDashData88[Printing],"Repair",SimpleDashData88[Repair],"Stationary",SimpleDashData88[Stationary],"Utilities",SimpleDashData88[Utilities],"Misc",SimpleDashData88[Misc],SimpleDashData88[Total Expense])),IFERROR(_xlfn.SORTBY(_xlfn._xlws.FILTER(SimpleDashData88[QCNM Name],_xlpm.r*_xlpm.c*_xlpm.s),_xlfn._xlws.FILTER(_xlpm.m,_xlpm.r*_xlpm.c*_xlpm.s),-1),""))</f>
        <v>QCNM Bahawalpur EMH</v>
      </c>
      <c r="C12" t="str" cm="1">
        <f t="array" ref="C12:C147">IFERROR(_xlfn.XLOOKUP(_xlfn.ANCHORARRAY(B12),SimpleDashData88[QCNM Name],SimpleDashData88[Act]),"")</f>
        <v>Trust Act</v>
      </c>
      <c r="D12" t="str" cm="1">
        <f t="array" ref="D12:D147">IFERROR(_xlfn.XLOOKUP(_xlfn.ANCHORARRAY(B12),SimpleDashData88[QCNM Name],SimpleDashData88[Region]),"")</f>
        <v>South &amp; North Punjab Region</v>
      </c>
      <c r="E12" t="str" cm="1">
        <f t="array" ref="E12:E147">IFERROR(_xlfn.XLOOKUP(_xlfn.ANCHORARRAY(B12),SimpleDashData88[QCNM Name],SimpleDashData88[Section]),"")</f>
        <v>Public</v>
      </c>
      <c r="F12" s="2" cm="1">
        <f t="array" ref="F12:F147">_xlfn.LET(_xlpm.m,_xlfn.SWITCH($K$4,"Convayance",SimpleDashData88[Convayance],"Purchasing",SimpleDashData88[Purchasing],"Freight",SimpleDashData88[Freight],"Packing",SimpleDashData88[Packing],"Postage",SimpleDashData88[Postage],"Printing",SimpleDashData88[Printing],"Repair",SimpleDashData88[Repair],"Stationary",SimpleDashData88[Stationary],"Utilities",SimpleDashData88[Utilities],"Misc",SimpleDashData88[Misc],SimpleDashData88[Total Expense]),IFERROR(_xlfn.XLOOKUP(_xlfn.ANCHORARRAY(B12),SimpleDashData88[QCNM Name],_xlpm.m),""))</f>
        <v>52881</v>
      </c>
      <c r="G12" s="2" cm="1">
        <f t="array" ref="G12:G147">_xlfn.LET(_xlpm.p,_xlfn.SWITCH($L$4,"Male",SimpleDashData88[Male],"Female",SimpleDashData88[Female],"Child",SimpleDashData88[Child],SimpleDashData88[Total Patients]),IFERROR(_xlfn.XLOOKUP(_xlfn.ANCHORARRAY(B12),SimpleDashData88[QCNM Name],_xlpm.p),""))</f>
        <v>2939</v>
      </c>
      <c r="H12" s="13" cm="1">
        <f t="array" ref="H12:H147">IFERROR(_xlfn.XLOOKUP(_xlfn.ANCHORARRAY(B12),SimpleDashData88[QCNM Name],SimpleDashData88[Expense Per Patient]),"")</f>
        <v>17.99285471248724</v>
      </c>
      <c r="I12" s="13"/>
      <c r="J12" s="14" cm="1">
        <f t="array" ref="J12:L21">_xlfn.LET(_xlpm.x,_xlfn.SORTBY($BF$152:$BG$161,$BG$152:$BG$161,-1),_xlfn.HSTACK(_xlfn.SEQUENCE(ROWS(_xlpm.x)),_xlpm.x))</f>
        <v>1</v>
      </c>
      <c r="K12" s="14" t="str">
        <v>Packing</v>
      </c>
      <c r="L12" s="15">
        <v>395960</v>
      </c>
      <c r="N12" s="14" t="s">
        <v>35</v>
      </c>
      <c r="O12" s="15" cm="1">
        <f t="array" ref="O12">SUMPRODUCT((IF($D$4&lt;&gt;"",1,IF($B$4="All Regions",1,SimpleDashData88[Region]=$B$4)))*(IF($D$4&lt;&gt;"",SimpleDashData88[QCNM Name]=$D$4,IF($G$4="All Clinics",1,SimpleDashData88[QCNM Name]=$G$4)))*(IF($A$4="All Sections",1,SimpleDashData88[Section]=$A$4))*(SimpleDashData88[Section]=N12)*SimpleDashData88[Total Expense])</f>
        <v>515533</v>
      </c>
      <c r="AI12" t="s">
        <v>15</v>
      </c>
      <c r="AJ12" s="2">
        <f>SUMIFS(SimpleDashData88[Repair],SimpleDashData88[Section],IF($A$4="All Sections","&lt;&gt;",$A$4))</f>
        <v>36528</v>
      </c>
      <c r="AK12" t="s">
        <v>18</v>
      </c>
      <c r="BA12">
        <v>11</v>
      </c>
      <c r="BB12" s="12" t="s">
        <v>65</v>
      </c>
      <c r="BC12">
        <v>2010274</v>
      </c>
      <c r="BD12" t="s">
        <v>33</v>
      </c>
      <c r="BE12" t="s">
        <v>34</v>
      </c>
      <c r="BF12" t="s">
        <v>64</v>
      </c>
      <c r="BG12">
        <v>750</v>
      </c>
      <c r="BH12">
        <v>0</v>
      </c>
      <c r="BI12">
        <v>0</v>
      </c>
      <c r="BJ12">
        <v>290</v>
      </c>
      <c r="BK12">
        <v>0</v>
      </c>
      <c r="BL12">
        <v>260</v>
      </c>
      <c r="BM12">
        <v>0</v>
      </c>
      <c r="BN12">
        <v>330</v>
      </c>
      <c r="BO12">
        <v>0</v>
      </c>
      <c r="BP12">
        <v>0</v>
      </c>
      <c r="BQ12">
        <f>SUM(SimpleDashData88[[#This Row],[Convayance]:[Misc]])</f>
        <v>1630</v>
      </c>
      <c r="BR12">
        <v>2382</v>
      </c>
      <c r="BS12">
        <v>0</v>
      </c>
      <c r="BT12">
        <v>0</v>
      </c>
      <c r="BU12">
        <f>SUM(SimpleDashData88[[#This Row],[Male]:[Child]])</f>
        <v>2382</v>
      </c>
      <c r="BV12">
        <v>2382</v>
      </c>
      <c r="BW12">
        <v>5764</v>
      </c>
      <c r="BZ12">
        <f>SimpleDashData88[[#This Row],[Total Expense]]/SimpleDashData88[[#This Row],[Total Patients]]</f>
        <v>0.68429890848026864</v>
      </c>
      <c r="CA12">
        <v>0</v>
      </c>
    </row>
    <row r="13" spans="1:79" x14ac:dyDescent="0.3">
      <c r="A13">
        <v>2</v>
      </c>
      <c r="B13" t="str">
        <v>QCNM University of Karachi</v>
      </c>
      <c r="C13" t="str">
        <v>Trust Act</v>
      </c>
      <c r="D13" t="str">
        <v>Sindh, Balochistan &amp; AJK Region</v>
      </c>
      <c r="E13" t="str">
        <v>Public</v>
      </c>
      <c r="F13" s="2">
        <v>34467</v>
      </c>
      <c r="G13" s="2">
        <v>1466</v>
      </c>
      <c r="H13" s="13">
        <v>23.510914051841745</v>
      </c>
      <c r="I13" s="13"/>
      <c r="J13" s="14">
        <v>2</v>
      </c>
      <c r="K13" s="14" t="str">
        <v>Convayance</v>
      </c>
      <c r="L13" s="15">
        <v>233154</v>
      </c>
      <c r="N13" s="14" t="s">
        <v>64</v>
      </c>
      <c r="O13" s="15" cm="1">
        <f t="array" ref="O13">SUMPRODUCT((IF($D$4&lt;&gt;"",1,IF($B$4="All Regions",1,SimpleDashData88[Region]=$B$4)))*(IF($D$4&lt;&gt;"",SimpleDashData88[QCNM Name]=$D$4,IF($G$4="All Clinics",1,SimpleDashData88[QCNM Name]=$G$4)))*(IF($A$4="All Sections",1,SimpleDashData88[Section]=$A$4))*(SimpleDashData88[Section]=N13)*SimpleDashData88[Total Expense])</f>
        <v>515476</v>
      </c>
      <c r="AI13" t="s">
        <v>16</v>
      </c>
      <c r="AJ13" s="2">
        <f>SUMIFS(SimpleDashData88[Stationary],SimpleDashData88[Section],IF($A$4="All Sections","&lt;&gt;",$A$4))</f>
        <v>43736</v>
      </c>
      <c r="BA13">
        <v>12</v>
      </c>
      <c r="BB13" s="12" t="s">
        <v>66</v>
      </c>
      <c r="BC13">
        <v>2010281</v>
      </c>
      <c r="BD13" t="s">
        <v>33</v>
      </c>
      <c r="BE13" t="s">
        <v>34</v>
      </c>
      <c r="BF13" t="s">
        <v>64</v>
      </c>
      <c r="BG13">
        <v>0</v>
      </c>
      <c r="BH13">
        <v>1000</v>
      </c>
      <c r="BI13">
        <v>0</v>
      </c>
      <c r="BJ13">
        <v>4330</v>
      </c>
      <c r="BK13">
        <v>570</v>
      </c>
      <c r="BL13">
        <v>1040</v>
      </c>
      <c r="BM13">
        <v>0</v>
      </c>
      <c r="BN13">
        <v>200</v>
      </c>
      <c r="BO13">
        <v>0</v>
      </c>
      <c r="BP13">
        <v>900</v>
      </c>
      <c r="BQ13">
        <f>SUM(SimpleDashData88[[#This Row],[Convayance]:[Misc]])</f>
        <v>8040</v>
      </c>
      <c r="BR13">
        <v>2517</v>
      </c>
      <c r="BS13">
        <v>0</v>
      </c>
      <c r="BT13">
        <v>0</v>
      </c>
      <c r="BU13">
        <f>SUM(SimpleDashData88[[#This Row],[Male]:[Child]])</f>
        <v>2517</v>
      </c>
      <c r="BV13">
        <v>2517</v>
      </c>
      <c r="BW13">
        <v>5634</v>
      </c>
      <c r="BZ13">
        <f>SimpleDashData88[[#This Row],[Total Expense]]/SimpleDashData88[[#This Row],[Total Patients]]</f>
        <v>3.194278903456496</v>
      </c>
      <c r="CA13">
        <v>0</v>
      </c>
    </row>
    <row r="14" spans="1:79" x14ac:dyDescent="0.3">
      <c r="A14">
        <v>3</v>
      </c>
      <c r="B14" t="str">
        <v>QCNM RHC Washbood</v>
      </c>
      <c r="C14" t="str">
        <v>U/S 42</v>
      </c>
      <c r="D14" t="str">
        <v>Sindh, Balochistan &amp; AJK Region</v>
      </c>
      <c r="E14" t="str">
        <v>Public</v>
      </c>
      <c r="F14" s="2">
        <v>32860</v>
      </c>
      <c r="G14" s="2">
        <v>751</v>
      </c>
      <c r="H14" s="13">
        <v>43.754993342210383</v>
      </c>
      <c r="I14" s="13"/>
      <c r="J14" s="14">
        <v>3</v>
      </c>
      <c r="K14" s="14" t="str">
        <v>Purchasing</v>
      </c>
      <c r="L14" s="15">
        <v>87852</v>
      </c>
      <c r="O14" s="2"/>
      <c r="AI14" t="s">
        <v>17</v>
      </c>
      <c r="AJ14" s="2">
        <f>SUMIFS(SimpleDashData88[Utilities],SimpleDashData88[Section],IF($A$4="All Sections","&lt;&gt;",$A$4))</f>
        <v>30815</v>
      </c>
      <c r="BA14">
        <v>13</v>
      </c>
      <c r="BB14" s="12" t="s">
        <v>67</v>
      </c>
      <c r="BC14">
        <v>2010262</v>
      </c>
      <c r="BD14" t="s">
        <v>68</v>
      </c>
      <c r="BE14" t="s">
        <v>34</v>
      </c>
      <c r="BF14" t="s">
        <v>64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150</v>
      </c>
      <c r="BM14">
        <v>0</v>
      </c>
      <c r="BN14">
        <v>120</v>
      </c>
      <c r="BO14">
        <v>0</v>
      </c>
      <c r="BP14">
        <v>0</v>
      </c>
      <c r="BQ14">
        <f>SUM(SimpleDashData88[[#This Row],[Convayance]:[Misc]])</f>
        <v>270</v>
      </c>
      <c r="BR14">
        <v>1137</v>
      </c>
      <c r="BS14">
        <v>2</v>
      </c>
      <c r="BT14">
        <v>0</v>
      </c>
      <c r="BU14">
        <f>SUM(SimpleDashData88[[#This Row],[Male]:[Child]])</f>
        <v>1139</v>
      </c>
      <c r="BV14">
        <v>1139</v>
      </c>
      <c r="BW14">
        <v>3054</v>
      </c>
      <c r="BZ14">
        <f>SimpleDashData88[[#This Row],[Total Expense]]/SimpleDashData88[[#This Row],[Total Patients]]</f>
        <v>0.23705004389815629</v>
      </c>
      <c r="CA14">
        <v>0</v>
      </c>
    </row>
    <row r="15" spans="1:79" x14ac:dyDescent="0.3">
      <c r="A15">
        <v>4</v>
      </c>
      <c r="B15" t="str">
        <v>QCNM The Islamia Uni of Bahawalpur</v>
      </c>
      <c r="C15" t="str">
        <v>Trust Act</v>
      </c>
      <c r="D15" t="str">
        <v>South &amp; North Punjab Region</v>
      </c>
      <c r="E15" t="str">
        <v>Public</v>
      </c>
      <c r="F15" s="2">
        <v>28950</v>
      </c>
      <c r="G15" s="2">
        <v>2209</v>
      </c>
      <c r="H15" s="13">
        <v>13.105477591670439</v>
      </c>
      <c r="I15" s="13"/>
      <c r="J15" s="14">
        <v>4</v>
      </c>
      <c r="K15" s="14" t="str">
        <v>Misc</v>
      </c>
      <c r="L15" s="15">
        <v>86817</v>
      </c>
      <c r="O15" s="2"/>
      <c r="AI15" t="s">
        <v>18</v>
      </c>
      <c r="AJ15" s="2">
        <f>SUMIFS(SimpleDashData88[Misc],SimpleDashData88[Section],IF($A$4="All Sections","&lt;&gt;",$A$4))</f>
        <v>86817</v>
      </c>
      <c r="BA15">
        <v>14</v>
      </c>
      <c r="BB15" s="12" t="s">
        <v>69</v>
      </c>
      <c r="BC15">
        <v>2010289</v>
      </c>
      <c r="BD15" t="s">
        <v>68</v>
      </c>
      <c r="BE15" t="s">
        <v>34</v>
      </c>
      <c r="BF15" t="s">
        <v>64</v>
      </c>
      <c r="BG15">
        <v>600</v>
      </c>
      <c r="BH15">
        <v>0</v>
      </c>
      <c r="BI15">
        <v>0</v>
      </c>
      <c r="BJ15">
        <v>0</v>
      </c>
      <c r="BK15">
        <v>0</v>
      </c>
      <c r="BL15">
        <v>220</v>
      </c>
      <c r="BM15">
        <v>0</v>
      </c>
      <c r="BN15">
        <v>0</v>
      </c>
      <c r="BO15">
        <v>500</v>
      </c>
      <c r="BP15">
        <v>0</v>
      </c>
      <c r="BQ15">
        <f>SUM(SimpleDashData88[[#This Row],[Convayance]:[Misc]])</f>
        <v>1320</v>
      </c>
      <c r="BR15">
        <v>434</v>
      </c>
      <c r="BS15">
        <v>5</v>
      </c>
      <c r="BT15">
        <v>0</v>
      </c>
      <c r="BU15">
        <f>SUM(SimpleDashData88[[#This Row],[Male]:[Child]])</f>
        <v>439</v>
      </c>
      <c r="BV15">
        <v>439</v>
      </c>
      <c r="BW15">
        <v>938</v>
      </c>
      <c r="BZ15">
        <f>SimpleDashData88[[#This Row],[Total Expense]]/SimpleDashData88[[#This Row],[Total Patients]]</f>
        <v>3.0068337129840548</v>
      </c>
      <c r="CA15">
        <v>0</v>
      </c>
    </row>
    <row r="16" spans="1:79" x14ac:dyDescent="0.3">
      <c r="A16">
        <v>5</v>
      </c>
      <c r="B16" t="str">
        <v>QCNM Mamukanjan</v>
      </c>
      <c r="C16" t="str">
        <v>Trust Act</v>
      </c>
      <c r="D16" t="str">
        <v>Central Punjab Region</v>
      </c>
      <c r="E16" t="str">
        <v>Public</v>
      </c>
      <c r="F16" s="2">
        <v>28346</v>
      </c>
      <c r="G16" s="2">
        <v>1809</v>
      </c>
      <c r="H16" s="13">
        <v>15.669430624654506</v>
      </c>
      <c r="I16" s="13"/>
      <c r="J16" s="14">
        <v>5</v>
      </c>
      <c r="K16" s="14" t="str">
        <v>Postage</v>
      </c>
      <c r="L16" s="15">
        <v>50695</v>
      </c>
      <c r="N16" s="11" t="s">
        <v>70</v>
      </c>
      <c r="O16" s="16" t="s">
        <v>71</v>
      </c>
      <c r="P16" s="16" t="s">
        <v>40</v>
      </c>
      <c r="BA16">
        <v>15</v>
      </c>
      <c r="BB16" s="12" t="s">
        <v>72</v>
      </c>
      <c r="BC16">
        <v>2010241</v>
      </c>
      <c r="BD16" t="s">
        <v>33</v>
      </c>
      <c r="BE16" t="s">
        <v>34</v>
      </c>
      <c r="BF16" t="s">
        <v>64</v>
      </c>
      <c r="BG16">
        <v>0</v>
      </c>
      <c r="BH16">
        <v>500</v>
      </c>
      <c r="BI16">
        <v>150</v>
      </c>
      <c r="BJ16">
        <v>3180</v>
      </c>
      <c r="BK16">
        <v>560</v>
      </c>
      <c r="BL16">
        <v>0</v>
      </c>
      <c r="BM16">
        <v>0</v>
      </c>
      <c r="BN16">
        <v>370</v>
      </c>
      <c r="BO16">
        <v>0</v>
      </c>
      <c r="BP16">
        <v>0</v>
      </c>
      <c r="BQ16">
        <f>SUM(SimpleDashData88[[#This Row],[Convayance]:[Misc]])</f>
        <v>4760</v>
      </c>
      <c r="BR16">
        <v>1139</v>
      </c>
      <c r="BS16">
        <v>0</v>
      </c>
      <c r="BT16">
        <v>0</v>
      </c>
      <c r="BU16">
        <f>SUM(SimpleDashData88[[#This Row],[Male]:[Child]])</f>
        <v>1139</v>
      </c>
      <c r="BV16">
        <v>1139</v>
      </c>
      <c r="BW16">
        <v>2278</v>
      </c>
      <c r="BZ16">
        <f>SimpleDashData88[[#This Row],[Total Expense]]/SimpleDashData88[[#This Row],[Total Patients]]</f>
        <v>4.1791044776119399</v>
      </c>
      <c r="CA16">
        <v>0</v>
      </c>
    </row>
    <row r="17" spans="1:79" x14ac:dyDescent="0.3">
      <c r="A17">
        <v>6</v>
      </c>
      <c r="B17" t="str">
        <v>QCNM University of Sindh</v>
      </c>
      <c r="C17" t="str">
        <v>Trust Act</v>
      </c>
      <c r="D17" t="str">
        <v>Sindh, Balochistan &amp; AJK Region</v>
      </c>
      <c r="E17" t="str">
        <v>Public</v>
      </c>
      <c r="F17" s="2">
        <v>26190</v>
      </c>
      <c r="G17" s="2">
        <v>2041</v>
      </c>
      <c r="H17" s="13">
        <v>12.831945124938755</v>
      </c>
      <c r="I17" s="13"/>
      <c r="J17" s="14">
        <v>6</v>
      </c>
      <c r="K17" s="14" t="str">
        <v>Stationary</v>
      </c>
      <c r="L17" s="15">
        <v>43736</v>
      </c>
      <c r="N17" s="14" t="s">
        <v>20</v>
      </c>
      <c r="O17" s="15" cm="1">
        <f t="array" ref="O17">SUMPRODUCT((IF($D$4&lt;&gt;"",1,IF($B$4="All Regions",1,SimpleDashData88[Region]=$B$4)))*(IF($D$4&lt;&gt;"",SimpleDashData88[QCNM Name]=$D$4,IF($G$4="All Clinics",1,SimpleDashData88[QCNM Name]=$G$4)))*(IF($A$4="All Sections",1,SimpleDashData88[Section]=$A$4))*SimpleDashData88[Male])</f>
        <v>194967</v>
      </c>
      <c r="P17" s="63">
        <f>SUM(O17:O19)</f>
        <v>236182</v>
      </c>
      <c r="BA17">
        <v>16</v>
      </c>
      <c r="BB17" s="12" t="s">
        <v>73</v>
      </c>
      <c r="BC17">
        <v>2010276</v>
      </c>
      <c r="BD17" t="s">
        <v>33</v>
      </c>
      <c r="BE17" t="s">
        <v>34</v>
      </c>
      <c r="BF17" t="s">
        <v>64</v>
      </c>
      <c r="BG17">
        <v>0</v>
      </c>
      <c r="BH17">
        <v>0</v>
      </c>
      <c r="BI17">
        <v>1000</v>
      </c>
      <c r="BJ17">
        <v>0</v>
      </c>
      <c r="BK17">
        <v>560</v>
      </c>
      <c r="BL17">
        <v>100</v>
      </c>
      <c r="BM17">
        <v>0</v>
      </c>
      <c r="BN17">
        <v>0</v>
      </c>
      <c r="BO17">
        <v>0</v>
      </c>
      <c r="BP17">
        <v>0</v>
      </c>
      <c r="BQ17">
        <f>SUM(SimpleDashData88[[#This Row],[Convayance]:[Misc]])</f>
        <v>1660</v>
      </c>
      <c r="BR17">
        <v>2612</v>
      </c>
      <c r="BS17">
        <v>0</v>
      </c>
      <c r="BT17">
        <v>0</v>
      </c>
      <c r="BU17">
        <f>SUM(SimpleDashData88[[#This Row],[Male]:[Child]])</f>
        <v>2612</v>
      </c>
      <c r="BV17">
        <v>2612</v>
      </c>
      <c r="BW17">
        <v>5224</v>
      </c>
      <c r="BZ17">
        <f>SimpleDashData88[[#This Row],[Total Expense]]/SimpleDashData88[[#This Row],[Total Patients]]</f>
        <v>0.63552833078101068</v>
      </c>
      <c r="CA17">
        <v>0</v>
      </c>
    </row>
    <row r="18" spans="1:79" x14ac:dyDescent="0.3">
      <c r="A18">
        <v>7</v>
      </c>
      <c r="B18" t="str">
        <v>QCNM Larkana, District Jail</v>
      </c>
      <c r="C18" t="str">
        <v>Trust Act</v>
      </c>
      <c r="D18" t="str">
        <v>Sindh, Balochistan &amp; AJK Region</v>
      </c>
      <c r="E18" t="str">
        <v>Prison</v>
      </c>
      <c r="F18" s="2">
        <v>21410</v>
      </c>
      <c r="G18" s="2">
        <v>1643</v>
      </c>
      <c r="H18" s="13">
        <v>13.031040779062691</v>
      </c>
      <c r="I18" s="13"/>
      <c r="J18" s="14">
        <v>7</v>
      </c>
      <c r="K18" s="14" t="str">
        <v>Repair</v>
      </c>
      <c r="L18" s="15">
        <v>36528</v>
      </c>
      <c r="N18" s="14" t="s">
        <v>21</v>
      </c>
      <c r="O18" s="15" cm="1">
        <f t="array" ref="O18">SUMPRODUCT((IF($D$4&lt;&gt;"",1,IF($B$4="All Regions",1,SimpleDashData88[Region]=$B$4)))*(IF($D$4&lt;&gt;"",SimpleDashData88[QCNM Name]=$D$4,IF($G$4="All Clinics",1,SimpleDashData88[QCNM Name]=$G$4)))*(IF($A$4="All Sections",1,SimpleDashData88[Section]=$A$4))*SimpleDashData88[Female])</f>
        <v>28778</v>
      </c>
      <c r="P18" s="64"/>
      <c r="BA18">
        <v>17</v>
      </c>
      <c r="BB18" s="12" t="s">
        <v>74</v>
      </c>
      <c r="BC18">
        <v>2010284</v>
      </c>
      <c r="BD18" t="s">
        <v>33</v>
      </c>
      <c r="BE18" t="s">
        <v>34</v>
      </c>
      <c r="BF18" t="s">
        <v>64</v>
      </c>
      <c r="BG18">
        <v>0</v>
      </c>
      <c r="BH18">
        <v>0</v>
      </c>
      <c r="BI18">
        <v>0</v>
      </c>
      <c r="BJ18">
        <v>0</v>
      </c>
      <c r="BK18">
        <v>620</v>
      </c>
      <c r="BL18">
        <v>350</v>
      </c>
      <c r="BM18">
        <v>0</v>
      </c>
      <c r="BN18">
        <v>0</v>
      </c>
      <c r="BO18">
        <v>500</v>
      </c>
      <c r="BP18">
        <v>0</v>
      </c>
      <c r="BQ18">
        <f>SUM(SimpleDashData88[[#This Row],[Convayance]:[Misc]])</f>
        <v>1470</v>
      </c>
      <c r="BR18">
        <v>2094</v>
      </c>
      <c r="BS18">
        <v>195</v>
      </c>
      <c r="BT18">
        <v>73</v>
      </c>
      <c r="BU18">
        <f>SUM(SimpleDashData88[[#This Row],[Male]:[Child]])</f>
        <v>2362</v>
      </c>
      <c r="BV18">
        <v>2362</v>
      </c>
      <c r="BW18">
        <v>4724</v>
      </c>
      <c r="BZ18">
        <f>SimpleDashData88[[#This Row],[Total Expense]]/SimpleDashData88[[#This Row],[Total Patients]]</f>
        <v>0.62235393734123623</v>
      </c>
      <c r="CA18">
        <v>0</v>
      </c>
    </row>
    <row r="19" spans="1:79" x14ac:dyDescent="0.3">
      <c r="A19">
        <v>8</v>
      </c>
      <c r="B19" t="str">
        <v>QCNM Lahore, Nonarian</v>
      </c>
      <c r="C19" t="str">
        <v>Trust Act</v>
      </c>
      <c r="D19" t="str">
        <v>Central Punjab Region</v>
      </c>
      <c r="E19" t="str">
        <v>Public</v>
      </c>
      <c r="F19" s="2">
        <v>21150</v>
      </c>
      <c r="G19" s="2">
        <v>1989</v>
      </c>
      <c r="H19" s="13">
        <v>10.633484162895927</v>
      </c>
      <c r="I19" s="13"/>
      <c r="J19" s="14">
        <v>8</v>
      </c>
      <c r="K19" s="14" t="str">
        <v>Freight</v>
      </c>
      <c r="L19" s="15">
        <v>33411</v>
      </c>
      <c r="N19" s="14" t="s">
        <v>22</v>
      </c>
      <c r="O19" s="15" cm="1">
        <f t="array" ref="O19">SUMPRODUCT((IF($D$4&lt;&gt;"",1,IF($B$4="All Regions",1,SimpleDashData88[Region]=$B$4)))*(IF($D$4&lt;&gt;"",SimpleDashData88[QCNM Name]=$D$4,IF($G$4="All Clinics",1,SimpleDashData88[QCNM Name]=$G$4)))*(IF($A$4="All Sections",1,SimpleDashData88[Section]=$A$4))*SimpleDashData88[Child])</f>
        <v>12437</v>
      </c>
      <c r="P19" s="64"/>
      <c r="BA19">
        <v>18</v>
      </c>
      <c r="BB19" s="12" t="s">
        <v>75</v>
      </c>
      <c r="BC19">
        <v>2010260</v>
      </c>
      <c r="BD19" t="s">
        <v>33</v>
      </c>
      <c r="BE19" t="s">
        <v>34</v>
      </c>
      <c r="BF19" t="s">
        <v>64</v>
      </c>
      <c r="BG19">
        <v>600</v>
      </c>
      <c r="BH19">
        <v>0</v>
      </c>
      <c r="BI19">
        <v>800</v>
      </c>
      <c r="BJ19">
        <v>6800</v>
      </c>
      <c r="BK19">
        <v>0</v>
      </c>
      <c r="BL19">
        <v>440</v>
      </c>
      <c r="BM19">
        <v>0</v>
      </c>
      <c r="BN19">
        <v>300</v>
      </c>
      <c r="BO19">
        <v>0</v>
      </c>
      <c r="BP19">
        <v>0</v>
      </c>
      <c r="BQ19">
        <f>SUM(SimpleDashData88[[#This Row],[Convayance]:[Misc]])</f>
        <v>8940</v>
      </c>
      <c r="BR19">
        <v>1352</v>
      </c>
      <c r="BS19">
        <v>0</v>
      </c>
      <c r="BT19">
        <v>0</v>
      </c>
      <c r="BU19">
        <f>SUM(SimpleDashData88[[#This Row],[Male]:[Child]])</f>
        <v>1352</v>
      </c>
      <c r="BV19">
        <v>1352</v>
      </c>
      <c r="BW19">
        <v>3024</v>
      </c>
      <c r="BZ19">
        <f>SimpleDashData88[[#This Row],[Total Expense]]/SimpleDashData88[[#This Row],[Total Patients]]</f>
        <v>6.6124260355029589</v>
      </c>
      <c r="CA19">
        <v>0</v>
      </c>
    </row>
    <row r="20" spans="1:79" x14ac:dyDescent="0.3">
      <c r="A20">
        <v>9</v>
      </c>
      <c r="B20" t="str">
        <v>QCNM RAHMA Hospital Janpur</v>
      </c>
      <c r="C20" t="str">
        <v>Trust Act</v>
      </c>
      <c r="D20" t="str">
        <v>South &amp; North Punjab Region</v>
      </c>
      <c r="E20" t="str">
        <v>Public</v>
      </c>
      <c r="F20" s="2">
        <v>18810</v>
      </c>
      <c r="G20" s="2">
        <v>2002</v>
      </c>
      <c r="H20" s="13">
        <v>9.395604395604396</v>
      </c>
      <c r="I20" s="13"/>
      <c r="J20" s="14">
        <v>9</v>
      </c>
      <c r="K20" s="14" t="str">
        <v>Printing</v>
      </c>
      <c r="L20" s="15">
        <v>32041</v>
      </c>
      <c r="BA20">
        <v>19</v>
      </c>
      <c r="BB20" s="12" t="s">
        <v>76</v>
      </c>
      <c r="BC20">
        <v>2010266</v>
      </c>
      <c r="BD20" t="s">
        <v>33</v>
      </c>
      <c r="BE20" t="s">
        <v>34</v>
      </c>
      <c r="BF20" t="s">
        <v>64</v>
      </c>
      <c r="BG20">
        <v>0</v>
      </c>
      <c r="BH20">
        <v>1000</v>
      </c>
      <c r="BI20">
        <v>0</v>
      </c>
      <c r="BJ20">
        <v>6800</v>
      </c>
      <c r="BK20">
        <v>190</v>
      </c>
      <c r="BL20">
        <v>0</v>
      </c>
      <c r="BM20">
        <v>0</v>
      </c>
      <c r="BN20">
        <v>700</v>
      </c>
      <c r="BO20">
        <v>0</v>
      </c>
      <c r="BP20">
        <v>0</v>
      </c>
      <c r="BQ20">
        <f>SUM(SimpleDashData88[[#This Row],[Convayance]:[Misc]])</f>
        <v>8690</v>
      </c>
      <c r="BR20">
        <v>2334</v>
      </c>
      <c r="BS20">
        <v>241</v>
      </c>
      <c r="BT20">
        <v>35</v>
      </c>
      <c r="BU20">
        <f>SUM(SimpleDashData88[[#This Row],[Male]:[Child]])</f>
        <v>2610</v>
      </c>
      <c r="BV20">
        <v>2610</v>
      </c>
      <c r="BW20">
        <v>5220</v>
      </c>
      <c r="BZ20">
        <f>SimpleDashData88[[#This Row],[Total Expense]]/SimpleDashData88[[#This Row],[Total Patients]]</f>
        <v>3.3295019157088124</v>
      </c>
      <c r="CA20">
        <v>0</v>
      </c>
    </row>
    <row r="21" spans="1:79" x14ac:dyDescent="0.3">
      <c r="A21">
        <v>10</v>
      </c>
      <c r="B21" t="str">
        <v>QCNM Bahawalnagar, District Jail</v>
      </c>
      <c r="C21" t="str">
        <v>Trust Act</v>
      </c>
      <c r="D21" t="str">
        <v>South &amp; North Punjab Region</v>
      </c>
      <c r="E21" t="str">
        <v>Prison</v>
      </c>
      <c r="F21" s="2">
        <v>17930</v>
      </c>
      <c r="G21" s="2">
        <v>3104</v>
      </c>
      <c r="H21" s="13">
        <v>5.776417525773196</v>
      </c>
      <c r="I21" s="13"/>
      <c r="J21" s="14">
        <v>10</v>
      </c>
      <c r="K21" s="14" t="str">
        <v>Utilities</v>
      </c>
      <c r="L21" s="15">
        <v>30815</v>
      </c>
      <c r="BA21">
        <v>20</v>
      </c>
      <c r="BB21" s="12" t="s">
        <v>77</v>
      </c>
      <c r="BC21">
        <v>2010267</v>
      </c>
      <c r="BD21" t="s">
        <v>33</v>
      </c>
      <c r="BE21" t="s">
        <v>34</v>
      </c>
      <c r="BF21" t="s">
        <v>64</v>
      </c>
      <c r="BG21">
        <v>500</v>
      </c>
      <c r="BH21">
        <v>1000</v>
      </c>
      <c r="BI21">
        <v>0</v>
      </c>
      <c r="BJ21">
        <v>4720</v>
      </c>
      <c r="BK21">
        <v>560</v>
      </c>
      <c r="BL21">
        <v>330</v>
      </c>
      <c r="BM21">
        <v>0</v>
      </c>
      <c r="BN21">
        <v>600</v>
      </c>
      <c r="BO21">
        <v>0</v>
      </c>
      <c r="BP21">
        <v>0</v>
      </c>
      <c r="BQ21">
        <f>SUM(SimpleDashData88[[#This Row],[Convayance]:[Misc]])</f>
        <v>7710</v>
      </c>
      <c r="BR21">
        <v>3554</v>
      </c>
      <c r="BS21">
        <v>0</v>
      </c>
      <c r="BT21">
        <v>0</v>
      </c>
      <c r="BU21">
        <f>SUM(SimpleDashData88[[#This Row],[Male]:[Child]])</f>
        <v>3554</v>
      </c>
      <c r="BV21">
        <v>3554</v>
      </c>
      <c r="BW21">
        <v>8348</v>
      </c>
      <c r="BZ21">
        <f>SimpleDashData88[[#This Row],[Total Expense]]/SimpleDashData88[[#This Row],[Total Patients]]</f>
        <v>2.1693866066404053</v>
      </c>
      <c r="CA21">
        <v>0</v>
      </c>
    </row>
    <row r="22" spans="1:79" x14ac:dyDescent="0.3">
      <c r="A22">
        <v>11</v>
      </c>
      <c r="B22" t="str">
        <v>QCNM Lahore, Molvi Najjar Ashiana Housing</v>
      </c>
      <c r="C22" t="str">
        <v>Trust Act</v>
      </c>
      <c r="D22" t="str">
        <v>Central Punjab Region</v>
      </c>
      <c r="E22" t="str">
        <v>Public</v>
      </c>
      <c r="F22" s="2">
        <v>16199</v>
      </c>
      <c r="G22" s="2">
        <v>1373</v>
      </c>
      <c r="H22" s="13">
        <v>11.798252002913328</v>
      </c>
      <c r="I22" s="13"/>
      <c r="L22" s="17">
        <f>SUM(L12:L21)</f>
        <v>1031009</v>
      </c>
      <c r="BA22">
        <v>21</v>
      </c>
      <c r="BB22" s="12" t="s">
        <v>78</v>
      </c>
      <c r="BC22">
        <v>2010293</v>
      </c>
      <c r="BD22" t="s">
        <v>33</v>
      </c>
      <c r="BE22" t="s">
        <v>34</v>
      </c>
      <c r="BF22" t="s">
        <v>64</v>
      </c>
      <c r="BG22">
        <v>1150</v>
      </c>
      <c r="BH22">
        <v>500</v>
      </c>
      <c r="BI22">
        <v>0</v>
      </c>
      <c r="BJ22">
        <v>7400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f>SUM(SimpleDashData88[[#This Row],[Convayance]:[Misc]])</f>
        <v>9050</v>
      </c>
      <c r="BR22">
        <v>2040</v>
      </c>
      <c r="BS22">
        <v>258</v>
      </c>
      <c r="BT22">
        <v>115</v>
      </c>
      <c r="BU22">
        <f>SUM(SimpleDashData88[[#This Row],[Male]:[Child]])</f>
        <v>2413</v>
      </c>
      <c r="BV22">
        <v>2413</v>
      </c>
      <c r="BW22">
        <v>5134</v>
      </c>
      <c r="BZ22">
        <f>SimpleDashData88[[#This Row],[Total Expense]]/SimpleDashData88[[#This Row],[Total Patients]]</f>
        <v>3.7505180273518444</v>
      </c>
      <c r="CA22">
        <v>0</v>
      </c>
    </row>
    <row r="23" spans="1:79" x14ac:dyDescent="0.3">
      <c r="A23">
        <v>12</v>
      </c>
      <c r="B23" t="str">
        <v>QCNM University of Okara</v>
      </c>
      <c r="C23" t="str">
        <v>Trust Act</v>
      </c>
      <c r="D23" t="str">
        <v>South &amp; North Punjab Region</v>
      </c>
      <c r="E23" t="str">
        <v>Public</v>
      </c>
      <c r="F23" s="2">
        <v>16180</v>
      </c>
      <c r="G23" s="2">
        <v>1782</v>
      </c>
      <c r="H23" s="13">
        <v>9.0796857463524123</v>
      </c>
      <c r="I23" s="13"/>
      <c r="J23" s="65" t="s">
        <v>79</v>
      </c>
      <c r="K23" s="65"/>
      <c r="L23" s="65"/>
      <c r="M23" s="65"/>
      <c r="N23" s="65"/>
      <c r="P23" s="65" t="s">
        <v>80</v>
      </c>
      <c r="Q23" s="65"/>
      <c r="R23" s="65"/>
      <c r="S23" s="65"/>
      <c r="T23" s="65"/>
      <c r="V23" s="66" t="s">
        <v>81</v>
      </c>
      <c r="W23" s="67"/>
      <c r="X23" s="68"/>
      <c r="BA23">
        <v>22</v>
      </c>
      <c r="BB23" s="12" t="s">
        <v>82</v>
      </c>
      <c r="BC23">
        <v>2010297</v>
      </c>
      <c r="BD23" t="s">
        <v>33</v>
      </c>
      <c r="BE23" t="s">
        <v>34</v>
      </c>
      <c r="BF23" t="s">
        <v>64</v>
      </c>
      <c r="BG23">
        <v>0</v>
      </c>
      <c r="BH23">
        <v>0</v>
      </c>
      <c r="BI23">
        <v>0</v>
      </c>
      <c r="BJ23">
        <v>1250</v>
      </c>
      <c r="BK23">
        <v>0</v>
      </c>
      <c r="BL23">
        <v>0</v>
      </c>
      <c r="BM23">
        <v>0</v>
      </c>
      <c r="BN23">
        <v>120</v>
      </c>
      <c r="BO23">
        <v>0</v>
      </c>
      <c r="BP23">
        <v>500</v>
      </c>
      <c r="BQ23">
        <f>SUM(SimpleDashData88[[#This Row],[Convayance]:[Misc]])</f>
        <v>1870</v>
      </c>
      <c r="BR23">
        <v>1658</v>
      </c>
      <c r="BS23">
        <v>0</v>
      </c>
      <c r="BT23">
        <v>0</v>
      </c>
      <c r="BU23">
        <f>SUM(SimpleDashData88[[#This Row],[Male]:[Child]])</f>
        <v>1658</v>
      </c>
      <c r="BV23">
        <v>1658</v>
      </c>
      <c r="BW23">
        <v>3316</v>
      </c>
      <c r="BZ23">
        <f>SimpleDashData88[[#This Row],[Total Expense]]/SimpleDashData88[[#This Row],[Total Patients]]</f>
        <v>1.1278648974668275</v>
      </c>
      <c r="CA23">
        <v>0</v>
      </c>
    </row>
    <row r="24" spans="1:79" x14ac:dyDescent="0.3">
      <c r="A24">
        <v>13</v>
      </c>
      <c r="B24" t="str">
        <v>Lahore, QCNM Saggian</v>
      </c>
      <c r="C24" t="str">
        <v>Trust Act</v>
      </c>
      <c r="D24" t="str">
        <v>Central Punjab Region</v>
      </c>
      <c r="E24" t="str">
        <v>Public</v>
      </c>
      <c r="F24" s="2">
        <v>16060</v>
      </c>
      <c r="G24" s="2">
        <v>1187</v>
      </c>
      <c r="H24" s="13">
        <v>13.529907329401853</v>
      </c>
      <c r="I24" s="13"/>
      <c r="J24" s="18" t="s">
        <v>58</v>
      </c>
      <c r="K24" s="18" t="s">
        <v>7</v>
      </c>
      <c r="L24" s="18" t="s">
        <v>23</v>
      </c>
      <c r="M24" s="18" t="s">
        <v>49</v>
      </c>
      <c r="N24" s="18" t="s">
        <v>83</v>
      </c>
      <c r="P24" s="18" t="s">
        <v>58</v>
      </c>
      <c r="Q24" s="18" t="s">
        <v>7</v>
      </c>
      <c r="R24" s="18" t="s">
        <v>19</v>
      </c>
      <c r="S24" s="18" t="s">
        <v>49</v>
      </c>
      <c r="T24" s="18" t="s">
        <v>50</v>
      </c>
      <c r="V24" s="18" t="s">
        <v>58</v>
      </c>
      <c r="W24" s="18" t="s">
        <v>84</v>
      </c>
      <c r="X24" s="18" t="s">
        <v>19</v>
      </c>
      <c r="BA24">
        <v>23</v>
      </c>
      <c r="BB24" s="12" t="s">
        <v>85</v>
      </c>
      <c r="BC24">
        <v>2010401</v>
      </c>
      <c r="BD24" t="s">
        <v>68</v>
      </c>
      <c r="BE24" t="s">
        <v>34</v>
      </c>
      <c r="BF24" t="s">
        <v>64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500</v>
      </c>
      <c r="BP24">
        <v>0</v>
      </c>
      <c r="BQ24">
        <f>SUM(SimpleDashData88[[#This Row],[Convayance]:[Misc]])</f>
        <v>500</v>
      </c>
      <c r="BR24">
        <v>786</v>
      </c>
      <c r="BS24">
        <v>16</v>
      </c>
      <c r="BT24">
        <v>0</v>
      </c>
      <c r="BU24">
        <f>SUM(SimpleDashData88[[#This Row],[Male]:[Child]])</f>
        <v>802</v>
      </c>
      <c r="BV24">
        <v>802</v>
      </c>
      <c r="BW24">
        <v>2406</v>
      </c>
      <c r="BZ24">
        <f>SimpleDashData88[[#This Row],[Total Expense]]/SimpleDashData88[[#This Row],[Total Patients]]</f>
        <v>0.62344139650872821</v>
      </c>
      <c r="CA24">
        <v>0</v>
      </c>
    </row>
    <row r="25" spans="1:79" ht="27.6" x14ac:dyDescent="0.3">
      <c r="A25">
        <v>14</v>
      </c>
      <c r="B25" t="str">
        <v>QCNM Hadi Free Hospital</v>
      </c>
      <c r="C25" t="str">
        <v>Trust Act</v>
      </c>
      <c r="D25" t="str">
        <v>Central Punjab Region</v>
      </c>
      <c r="E25" t="str">
        <v>Public</v>
      </c>
      <c r="F25" s="2">
        <v>16060</v>
      </c>
      <c r="G25" s="2">
        <v>1516</v>
      </c>
      <c r="H25" s="13">
        <v>10.593667546174142</v>
      </c>
      <c r="I25" s="13"/>
      <c r="J25" s="19" cm="1">
        <f t="array" ref="J25:J28">_xlfn.SEQUENCE(ROWS(_xlfn.ANCHORARRAY(K25)))</f>
        <v>1</v>
      </c>
      <c r="K25" s="20" t="str" cm="1">
        <f t="array" ref="K25:K28">_xlfn.LET(_xlpm.z,IF($A$4="All Sections","&lt;&gt;",$A$4),_xlpm.u,_xlfn.UNIQUE(_xlfn._xlws.FILTER(SimpleDashData88[Region],IF($A$4="All Sections",SimpleDashData88[Section]&lt;&gt;"",SimpleDashData88[Section]=$A$4))),_xlfn.SORTBY(_xlpm.u,SUMIFS(SimpleDashData88[Total Patients],SimpleDashData88[Region],_xlpm.u,SimpleDashData88[Section],_xlpm.z),-1))</f>
        <v>South &amp; North Punjab Region</v>
      </c>
      <c r="L25" s="21" cm="1">
        <f t="array" ref="L25:L28">SUMIFS(SimpleDashData88[Total Patients],SimpleDashData88[Region],_xlfn.ANCHORARRAY(K25),SimpleDashData88[Section],IF($A$4="All Sections","&lt;&gt;",$A$4))</f>
        <v>82502</v>
      </c>
      <c r="M25" s="21" cm="1">
        <f t="array" ref="M25:M28">COUNTIFS(SimpleDashData88[Region],_xlfn.ANCHORARRAY(K25),SimpleDashData88[Section],IF($A$4="All Sections","&lt;&gt;",$A$4))</f>
        <v>36</v>
      </c>
      <c r="N25" s="22" cm="1">
        <f t="array" ref="N25:N28">_xlfn.ANCHORARRAY(L25)/_xlfn.ANCHORARRAY(M25)</f>
        <v>2291.7222222222222</v>
      </c>
      <c r="P25" s="19" cm="1">
        <f t="array" ref="P25:P28">_xlfn.SEQUENCE(ROWS(_xlfn.ANCHORARRAY(Q25)))</f>
        <v>1</v>
      </c>
      <c r="Q25" s="20" t="str" cm="1">
        <f t="array" ref="Q25:Q28">_xlfn.LET(_xlpm.z,IF($A$4="All Sections","&lt;&gt;",$A$4),_xlpm.u,_xlfn.UNIQUE(_xlfn._xlws.FILTER(SimpleDashData88[Region],IF($A$4="All Sections",SimpleDashData88[Section]&lt;&gt;"",SimpleDashData88[Section]=$A$4))),_xlfn.SORTBY(_xlpm.u,SUMIFS(SimpleDashData88[Total Expense],SimpleDashData88[Region],_xlpm.u,SimpleDashData88[Section],_xlpm.z),-1))</f>
        <v>South &amp; North Punjab Region</v>
      </c>
      <c r="R25" s="21" cm="1">
        <f t="array" ref="R25:R28">SUMIFS(SimpleDashData88[Total Expense],SimpleDashData88[Region],_xlfn.ANCHORARRAY(Q25),SimpleDashData88[Section],IF($A$4="All Sections","&lt;&gt;",$A$4))</f>
        <v>347190</v>
      </c>
      <c r="S25" s="21" cm="1">
        <f t="array" ref="S25:S28">COUNTIFS(SimpleDashData88[Region],_xlfn.ANCHORARRAY(Q25),SimpleDashData88[Section],IF($A$4="All Sections","&lt;&gt;",$A$4))</f>
        <v>36</v>
      </c>
      <c r="T25" s="23" cm="1">
        <f t="array" ref="T25:T28">IFERROR(_xlfn.ANCHORARRAY(R25)/SUMIFS(SimpleDashData88[Total Patients],SimpleDashData88[Region],_xlfn.ANCHORARRAY(Q25),SimpleDashData88[Section],IF($A$4="All Sections","&lt;&gt;",$A$4)),0)</f>
        <v>4.2082616179001722</v>
      </c>
      <c r="V25" s="19">
        <v>1</v>
      </c>
      <c r="W25" s="20" t="s">
        <v>33</v>
      </c>
      <c r="X25" s="21">
        <v>824500</v>
      </c>
      <c r="BA25">
        <v>24</v>
      </c>
      <c r="BB25" s="12" t="s">
        <v>86</v>
      </c>
      <c r="BC25">
        <v>2010299</v>
      </c>
      <c r="BD25" t="s">
        <v>68</v>
      </c>
      <c r="BE25" t="s">
        <v>34</v>
      </c>
      <c r="BF25" t="s">
        <v>64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300</v>
      </c>
      <c r="BM25">
        <v>0</v>
      </c>
      <c r="BN25">
        <v>0</v>
      </c>
      <c r="BO25">
        <v>500</v>
      </c>
      <c r="BP25">
        <v>0</v>
      </c>
      <c r="BQ25">
        <f>SUM(SimpleDashData88[[#This Row],[Convayance]:[Misc]])</f>
        <v>800</v>
      </c>
      <c r="BR25">
        <v>718</v>
      </c>
      <c r="BS25">
        <v>0</v>
      </c>
      <c r="BT25">
        <v>0</v>
      </c>
      <c r="BU25">
        <f>SUM(SimpleDashData88[[#This Row],[Male]:[Child]])</f>
        <v>718</v>
      </c>
      <c r="BV25">
        <v>718</v>
      </c>
      <c r="BW25">
        <v>1436</v>
      </c>
      <c r="BZ25">
        <f>SimpleDashData88[[#This Row],[Total Expense]]/SimpleDashData88[[#This Row],[Total Patients]]</f>
        <v>1.1142061281337048</v>
      </c>
      <c r="CA25">
        <v>0</v>
      </c>
    </row>
    <row r="26" spans="1:79" ht="27.6" x14ac:dyDescent="0.3">
      <c r="A26">
        <v>15</v>
      </c>
      <c r="B26" t="str">
        <v>QCNM Sheikhupura, District Jail</v>
      </c>
      <c r="C26" t="str">
        <v>Trust Act</v>
      </c>
      <c r="D26" t="str">
        <v>Central Punjab Region</v>
      </c>
      <c r="E26" t="str">
        <v>Prison</v>
      </c>
      <c r="F26" s="2">
        <v>15820</v>
      </c>
      <c r="G26" s="2">
        <v>3419</v>
      </c>
      <c r="H26" s="13">
        <v>4.6270839426732966</v>
      </c>
      <c r="I26" s="13"/>
      <c r="J26" s="19">
        <v>2</v>
      </c>
      <c r="K26" s="20" t="str">
        <v>Central Punjab Region</v>
      </c>
      <c r="L26" s="21">
        <v>58548</v>
      </c>
      <c r="M26" s="21">
        <v>34</v>
      </c>
      <c r="N26" s="22">
        <v>1722</v>
      </c>
      <c r="P26" s="19">
        <v>2</v>
      </c>
      <c r="Q26" s="20" t="str">
        <v>Central Punjab Region</v>
      </c>
      <c r="R26" s="21">
        <v>306133</v>
      </c>
      <c r="S26" s="21">
        <v>34</v>
      </c>
      <c r="T26" s="23">
        <v>5.2287524766003965</v>
      </c>
      <c r="V26" s="19">
        <v>2</v>
      </c>
      <c r="W26" s="20" t="s">
        <v>87</v>
      </c>
      <c r="X26" s="21">
        <v>17905</v>
      </c>
      <c r="BA26">
        <v>25</v>
      </c>
      <c r="BB26" s="12" t="s">
        <v>88</v>
      </c>
      <c r="BC26">
        <v>2010295</v>
      </c>
      <c r="BD26" t="s">
        <v>33</v>
      </c>
      <c r="BE26" t="s">
        <v>34</v>
      </c>
      <c r="BF26" t="s">
        <v>64</v>
      </c>
      <c r="BG26">
        <v>0</v>
      </c>
      <c r="BH26">
        <v>0</v>
      </c>
      <c r="BI26">
        <v>0</v>
      </c>
      <c r="BJ26">
        <v>2500</v>
      </c>
      <c r="BK26">
        <v>0</v>
      </c>
      <c r="BL26">
        <v>725</v>
      </c>
      <c r="BM26">
        <v>0</v>
      </c>
      <c r="BN26">
        <v>340</v>
      </c>
      <c r="BO26">
        <v>510</v>
      </c>
      <c r="BP26">
        <v>1000</v>
      </c>
      <c r="BQ26">
        <f>SUM(SimpleDashData88[[#This Row],[Convayance]:[Misc]])</f>
        <v>5075</v>
      </c>
      <c r="BR26">
        <v>1204</v>
      </c>
      <c r="BS26">
        <v>0</v>
      </c>
      <c r="BT26">
        <v>0</v>
      </c>
      <c r="BU26">
        <f>SUM(SimpleDashData88[[#This Row],[Male]:[Child]])</f>
        <v>1204</v>
      </c>
      <c r="BV26">
        <v>1204</v>
      </c>
      <c r="BW26">
        <v>2408</v>
      </c>
      <c r="BZ26">
        <f>SimpleDashData88[[#This Row],[Total Expense]]/SimpleDashData88[[#This Row],[Total Patients]]</f>
        <v>4.2151162790697674</v>
      </c>
      <c r="CA26">
        <v>0</v>
      </c>
    </row>
    <row r="27" spans="1:79" ht="41.4" x14ac:dyDescent="0.3">
      <c r="A27">
        <v>16</v>
      </c>
      <c r="B27" t="str">
        <v>QCNM Lahore, Kot Lakhpat Jail</v>
      </c>
      <c r="C27" t="str">
        <v>Trust Act</v>
      </c>
      <c r="D27" t="str">
        <v>Central Punjab Region</v>
      </c>
      <c r="E27" t="str">
        <v>Prison</v>
      </c>
      <c r="F27" s="2">
        <v>15515</v>
      </c>
      <c r="G27" s="2">
        <v>2687</v>
      </c>
      <c r="H27" s="13">
        <v>5.7740975065128399</v>
      </c>
      <c r="I27" s="13"/>
      <c r="J27" s="19">
        <v>3</v>
      </c>
      <c r="K27" s="20" t="str">
        <v>Capital Region</v>
      </c>
      <c r="L27" s="21">
        <v>56376</v>
      </c>
      <c r="M27" s="21">
        <v>34</v>
      </c>
      <c r="N27" s="22">
        <v>1658.1176470588234</v>
      </c>
      <c r="P27" s="19">
        <v>3</v>
      </c>
      <c r="Q27" s="20" t="str">
        <v>Sindh, Balochistan &amp; AJK Region</v>
      </c>
      <c r="R27" s="21">
        <v>223010</v>
      </c>
      <c r="S27" s="21">
        <v>32</v>
      </c>
      <c r="T27" s="23">
        <v>5.7542058003921976</v>
      </c>
      <c r="V27" s="19">
        <v>3</v>
      </c>
      <c r="W27" s="20" t="s">
        <v>89</v>
      </c>
      <c r="X27" s="21">
        <v>8900</v>
      </c>
      <c r="BA27">
        <v>26</v>
      </c>
      <c r="BB27" s="12" t="s">
        <v>90</v>
      </c>
      <c r="BC27">
        <v>2010294</v>
      </c>
      <c r="BD27" t="s">
        <v>33</v>
      </c>
      <c r="BE27" t="s">
        <v>34</v>
      </c>
      <c r="BF27" t="s">
        <v>64</v>
      </c>
      <c r="BG27">
        <v>2000</v>
      </c>
      <c r="BH27">
        <v>500</v>
      </c>
      <c r="BI27">
        <v>0</v>
      </c>
      <c r="BJ27">
        <v>1450</v>
      </c>
      <c r="BK27">
        <v>0</v>
      </c>
      <c r="BL27">
        <v>570</v>
      </c>
      <c r="BM27">
        <v>0</v>
      </c>
      <c r="BN27">
        <v>0</v>
      </c>
      <c r="BO27">
        <v>0</v>
      </c>
      <c r="BP27">
        <v>0</v>
      </c>
      <c r="BQ27">
        <f>SUM(SimpleDashData88[[#This Row],[Convayance]:[Misc]])</f>
        <v>4520</v>
      </c>
      <c r="BR27">
        <v>1801</v>
      </c>
      <c r="BS27">
        <v>196</v>
      </c>
      <c r="BT27">
        <v>40</v>
      </c>
      <c r="BU27">
        <f>SUM(SimpleDashData88[[#This Row],[Male]:[Child]])</f>
        <v>2037</v>
      </c>
      <c r="BV27">
        <v>2037</v>
      </c>
      <c r="BW27">
        <v>4074</v>
      </c>
      <c r="BZ27">
        <f>SimpleDashData88[[#This Row],[Total Expense]]/SimpleDashData88[[#This Row],[Total Patients]]</f>
        <v>2.2189494354442809</v>
      </c>
      <c r="CA27">
        <v>0</v>
      </c>
    </row>
    <row r="28" spans="1:79" ht="27.6" x14ac:dyDescent="0.3">
      <c r="A28">
        <v>17</v>
      </c>
      <c r="B28" t="str">
        <v>QCNM Lahore, District (Camp) Jail</v>
      </c>
      <c r="C28" t="str">
        <v>Trust Act</v>
      </c>
      <c r="D28" t="str">
        <v>Central Punjab Region</v>
      </c>
      <c r="E28" t="str">
        <v>Prison</v>
      </c>
      <c r="F28" s="2">
        <v>15345</v>
      </c>
      <c r="G28" s="2">
        <v>3417</v>
      </c>
      <c r="H28" s="13">
        <v>4.4907813871817384</v>
      </c>
      <c r="I28" s="13"/>
      <c r="J28" s="19">
        <v>4</v>
      </c>
      <c r="K28" s="20" t="str">
        <v>Sindh, Balochistan &amp; AJK Region</v>
      </c>
      <c r="L28" s="21">
        <v>38756</v>
      </c>
      <c r="M28" s="21">
        <v>32</v>
      </c>
      <c r="N28" s="22">
        <v>1211.125</v>
      </c>
      <c r="P28" s="19">
        <v>4</v>
      </c>
      <c r="Q28" s="20" t="str">
        <v>Capital Region</v>
      </c>
      <c r="R28" s="21">
        <v>154676</v>
      </c>
      <c r="S28" s="21">
        <v>34</v>
      </c>
      <c r="T28" s="23">
        <v>2.7436497800482473</v>
      </c>
      <c r="V28" s="19"/>
      <c r="W28" s="24" t="s">
        <v>40</v>
      </c>
      <c r="X28" s="25">
        <f>SUM(X25:X27)</f>
        <v>851305</v>
      </c>
      <c r="BA28">
        <v>27</v>
      </c>
      <c r="BB28" s="12" t="s">
        <v>91</v>
      </c>
      <c r="BC28">
        <v>2010409</v>
      </c>
      <c r="BD28" t="s">
        <v>33</v>
      </c>
      <c r="BE28" t="s">
        <v>34</v>
      </c>
      <c r="BF28" t="s">
        <v>64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f>SUM(SimpleDashData88[[#This Row],[Convayance]:[Misc]])</f>
        <v>0</v>
      </c>
      <c r="BR28">
        <v>1623</v>
      </c>
      <c r="BS28">
        <v>0</v>
      </c>
      <c r="BT28">
        <v>0</v>
      </c>
      <c r="BU28">
        <f>SUM(SimpleDashData88[[#This Row],[Male]:[Child]])</f>
        <v>1623</v>
      </c>
      <c r="BV28">
        <v>1623</v>
      </c>
      <c r="BW28">
        <v>3246</v>
      </c>
      <c r="BZ28">
        <f>SimpleDashData88[[#This Row],[Total Expense]]/SimpleDashData88[[#This Row],[Total Patients]]</f>
        <v>0</v>
      </c>
      <c r="CA28">
        <v>0</v>
      </c>
    </row>
    <row r="29" spans="1:79" x14ac:dyDescent="0.3">
      <c r="A29">
        <v>18</v>
      </c>
      <c r="B29" t="str">
        <v>QCNM Gujranwala, Central Jail</v>
      </c>
      <c r="C29" t="str">
        <v>Trust Act</v>
      </c>
      <c r="D29" t="str">
        <v>Central Punjab Region</v>
      </c>
      <c r="E29" t="str">
        <v>Prison</v>
      </c>
      <c r="F29" s="2">
        <v>15300</v>
      </c>
      <c r="G29" s="2">
        <v>4967</v>
      </c>
      <c r="H29" s="13">
        <v>3.0803301791826052</v>
      </c>
      <c r="I29" s="13"/>
      <c r="L29" s="26">
        <f>SUM(_xlfn.ANCHORARRAY(L25))</f>
        <v>236182</v>
      </c>
      <c r="M29" s="2">
        <f>SUM(_xlfn.ANCHORARRAY(M25))</f>
        <v>136</v>
      </c>
      <c r="N29" s="2">
        <f>SUM(_xlfn.ANCHORARRAY(N25))</f>
        <v>6882.964869281046</v>
      </c>
      <c r="R29" s="26">
        <f>SUM(_xlfn.ANCHORARRAY(R25))</f>
        <v>1031009</v>
      </c>
      <c r="S29" s="2">
        <f>SUM(_xlfn.ANCHORARRAY(S25))</f>
        <v>136</v>
      </c>
      <c r="T29" s="2"/>
      <c r="BA29">
        <v>28</v>
      </c>
      <c r="BB29" s="12" t="s">
        <v>92</v>
      </c>
      <c r="BC29">
        <v>2010405</v>
      </c>
      <c r="BD29" t="s">
        <v>33</v>
      </c>
      <c r="BE29" t="s">
        <v>34</v>
      </c>
      <c r="BF29" t="s">
        <v>64</v>
      </c>
      <c r="BG29">
        <v>0</v>
      </c>
      <c r="BH29">
        <v>500</v>
      </c>
      <c r="BI29">
        <v>1150</v>
      </c>
      <c r="BJ29">
        <v>8400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f>SUM(SimpleDashData88[[#This Row],[Convayance]:[Misc]])</f>
        <v>10050</v>
      </c>
      <c r="BR29">
        <v>3023</v>
      </c>
      <c r="BS29">
        <v>0</v>
      </c>
      <c r="BT29">
        <v>0</v>
      </c>
      <c r="BU29">
        <f>SUM(SimpleDashData88[[#This Row],[Male]:[Child]])</f>
        <v>3023</v>
      </c>
      <c r="BV29">
        <v>3023</v>
      </c>
      <c r="BW29">
        <v>6046</v>
      </c>
      <c r="BZ29">
        <f>SimpleDashData88[[#This Row],[Total Expense]]/SimpleDashData88[[#This Row],[Total Patients]]</f>
        <v>3.3245120740985774</v>
      </c>
      <c r="CA29">
        <v>0</v>
      </c>
    </row>
    <row r="30" spans="1:79" x14ac:dyDescent="0.3">
      <c r="A30">
        <v>19</v>
      </c>
      <c r="B30" t="str">
        <v>QCNM Sialkot, District Jail</v>
      </c>
      <c r="C30" t="str">
        <v>Trust Act</v>
      </c>
      <c r="D30" t="str">
        <v>Central Punjab Region</v>
      </c>
      <c r="E30" t="str">
        <v>Prison</v>
      </c>
      <c r="F30" s="2">
        <v>14840</v>
      </c>
      <c r="G30" s="2">
        <v>4871</v>
      </c>
      <c r="H30" s="13">
        <v>3.0466023403818516</v>
      </c>
      <c r="I30" s="13"/>
      <c r="BA30">
        <v>29</v>
      </c>
      <c r="BB30" s="12" t="s">
        <v>93</v>
      </c>
      <c r="BC30">
        <v>2010403</v>
      </c>
      <c r="BD30" t="s">
        <v>33</v>
      </c>
      <c r="BE30" t="s">
        <v>34</v>
      </c>
      <c r="BF30" t="s">
        <v>64</v>
      </c>
      <c r="BG30">
        <v>0</v>
      </c>
      <c r="BH30">
        <v>500</v>
      </c>
      <c r="BI30">
        <v>0</v>
      </c>
      <c r="BJ30">
        <v>5600</v>
      </c>
      <c r="BK30">
        <v>0</v>
      </c>
      <c r="BL30">
        <v>375</v>
      </c>
      <c r="BM30">
        <v>0</v>
      </c>
      <c r="BN30">
        <v>0</v>
      </c>
      <c r="BO30">
        <v>0</v>
      </c>
      <c r="BP30">
        <v>0</v>
      </c>
      <c r="BQ30">
        <f>SUM(SimpleDashData88[[#This Row],[Convayance]:[Misc]])</f>
        <v>6475</v>
      </c>
      <c r="BR30">
        <v>1519</v>
      </c>
      <c r="BS30">
        <v>172</v>
      </c>
      <c r="BT30">
        <v>66</v>
      </c>
      <c r="BU30">
        <f>SUM(SimpleDashData88[[#This Row],[Male]:[Child]])</f>
        <v>1757</v>
      </c>
      <c r="BV30">
        <v>1757</v>
      </c>
      <c r="BW30">
        <v>3839</v>
      </c>
      <c r="BZ30">
        <f>SimpleDashData88[[#This Row],[Total Expense]]/SimpleDashData88[[#This Row],[Total Patients]]</f>
        <v>3.6852589641434261</v>
      </c>
      <c r="CA30">
        <v>0</v>
      </c>
    </row>
    <row r="31" spans="1:79" x14ac:dyDescent="0.3">
      <c r="A31">
        <v>20</v>
      </c>
      <c r="B31" t="str">
        <v>QCNM Muzaffargarh, District Jail</v>
      </c>
      <c r="C31" t="str">
        <v>Trust Act</v>
      </c>
      <c r="D31" t="str">
        <v>South &amp; North Punjab Region</v>
      </c>
      <c r="E31" t="str">
        <v>Prison</v>
      </c>
      <c r="F31" s="2">
        <v>14205</v>
      </c>
      <c r="G31" s="2">
        <v>2375</v>
      </c>
      <c r="H31" s="13">
        <v>5.9810526315789474</v>
      </c>
      <c r="I31" s="13"/>
      <c r="BA31">
        <v>30</v>
      </c>
      <c r="BB31" s="12" t="s">
        <v>94</v>
      </c>
      <c r="BC31">
        <v>2010404</v>
      </c>
      <c r="BD31" t="s">
        <v>33</v>
      </c>
      <c r="BE31" t="s">
        <v>34</v>
      </c>
      <c r="BF31" t="s">
        <v>64</v>
      </c>
      <c r="BG31">
        <v>0</v>
      </c>
      <c r="BH31">
        <v>500</v>
      </c>
      <c r="BI31">
        <v>0</v>
      </c>
      <c r="BJ31">
        <v>0</v>
      </c>
      <c r="BK31">
        <v>560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f>SUM(SimpleDashData88[[#This Row],[Convayance]:[Misc]])</f>
        <v>1060</v>
      </c>
      <c r="BR31">
        <v>1368</v>
      </c>
      <c r="BS31">
        <v>0</v>
      </c>
      <c r="BT31">
        <v>0</v>
      </c>
      <c r="BU31">
        <f>SUM(SimpleDashData88[[#This Row],[Male]:[Child]])</f>
        <v>1368</v>
      </c>
      <c r="BV31">
        <v>1368</v>
      </c>
      <c r="BW31">
        <v>2736</v>
      </c>
      <c r="BZ31">
        <f>SimpleDashData88[[#This Row],[Total Expense]]/SimpleDashData88[[#This Row],[Total Patients]]</f>
        <v>0.77485380116959068</v>
      </c>
      <c r="CA31">
        <v>0</v>
      </c>
    </row>
    <row r="32" spans="1:79" x14ac:dyDescent="0.3">
      <c r="A32">
        <v>21</v>
      </c>
      <c r="B32" t="str">
        <v>QCNM Lahore, Chauburji</v>
      </c>
      <c r="C32" t="str">
        <v>Trust Act</v>
      </c>
      <c r="D32" t="str">
        <v>Central Punjab Region</v>
      </c>
      <c r="E32" t="str">
        <v>Public</v>
      </c>
      <c r="F32" s="2">
        <v>13984</v>
      </c>
      <c r="G32" s="2">
        <v>1850</v>
      </c>
      <c r="H32" s="13">
        <v>7.558918918918919</v>
      </c>
      <c r="I32" s="13"/>
      <c r="BA32">
        <v>31</v>
      </c>
      <c r="BB32" s="12" t="s">
        <v>95</v>
      </c>
      <c r="BC32">
        <v>2010406</v>
      </c>
      <c r="BD32" t="s">
        <v>33</v>
      </c>
      <c r="BE32" t="s">
        <v>34</v>
      </c>
      <c r="BF32" t="s">
        <v>64</v>
      </c>
      <c r="BG32">
        <v>0</v>
      </c>
      <c r="BH32">
        <v>0</v>
      </c>
      <c r="BI32">
        <v>0</v>
      </c>
      <c r="BJ32">
        <v>0</v>
      </c>
      <c r="BK32">
        <v>610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f>SUM(SimpleDashData88[[#This Row],[Convayance]:[Misc]])</f>
        <v>610</v>
      </c>
      <c r="BR32">
        <v>1148</v>
      </c>
      <c r="BS32">
        <v>0</v>
      </c>
      <c r="BT32">
        <v>0</v>
      </c>
      <c r="BU32">
        <f>SUM(SimpleDashData88[[#This Row],[Male]:[Child]])</f>
        <v>1148</v>
      </c>
      <c r="BV32">
        <v>1148</v>
      </c>
      <c r="BW32">
        <v>2296</v>
      </c>
      <c r="BZ32">
        <f>SimpleDashData88[[#This Row],[Total Expense]]/SimpleDashData88[[#This Row],[Total Patients]]</f>
        <v>0.53135888501742157</v>
      </c>
      <c r="CA32">
        <v>0</v>
      </c>
    </row>
    <row r="33" spans="1:79" x14ac:dyDescent="0.3">
      <c r="A33">
        <v>22</v>
      </c>
      <c r="B33" t="str">
        <v>QCNM FUUAST Islamabad</v>
      </c>
      <c r="C33" t="str">
        <v>Trust Act</v>
      </c>
      <c r="D33" t="str">
        <v>Capital Region</v>
      </c>
      <c r="E33" t="str">
        <v>Public</v>
      </c>
      <c r="F33" s="2">
        <v>13870</v>
      </c>
      <c r="G33" s="2">
        <v>1301</v>
      </c>
      <c r="H33" s="13">
        <v>10.661029976940815</v>
      </c>
      <c r="I33" s="13"/>
      <c r="BA33">
        <v>32</v>
      </c>
      <c r="BB33" s="12" t="s">
        <v>96</v>
      </c>
      <c r="BC33">
        <v>2010407</v>
      </c>
      <c r="BD33" t="s">
        <v>33</v>
      </c>
      <c r="BE33" t="s">
        <v>34</v>
      </c>
      <c r="BF33" t="s">
        <v>64</v>
      </c>
      <c r="BG33">
        <v>0</v>
      </c>
      <c r="BH33">
        <v>0</v>
      </c>
      <c r="BI33">
        <v>0</v>
      </c>
      <c r="BJ33">
        <v>4500</v>
      </c>
      <c r="BK33">
        <v>520</v>
      </c>
      <c r="BL33">
        <v>0</v>
      </c>
      <c r="BM33">
        <v>0</v>
      </c>
      <c r="BN33">
        <v>0</v>
      </c>
      <c r="BO33">
        <v>500</v>
      </c>
      <c r="BP33">
        <v>0</v>
      </c>
      <c r="BQ33">
        <f>SUM(SimpleDashData88[[#This Row],[Convayance]:[Misc]])</f>
        <v>5520</v>
      </c>
      <c r="BR33">
        <v>1340</v>
      </c>
      <c r="BS33">
        <v>65</v>
      </c>
      <c r="BT33">
        <v>75</v>
      </c>
      <c r="BU33">
        <f>SUM(SimpleDashData88[[#This Row],[Male]:[Child]])</f>
        <v>1480</v>
      </c>
      <c r="BV33">
        <v>1480</v>
      </c>
      <c r="BW33">
        <v>2970</v>
      </c>
      <c r="BZ33">
        <f>SimpleDashData88[[#This Row],[Total Expense]]/SimpleDashData88[[#This Row],[Total Patients]]</f>
        <v>3.7297297297297298</v>
      </c>
      <c r="CA33">
        <v>0</v>
      </c>
    </row>
    <row r="34" spans="1:79" x14ac:dyDescent="0.3">
      <c r="A34">
        <v>23</v>
      </c>
      <c r="B34" t="str">
        <v>QCNM Hafizabad, Dist Jail</v>
      </c>
      <c r="C34" t="str">
        <v>Trust Act</v>
      </c>
      <c r="D34" t="str">
        <v>South &amp; North Punjab Region</v>
      </c>
      <c r="E34" t="str">
        <v>Prison</v>
      </c>
      <c r="F34" s="2">
        <v>13850</v>
      </c>
      <c r="G34" s="2">
        <v>3346</v>
      </c>
      <c r="H34" s="13">
        <v>4.1392707710699339</v>
      </c>
      <c r="I34" s="13"/>
      <c r="BA34">
        <v>33</v>
      </c>
      <c r="BB34" s="12" t="s">
        <v>97</v>
      </c>
      <c r="BC34">
        <v>2010408</v>
      </c>
      <c r="BD34" t="s">
        <v>33</v>
      </c>
      <c r="BE34" t="s">
        <v>34</v>
      </c>
      <c r="BF34" t="s">
        <v>64</v>
      </c>
      <c r="BG34">
        <v>500</v>
      </c>
      <c r="BH34">
        <v>600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126</v>
      </c>
      <c r="BO34">
        <v>0</v>
      </c>
      <c r="BP34">
        <v>0</v>
      </c>
      <c r="BQ34">
        <f>SUM(SimpleDashData88[[#This Row],[Convayance]:[Misc]])</f>
        <v>1226</v>
      </c>
      <c r="BR34">
        <v>1846</v>
      </c>
      <c r="BS34">
        <v>0</v>
      </c>
      <c r="BT34">
        <v>0</v>
      </c>
      <c r="BU34">
        <f>SUM(SimpleDashData88[[#This Row],[Male]:[Child]])</f>
        <v>1846</v>
      </c>
      <c r="BV34">
        <v>1846</v>
      </c>
      <c r="BW34">
        <v>3692</v>
      </c>
      <c r="BZ34">
        <f>SimpleDashData88[[#This Row],[Total Expense]]/SimpleDashData88[[#This Row],[Total Patients]]</f>
        <v>0.66413867822318529</v>
      </c>
      <c r="CA34">
        <v>0</v>
      </c>
    </row>
    <row r="35" spans="1:79" x14ac:dyDescent="0.3">
      <c r="A35">
        <v>24</v>
      </c>
      <c r="B35" t="str">
        <v>QCNM Gujrat, District Jail</v>
      </c>
      <c r="C35" t="str">
        <v>Trust Act</v>
      </c>
      <c r="D35" t="str">
        <v>Central Punjab Region</v>
      </c>
      <c r="E35" t="str">
        <v>Prison</v>
      </c>
      <c r="F35" s="2">
        <v>13282</v>
      </c>
      <c r="G35" s="2">
        <v>2521</v>
      </c>
      <c r="H35" s="13">
        <v>5.2685442284807618</v>
      </c>
      <c r="I35" s="13"/>
      <c r="BA35">
        <v>34</v>
      </c>
      <c r="BB35" s="12" t="s">
        <v>98</v>
      </c>
      <c r="BD35" t="s">
        <v>33</v>
      </c>
      <c r="BE35" t="s">
        <v>34</v>
      </c>
      <c r="BF35" t="s">
        <v>64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f>SUM(SimpleDashData88[[#This Row],[Convayance]:[Misc]])</f>
        <v>0</v>
      </c>
      <c r="BR35">
        <v>574</v>
      </c>
      <c r="BS35">
        <v>0</v>
      </c>
      <c r="BT35">
        <v>0</v>
      </c>
      <c r="BU35">
        <f>SUM(SimpleDashData88[[#This Row],[Male]:[Child]])</f>
        <v>574</v>
      </c>
      <c r="BV35">
        <v>574</v>
      </c>
      <c r="BW35">
        <v>1148</v>
      </c>
      <c r="BZ35">
        <f>SimpleDashData88[[#This Row],[Total Expense]]/SimpleDashData88[[#This Row],[Total Patients]]</f>
        <v>0</v>
      </c>
      <c r="CA35">
        <v>0</v>
      </c>
    </row>
    <row r="36" spans="1:79" x14ac:dyDescent="0.3">
      <c r="A36">
        <v>25</v>
      </c>
      <c r="B36" t="str">
        <v>QCNM, Fedral Urdu University</v>
      </c>
      <c r="C36" t="str">
        <v>Trust Act</v>
      </c>
      <c r="D36" t="str">
        <v>Sindh, Balochistan &amp; AJK Region</v>
      </c>
      <c r="E36" t="str">
        <v>Public</v>
      </c>
      <c r="F36" s="2">
        <v>12962</v>
      </c>
      <c r="G36" s="2">
        <v>1485</v>
      </c>
      <c r="H36" s="13">
        <v>8.7286195286195287</v>
      </c>
      <c r="I36" s="13"/>
      <c r="BA36">
        <v>35</v>
      </c>
      <c r="BB36" s="27" t="s">
        <v>99</v>
      </c>
      <c r="BC36">
        <v>2010252</v>
      </c>
      <c r="BD36" t="s">
        <v>33</v>
      </c>
      <c r="BE36" t="s">
        <v>100</v>
      </c>
      <c r="BF36" t="s">
        <v>35</v>
      </c>
      <c r="BG36">
        <v>13566</v>
      </c>
      <c r="BH36">
        <v>1000</v>
      </c>
      <c r="BI36">
        <v>0</v>
      </c>
      <c r="BJ36">
        <v>9290</v>
      </c>
      <c r="BK36">
        <v>0</v>
      </c>
      <c r="BL36">
        <v>600</v>
      </c>
      <c r="BM36">
        <v>0</v>
      </c>
      <c r="BN36">
        <v>0</v>
      </c>
      <c r="BO36">
        <v>0</v>
      </c>
      <c r="BP36">
        <v>3890</v>
      </c>
      <c r="BQ36">
        <f>SUM(SimpleDashData88[[#This Row],[Convayance]:[Misc]])</f>
        <v>28346</v>
      </c>
      <c r="BR36">
        <v>558</v>
      </c>
      <c r="BS36">
        <v>810</v>
      </c>
      <c r="BT36">
        <v>441</v>
      </c>
      <c r="BU36">
        <f>SUM(SimpleDashData88[[#This Row],[Male]:[Child]])</f>
        <v>1809</v>
      </c>
      <c r="BV36">
        <v>1809</v>
      </c>
      <c r="BW36">
        <v>9045</v>
      </c>
      <c r="BZ36">
        <f>SimpleDashData88[[#This Row],[Total Expense]]/SimpleDashData88[[#This Row],[Total Patients]]</f>
        <v>15.669430624654506</v>
      </c>
      <c r="CA36">
        <v>0</v>
      </c>
    </row>
    <row r="37" spans="1:79" x14ac:dyDescent="0.3">
      <c r="A37">
        <v>26</v>
      </c>
      <c r="B37" t="str">
        <v>QCNM Bannu, USTB University</v>
      </c>
      <c r="C37" t="str">
        <v>Trust Act</v>
      </c>
      <c r="D37" t="str">
        <v>Capital Region</v>
      </c>
      <c r="E37" t="str">
        <v>Public</v>
      </c>
      <c r="F37" s="2">
        <v>12800</v>
      </c>
      <c r="G37" s="2">
        <v>2258</v>
      </c>
      <c r="H37" s="13">
        <v>5.6687333923826397</v>
      </c>
      <c r="I37" s="13"/>
      <c r="BA37">
        <v>36</v>
      </c>
      <c r="BB37" s="27" t="s">
        <v>101</v>
      </c>
      <c r="BC37">
        <v>2010202</v>
      </c>
      <c r="BD37" t="s">
        <v>33</v>
      </c>
      <c r="BE37" t="s">
        <v>100</v>
      </c>
      <c r="BF37" t="s">
        <v>35</v>
      </c>
      <c r="BG37">
        <v>0</v>
      </c>
      <c r="BH37">
        <v>2350</v>
      </c>
      <c r="BI37">
        <v>1245</v>
      </c>
      <c r="BJ37">
        <v>1000</v>
      </c>
      <c r="BK37">
        <v>0</v>
      </c>
      <c r="BL37">
        <v>740</v>
      </c>
      <c r="BM37">
        <v>1600</v>
      </c>
      <c r="BN37">
        <v>1320</v>
      </c>
      <c r="BO37">
        <v>0</v>
      </c>
      <c r="BP37">
        <v>5729</v>
      </c>
      <c r="BQ37">
        <f>SUM(SimpleDashData88[[#This Row],[Convayance]:[Misc]])</f>
        <v>13984</v>
      </c>
      <c r="BR37">
        <v>1098</v>
      </c>
      <c r="BS37">
        <v>523</v>
      </c>
      <c r="BT37">
        <v>229</v>
      </c>
      <c r="BU37">
        <f>SUM(SimpleDashData88[[#This Row],[Male]:[Child]])</f>
        <v>1850</v>
      </c>
      <c r="BV37">
        <v>1850</v>
      </c>
      <c r="BW37">
        <v>9250</v>
      </c>
      <c r="BZ37">
        <f>SimpleDashData88[[#This Row],[Total Expense]]/SimpleDashData88[[#This Row],[Total Patients]]</f>
        <v>7.558918918918919</v>
      </c>
      <c r="CA37">
        <v>0</v>
      </c>
    </row>
    <row r="38" spans="1:79" x14ac:dyDescent="0.3">
      <c r="A38">
        <v>27</v>
      </c>
      <c r="B38" t="str">
        <v>QCNM Bahawalnagar, Zainab Rafique</v>
      </c>
      <c r="C38" t="str">
        <v>Trust Act</v>
      </c>
      <c r="D38" t="str">
        <v>South &amp; North Punjab Region</v>
      </c>
      <c r="E38" t="str">
        <v>Public</v>
      </c>
      <c r="F38" s="2">
        <v>12784</v>
      </c>
      <c r="G38" s="2">
        <v>2747</v>
      </c>
      <c r="H38" s="13">
        <v>4.6538041499817986</v>
      </c>
      <c r="I38" s="13"/>
      <c r="BA38">
        <v>37</v>
      </c>
      <c r="BB38" s="27" t="s">
        <v>102</v>
      </c>
      <c r="BC38">
        <v>2010203</v>
      </c>
      <c r="BD38" t="s">
        <v>33</v>
      </c>
      <c r="BE38" t="s">
        <v>100</v>
      </c>
      <c r="BF38" t="s">
        <v>35</v>
      </c>
      <c r="BG38">
        <v>500</v>
      </c>
      <c r="BH38">
        <v>0</v>
      </c>
      <c r="BI38">
        <v>0</v>
      </c>
      <c r="BJ38">
        <v>18600</v>
      </c>
      <c r="BK38">
        <v>0</v>
      </c>
      <c r="BL38">
        <v>50</v>
      </c>
      <c r="BM38">
        <v>1100</v>
      </c>
      <c r="BN38">
        <v>0</v>
      </c>
      <c r="BO38">
        <v>0</v>
      </c>
      <c r="BP38">
        <v>900</v>
      </c>
      <c r="BQ38">
        <f>SUM(SimpleDashData88[[#This Row],[Convayance]:[Misc]])</f>
        <v>21150</v>
      </c>
      <c r="BR38">
        <v>954</v>
      </c>
      <c r="BS38">
        <v>857</v>
      </c>
      <c r="BT38">
        <v>178</v>
      </c>
      <c r="BU38">
        <f>SUM(SimpleDashData88[[#This Row],[Male]:[Child]])</f>
        <v>1989</v>
      </c>
      <c r="BV38">
        <v>1989</v>
      </c>
      <c r="BW38">
        <v>9945</v>
      </c>
      <c r="BZ38">
        <f>SimpleDashData88[[#This Row],[Total Expense]]/SimpleDashData88[[#This Row],[Total Patients]]</f>
        <v>10.633484162895927</v>
      </c>
      <c r="CA38">
        <v>0</v>
      </c>
    </row>
    <row r="39" spans="1:79" x14ac:dyDescent="0.3">
      <c r="A39">
        <v>28</v>
      </c>
      <c r="B39" t="str">
        <v>QCNM Muridke, Disp</v>
      </c>
      <c r="C39" t="str">
        <v>Trust Act</v>
      </c>
      <c r="D39" t="str">
        <v>Central Punjab Region</v>
      </c>
      <c r="E39" t="str">
        <v>Public</v>
      </c>
      <c r="F39" s="2">
        <v>12380</v>
      </c>
      <c r="G39" s="2">
        <v>1974</v>
      </c>
      <c r="H39" s="13">
        <v>6.2715298885511652</v>
      </c>
      <c r="I39" s="13"/>
      <c r="BA39">
        <v>38</v>
      </c>
      <c r="BB39" s="27" t="s">
        <v>103</v>
      </c>
      <c r="BC39">
        <v>2010244</v>
      </c>
      <c r="BD39" t="s">
        <v>33</v>
      </c>
      <c r="BE39" t="s">
        <v>100</v>
      </c>
      <c r="BF39" t="s">
        <v>35</v>
      </c>
      <c r="BG39">
        <v>3129</v>
      </c>
      <c r="BH39">
        <v>1000</v>
      </c>
      <c r="BI39">
        <v>0</v>
      </c>
      <c r="BJ39">
        <v>7615</v>
      </c>
      <c r="BK39">
        <v>0</v>
      </c>
      <c r="BL39">
        <v>240</v>
      </c>
      <c r="BM39">
        <v>0</v>
      </c>
      <c r="BN39">
        <v>110</v>
      </c>
      <c r="BO39">
        <v>3165</v>
      </c>
      <c r="BP39">
        <v>940</v>
      </c>
      <c r="BQ39">
        <f>SUM(SimpleDashData88[[#This Row],[Convayance]:[Misc]])</f>
        <v>16199</v>
      </c>
      <c r="BR39">
        <v>542</v>
      </c>
      <c r="BS39">
        <v>603</v>
      </c>
      <c r="BT39">
        <v>228</v>
      </c>
      <c r="BU39">
        <f>SUM(SimpleDashData88[[#This Row],[Male]:[Child]])</f>
        <v>1373</v>
      </c>
      <c r="BV39">
        <v>1373</v>
      </c>
      <c r="BW39">
        <v>6865</v>
      </c>
      <c r="BZ39">
        <f>SimpleDashData88[[#This Row],[Total Expense]]/SimpleDashData88[[#This Row],[Total Patients]]</f>
        <v>11.798252002913328</v>
      </c>
      <c r="CA39">
        <v>0</v>
      </c>
    </row>
    <row r="40" spans="1:79" x14ac:dyDescent="0.3">
      <c r="A40">
        <v>29</v>
      </c>
      <c r="B40" t="str">
        <v>QCNM Rajanpur, Distrit jail</v>
      </c>
      <c r="C40" t="str">
        <v>Trust Act</v>
      </c>
      <c r="D40" t="str">
        <v>South &amp; North Punjab Region</v>
      </c>
      <c r="E40" t="str">
        <v>Prison</v>
      </c>
      <c r="F40" s="2">
        <v>12140</v>
      </c>
      <c r="G40" s="2">
        <v>1816</v>
      </c>
      <c r="H40" s="13">
        <v>6.6850220264317182</v>
      </c>
      <c r="I40" s="13"/>
      <c r="BA40">
        <v>39</v>
      </c>
      <c r="BB40" s="27" t="s">
        <v>104</v>
      </c>
      <c r="BC40">
        <v>2010269</v>
      </c>
      <c r="BD40" t="s">
        <v>33</v>
      </c>
      <c r="BE40" t="s">
        <v>100</v>
      </c>
      <c r="BF40" t="s">
        <v>35</v>
      </c>
      <c r="BG40">
        <v>4300</v>
      </c>
      <c r="BH40">
        <v>1000</v>
      </c>
      <c r="BI40">
        <v>0</v>
      </c>
      <c r="BJ40">
        <v>3300</v>
      </c>
      <c r="BK40">
        <v>0</v>
      </c>
      <c r="BL40">
        <v>0</v>
      </c>
      <c r="BM40">
        <v>0</v>
      </c>
      <c r="BN40">
        <v>500</v>
      </c>
      <c r="BO40">
        <v>1210</v>
      </c>
      <c r="BP40">
        <v>5750</v>
      </c>
      <c r="BQ40">
        <f>SUM(SimpleDashData88[[#This Row],[Convayance]:[Misc]])</f>
        <v>16060</v>
      </c>
      <c r="BR40">
        <v>446</v>
      </c>
      <c r="BS40">
        <v>370</v>
      </c>
      <c r="BT40">
        <v>371</v>
      </c>
      <c r="BU40">
        <f>SUM(SimpleDashData88[[#This Row],[Male]:[Child]])</f>
        <v>1187</v>
      </c>
      <c r="BV40">
        <v>1187</v>
      </c>
      <c r="BW40">
        <v>5935</v>
      </c>
      <c r="BZ40">
        <f>SimpleDashData88[[#This Row],[Total Expense]]/SimpleDashData88[[#This Row],[Total Patients]]</f>
        <v>13.529907329401853</v>
      </c>
      <c r="CA40">
        <v>0</v>
      </c>
    </row>
    <row r="41" spans="1:79" x14ac:dyDescent="0.3">
      <c r="A41">
        <v>30</v>
      </c>
      <c r="B41" t="str">
        <v>QCNM Narowal, Disst Jail</v>
      </c>
      <c r="C41" t="str">
        <v>Trust Act</v>
      </c>
      <c r="D41" t="str">
        <v>Central Punjab Region</v>
      </c>
      <c r="E41" t="str">
        <v>Prison</v>
      </c>
      <c r="F41" s="2">
        <v>12110</v>
      </c>
      <c r="G41" s="2">
        <v>2020</v>
      </c>
      <c r="H41" s="13">
        <v>5.9950495049504955</v>
      </c>
      <c r="I41" s="13"/>
      <c r="BA41">
        <v>40</v>
      </c>
      <c r="BB41" s="27" t="s">
        <v>105</v>
      </c>
      <c r="BC41">
        <v>2010263</v>
      </c>
      <c r="BD41" t="s">
        <v>33</v>
      </c>
      <c r="BE41" t="s">
        <v>100</v>
      </c>
      <c r="BF41" t="s">
        <v>35</v>
      </c>
      <c r="BG41">
        <v>950</v>
      </c>
      <c r="BH41">
        <v>1000</v>
      </c>
      <c r="BI41">
        <v>1000</v>
      </c>
      <c r="BJ41">
        <v>2700</v>
      </c>
      <c r="BK41">
        <v>0</v>
      </c>
      <c r="BL41">
        <v>600</v>
      </c>
      <c r="BM41">
        <v>0</v>
      </c>
      <c r="BN41">
        <v>1010</v>
      </c>
      <c r="BO41">
        <v>0</v>
      </c>
      <c r="BP41">
        <v>0</v>
      </c>
      <c r="BQ41">
        <f>SUM(SimpleDashData88[[#This Row],[Convayance]:[Misc]])</f>
        <v>7260</v>
      </c>
      <c r="BR41">
        <v>161</v>
      </c>
      <c r="BS41">
        <v>146</v>
      </c>
      <c r="BT41">
        <v>37</v>
      </c>
      <c r="BU41">
        <f>SUM(SimpleDashData88[[#This Row],[Male]:[Child]])</f>
        <v>344</v>
      </c>
      <c r="BV41">
        <v>344</v>
      </c>
      <c r="BW41">
        <v>1720</v>
      </c>
      <c r="BZ41">
        <f>SimpleDashData88[[#This Row],[Total Expense]]/SimpleDashData88[[#This Row],[Total Patients]]</f>
        <v>21.104651162790699</v>
      </c>
      <c r="CA41">
        <v>0</v>
      </c>
    </row>
    <row r="42" spans="1:79" x14ac:dyDescent="0.3">
      <c r="A42">
        <v>31</v>
      </c>
      <c r="B42" t="str">
        <v>QCNM Multan, District Jail</v>
      </c>
      <c r="C42" t="str">
        <v>Trust Act</v>
      </c>
      <c r="D42" t="str">
        <v>South &amp; North Punjab Region</v>
      </c>
      <c r="E42" t="str">
        <v>Prison</v>
      </c>
      <c r="F42" s="2">
        <v>12000</v>
      </c>
      <c r="G42" s="2">
        <v>2026</v>
      </c>
      <c r="H42" s="13">
        <v>5.923000987166831</v>
      </c>
      <c r="I42" s="13"/>
      <c r="BA42">
        <v>41</v>
      </c>
      <c r="BB42" s="27" t="s">
        <v>106</v>
      </c>
      <c r="BC42">
        <v>2010206</v>
      </c>
      <c r="BD42" t="s">
        <v>33</v>
      </c>
      <c r="BE42" t="s">
        <v>100</v>
      </c>
      <c r="BF42" t="s">
        <v>35</v>
      </c>
      <c r="BG42">
        <v>381</v>
      </c>
      <c r="BH42">
        <v>680</v>
      </c>
      <c r="BI42">
        <v>0</v>
      </c>
      <c r="BJ42">
        <v>0</v>
      </c>
      <c r="BK42">
        <v>0</v>
      </c>
      <c r="BL42">
        <v>60</v>
      </c>
      <c r="BM42">
        <v>0</v>
      </c>
      <c r="BN42">
        <v>0</v>
      </c>
      <c r="BO42">
        <v>690</v>
      </c>
      <c r="BP42">
        <v>0</v>
      </c>
      <c r="BQ42">
        <f>SUM(SimpleDashData88[[#This Row],[Convayance]:[Misc]])</f>
        <v>1811</v>
      </c>
      <c r="BR42">
        <v>1</v>
      </c>
      <c r="BS42">
        <v>119</v>
      </c>
      <c r="BT42">
        <v>7</v>
      </c>
      <c r="BU42">
        <f>SUM(SimpleDashData88[[#This Row],[Male]:[Child]])</f>
        <v>127</v>
      </c>
      <c r="BV42">
        <v>127</v>
      </c>
      <c r="BW42">
        <v>635</v>
      </c>
      <c r="BZ42">
        <f>SimpleDashData88[[#This Row],[Total Expense]]/SimpleDashData88[[#This Row],[Total Patients]]</f>
        <v>14.259842519685039</v>
      </c>
      <c r="CA42">
        <v>0</v>
      </c>
    </row>
    <row r="43" spans="1:79" x14ac:dyDescent="0.3">
      <c r="A43">
        <v>32</v>
      </c>
      <c r="B43" t="str">
        <v>QCNM Hattar</v>
      </c>
      <c r="C43" t="str">
        <v>Trust Act</v>
      </c>
      <c r="D43" t="str">
        <v>Capital Region</v>
      </c>
      <c r="E43" t="str">
        <v>Public</v>
      </c>
      <c r="F43" s="2">
        <v>11870</v>
      </c>
      <c r="G43" s="2">
        <v>2262</v>
      </c>
      <c r="H43" s="13">
        <v>5.2475685234305924</v>
      </c>
      <c r="I43" s="13"/>
      <c r="BA43">
        <v>42</v>
      </c>
      <c r="BB43" s="27" t="s">
        <v>107</v>
      </c>
      <c r="BC43">
        <v>2010221</v>
      </c>
      <c r="BD43" t="s">
        <v>33</v>
      </c>
      <c r="BE43" t="s">
        <v>100</v>
      </c>
      <c r="BF43" t="s">
        <v>35</v>
      </c>
      <c r="BG43">
        <v>150</v>
      </c>
      <c r="BH43">
        <v>1000</v>
      </c>
      <c r="BI43">
        <v>360</v>
      </c>
      <c r="BJ43">
        <v>3130</v>
      </c>
      <c r="BK43">
        <v>0</v>
      </c>
      <c r="BL43">
        <v>300</v>
      </c>
      <c r="BM43">
        <v>350</v>
      </c>
      <c r="BN43">
        <v>320</v>
      </c>
      <c r="BO43">
        <v>0</v>
      </c>
      <c r="BP43">
        <v>4800</v>
      </c>
      <c r="BQ43">
        <f>SUM(SimpleDashData88[[#This Row],[Convayance]:[Misc]])</f>
        <v>10410</v>
      </c>
      <c r="BR43">
        <v>623</v>
      </c>
      <c r="BS43">
        <v>169</v>
      </c>
      <c r="BT43">
        <v>84</v>
      </c>
      <c r="BU43">
        <f>SUM(SimpleDashData88[[#This Row],[Male]:[Child]])</f>
        <v>876</v>
      </c>
      <c r="BV43">
        <v>876</v>
      </c>
      <c r="BW43">
        <v>4380</v>
      </c>
      <c r="BZ43">
        <f>SimpleDashData88[[#This Row],[Total Expense]]/SimpleDashData88[[#This Row],[Total Patients]]</f>
        <v>11.883561643835616</v>
      </c>
      <c r="CA43">
        <v>0</v>
      </c>
    </row>
    <row r="44" spans="1:79" x14ac:dyDescent="0.3">
      <c r="A44">
        <v>33</v>
      </c>
      <c r="B44" t="str">
        <v>QCNM Faisalabad, Central Jail</v>
      </c>
      <c r="C44" t="str">
        <v>Trust Act</v>
      </c>
      <c r="D44" t="str">
        <v>Central Punjab Region</v>
      </c>
      <c r="E44" t="str">
        <v>Prison</v>
      </c>
      <c r="F44" s="2">
        <v>11718</v>
      </c>
      <c r="G44" s="2">
        <v>3361</v>
      </c>
      <c r="H44" s="13">
        <v>3.4864623623921451</v>
      </c>
      <c r="I44" s="13"/>
      <c r="BA44">
        <v>43</v>
      </c>
      <c r="BB44" s="27" t="s">
        <v>108</v>
      </c>
      <c r="BC44">
        <v>2010209</v>
      </c>
      <c r="BD44" t="s">
        <v>33</v>
      </c>
      <c r="BE44" t="s">
        <v>100</v>
      </c>
      <c r="BF44" t="s">
        <v>35</v>
      </c>
      <c r="BG44">
        <v>2000</v>
      </c>
      <c r="BH44">
        <v>1000</v>
      </c>
      <c r="BI44">
        <v>1300</v>
      </c>
      <c r="BJ44">
        <v>6000</v>
      </c>
      <c r="BK44">
        <v>0</v>
      </c>
      <c r="BL44">
        <v>0</v>
      </c>
      <c r="BM44">
        <v>1500</v>
      </c>
      <c r="BN44">
        <v>0</v>
      </c>
      <c r="BO44">
        <v>0</v>
      </c>
      <c r="BP44">
        <v>580</v>
      </c>
      <c r="BQ44">
        <f>SUM(SimpleDashData88[[#This Row],[Convayance]:[Misc]])</f>
        <v>12380</v>
      </c>
      <c r="BR44">
        <v>904</v>
      </c>
      <c r="BS44">
        <v>616</v>
      </c>
      <c r="BT44">
        <v>454</v>
      </c>
      <c r="BU44">
        <f>SUM(SimpleDashData88[[#This Row],[Male]:[Child]])</f>
        <v>1974</v>
      </c>
      <c r="BV44">
        <v>1974</v>
      </c>
      <c r="BW44">
        <v>9870</v>
      </c>
      <c r="BZ44">
        <f>SimpleDashData88[[#This Row],[Total Expense]]/SimpleDashData88[[#This Row],[Total Patients]]</f>
        <v>6.2715298885511652</v>
      </c>
      <c r="CA44">
        <v>0</v>
      </c>
    </row>
    <row r="45" spans="1:79" x14ac:dyDescent="0.3">
      <c r="A45">
        <v>34</v>
      </c>
      <c r="B45" t="str">
        <v>QCNM Lodhran, District Jail</v>
      </c>
      <c r="C45" t="str">
        <v>Trust Act</v>
      </c>
      <c r="D45" t="str">
        <v>South &amp; North Punjab Region</v>
      </c>
      <c r="E45" t="str">
        <v>Prison</v>
      </c>
      <c r="F45" s="2">
        <v>10940</v>
      </c>
      <c r="G45" s="2">
        <v>3019</v>
      </c>
      <c r="H45" s="13">
        <v>3.62371646240477</v>
      </c>
      <c r="I45" s="13"/>
      <c r="BA45">
        <v>44</v>
      </c>
      <c r="BB45" s="27" t="s">
        <v>109</v>
      </c>
      <c r="BC45">
        <v>2010234</v>
      </c>
      <c r="BD45" t="s">
        <v>33</v>
      </c>
      <c r="BE45" t="s">
        <v>100</v>
      </c>
      <c r="BF45" t="s">
        <v>35</v>
      </c>
      <c r="BG45">
        <v>0</v>
      </c>
      <c r="BH45">
        <v>500</v>
      </c>
      <c r="BI45">
        <v>3616</v>
      </c>
      <c r="BJ45">
        <v>750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f>SUM(SimpleDashData88[[#This Row],[Convayance]:[Misc]])</f>
        <v>4866</v>
      </c>
      <c r="BR45">
        <v>279</v>
      </c>
      <c r="BS45">
        <v>262</v>
      </c>
      <c r="BT45">
        <v>217</v>
      </c>
      <c r="BU45">
        <f>SUM(SimpleDashData88[[#This Row],[Male]:[Child]])</f>
        <v>758</v>
      </c>
      <c r="BV45">
        <v>758</v>
      </c>
      <c r="BW45">
        <v>3790</v>
      </c>
      <c r="BZ45">
        <f>SimpleDashData88[[#This Row],[Total Expense]]/SimpleDashData88[[#This Row],[Total Patients]]</f>
        <v>6.4195250659630609</v>
      </c>
      <c r="CA45">
        <v>0</v>
      </c>
    </row>
    <row r="46" spans="1:79" x14ac:dyDescent="0.3">
      <c r="A46">
        <v>35</v>
      </c>
      <c r="B46" t="str">
        <v>QCNM Sargodha, District Jail</v>
      </c>
      <c r="C46" t="str">
        <v>Trust Act</v>
      </c>
      <c r="D46" t="str">
        <v>South &amp; North Punjab Region</v>
      </c>
      <c r="E46" t="str">
        <v>Prison</v>
      </c>
      <c r="F46" s="2">
        <v>10670</v>
      </c>
      <c r="G46" s="2">
        <v>3085</v>
      </c>
      <c r="H46" s="13">
        <v>3.4586709886547813</v>
      </c>
      <c r="I46" s="13"/>
      <c r="BA46">
        <v>45</v>
      </c>
      <c r="BB46" s="27" t="s">
        <v>110</v>
      </c>
      <c r="BD46" t="s">
        <v>33</v>
      </c>
      <c r="BE46" t="s">
        <v>100</v>
      </c>
      <c r="BF46" t="s">
        <v>35</v>
      </c>
      <c r="BG46">
        <v>0</v>
      </c>
      <c r="BH46">
        <v>0</v>
      </c>
      <c r="BI46">
        <v>0</v>
      </c>
      <c r="BJ46">
        <v>500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1000</v>
      </c>
      <c r="BQ46">
        <f>SUM(SimpleDashData88[[#This Row],[Convayance]:[Misc]])</f>
        <v>1500</v>
      </c>
      <c r="BR46">
        <v>332</v>
      </c>
      <c r="BS46">
        <v>194</v>
      </c>
      <c r="BT46">
        <v>50</v>
      </c>
      <c r="BU46">
        <f>SUM(SimpleDashData88[[#This Row],[Male]:[Child]])</f>
        <v>576</v>
      </c>
      <c r="BV46">
        <v>576</v>
      </c>
      <c r="BW46">
        <v>2880</v>
      </c>
      <c r="BZ46">
        <f>SimpleDashData88[[#This Row],[Total Expense]]/SimpleDashData88[[#This Row],[Total Patients]]</f>
        <v>2.6041666666666665</v>
      </c>
      <c r="CA46">
        <v>0</v>
      </c>
    </row>
    <row r="47" spans="1:79" x14ac:dyDescent="0.3">
      <c r="A47">
        <v>36</v>
      </c>
      <c r="B47" t="str">
        <v>Lahore, Jamia Ashrafia</v>
      </c>
      <c r="C47" t="str">
        <v>Trust Act</v>
      </c>
      <c r="D47" t="str">
        <v>Central Punjab Region</v>
      </c>
      <c r="E47" t="str">
        <v>Public</v>
      </c>
      <c r="F47" s="2">
        <v>10410</v>
      </c>
      <c r="G47" s="2">
        <v>876</v>
      </c>
      <c r="H47" s="13">
        <v>11.883561643835616</v>
      </c>
      <c r="I47" s="13"/>
      <c r="BA47">
        <v>46</v>
      </c>
      <c r="BB47" s="27" t="s">
        <v>111</v>
      </c>
      <c r="BD47" t="s">
        <v>33</v>
      </c>
      <c r="BE47" t="s">
        <v>100</v>
      </c>
      <c r="BF47" t="s">
        <v>35</v>
      </c>
      <c r="BG47">
        <v>9860</v>
      </c>
      <c r="BH47">
        <v>1000</v>
      </c>
      <c r="BI47">
        <v>0</v>
      </c>
      <c r="BJ47">
        <v>4200</v>
      </c>
      <c r="BK47">
        <v>0</v>
      </c>
      <c r="BL47">
        <v>1000</v>
      </c>
      <c r="BM47">
        <v>0</v>
      </c>
      <c r="BN47">
        <v>0</v>
      </c>
      <c r="BO47">
        <v>0</v>
      </c>
      <c r="BP47">
        <v>0</v>
      </c>
      <c r="BQ47">
        <f>SUM(SimpleDashData88[[#This Row],[Convayance]:[Misc]])</f>
        <v>16060</v>
      </c>
      <c r="BR47">
        <v>486</v>
      </c>
      <c r="BS47">
        <v>621</v>
      </c>
      <c r="BT47">
        <v>409</v>
      </c>
      <c r="BU47">
        <f>SUM(SimpleDashData88[[#This Row],[Male]:[Child]])</f>
        <v>1516</v>
      </c>
      <c r="BV47">
        <v>1516</v>
      </c>
      <c r="BW47">
        <v>7580</v>
      </c>
      <c r="BZ47">
        <f>SimpleDashData88[[#This Row],[Total Expense]]/SimpleDashData88[[#This Row],[Total Patients]]</f>
        <v>10.593667546174142</v>
      </c>
      <c r="CA47">
        <v>0</v>
      </c>
    </row>
    <row r="48" spans="1:79" x14ac:dyDescent="0.3">
      <c r="A48">
        <v>37</v>
      </c>
      <c r="B48" t="str">
        <v>QCNM Khuzdar(BUET) University</v>
      </c>
      <c r="C48" t="str">
        <v>Trust Act</v>
      </c>
      <c r="D48" t="str">
        <v>Sindh, Balochistan &amp; AJK Region</v>
      </c>
      <c r="E48" t="str">
        <v>Public</v>
      </c>
      <c r="F48" s="2">
        <v>10390</v>
      </c>
      <c r="G48" s="2">
        <v>1164</v>
      </c>
      <c r="H48" s="13">
        <v>8.9261168384879728</v>
      </c>
      <c r="I48" s="13"/>
      <c r="BA48">
        <v>47</v>
      </c>
      <c r="BB48" s="27" t="s">
        <v>112</v>
      </c>
      <c r="BD48" t="s">
        <v>33</v>
      </c>
      <c r="BE48" t="s">
        <v>100</v>
      </c>
      <c r="BF48" t="s">
        <v>35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f>SUM(SimpleDashData88[[#This Row],[Convayance]:[Misc]])</f>
        <v>0</v>
      </c>
      <c r="BR48">
        <v>0</v>
      </c>
      <c r="BS48">
        <v>0</v>
      </c>
      <c r="BT48">
        <v>0</v>
      </c>
      <c r="BU48">
        <f>SUM(SimpleDashData88[[#This Row],[Male]:[Child]])</f>
        <v>0</v>
      </c>
      <c r="BV48">
        <v>0</v>
      </c>
      <c r="BW48">
        <v>0</v>
      </c>
      <c r="BZ48" t="e">
        <f>SimpleDashData88[[#This Row],[Total Expense]]/SimpleDashData88[[#This Row],[Total Patients]]</f>
        <v>#DIV/0!</v>
      </c>
      <c r="CA48">
        <v>0</v>
      </c>
    </row>
    <row r="49" spans="1:79" x14ac:dyDescent="0.3">
      <c r="A49">
        <v>38</v>
      </c>
      <c r="B49" t="str">
        <v>QCNM Shahpur, Dist Jail</v>
      </c>
      <c r="C49" t="str">
        <v>Trust Act</v>
      </c>
      <c r="D49" t="str">
        <v>South &amp; North Punjab Region</v>
      </c>
      <c r="E49" t="str">
        <v>Prison</v>
      </c>
      <c r="F49" s="2">
        <v>10145</v>
      </c>
      <c r="G49" s="2">
        <v>2432</v>
      </c>
      <c r="H49" s="13">
        <v>4.1714638157894735</v>
      </c>
      <c r="I49" s="13"/>
      <c r="BA49">
        <v>48</v>
      </c>
      <c r="BB49" s="27" t="s">
        <v>113</v>
      </c>
      <c r="BD49" t="s">
        <v>33</v>
      </c>
      <c r="BE49" t="s">
        <v>100</v>
      </c>
      <c r="BF49" t="s">
        <v>35</v>
      </c>
      <c r="BG49">
        <v>2372</v>
      </c>
      <c r="BH49">
        <v>1600</v>
      </c>
      <c r="BI49">
        <v>0</v>
      </c>
      <c r="BJ49">
        <v>0</v>
      </c>
      <c r="BK49">
        <v>0</v>
      </c>
      <c r="BL49">
        <v>2954</v>
      </c>
      <c r="BM49">
        <v>0</v>
      </c>
      <c r="BN49">
        <v>0</v>
      </c>
      <c r="BO49">
        <v>0</v>
      </c>
      <c r="BP49">
        <v>0</v>
      </c>
      <c r="BQ49">
        <f>SUM(SimpleDashData88[[#This Row],[Convayance]:[Misc]])</f>
        <v>6926</v>
      </c>
      <c r="BR49">
        <v>30</v>
      </c>
      <c r="BS49">
        <v>20</v>
      </c>
      <c r="BT49">
        <v>8</v>
      </c>
      <c r="BU49">
        <f>SUM(SimpleDashData88[[#This Row],[Male]:[Child]])</f>
        <v>58</v>
      </c>
      <c r="BV49">
        <v>58</v>
      </c>
      <c r="BW49">
        <v>290</v>
      </c>
      <c r="BZ49">
        <f>SimpleDashData88[[#This Row],[Total Expense]]/SimpleDashData88[[#This Row],[Total Patients]]</f>
        <v>119.41379310344827</v>
      </c>
      <c r="CA49">
        <v>0</v>
      </c>
    </row>
    <row r="50" spans="1:79" x14ac:dyDescent="0.3">
      <c r="A50">
        <v>39</v>
      </c>
      <c r="B50" t="str">
        <v>QCNM Sadda, Sub Jail</v>
      </c>
      <c r="C50" t="str">
        <v>Trust Act</v>
      </c>
      <c r="D50" t="str">
        <v>Capital Region</v>
      </c>
      <c r="E50" t="str">
        <v>Prison</v>
      </c>
      <c r="F50" s="2">
        <v>10050</v>
      </c>
      <c r="G50" s="2">
        <v>3023</v>
      </c>
      <c r="H50" s="13">
        <v>3.3245120740985774</v>
      </c>
      <c r="I50" s="13"/>
      <c r="BA50">
        <v>49</v>
      </c>
      <c r="BB50" s="27" t="s">
        <v>114</v>
      </c>
      <c r="BD50" t="s">
        <v>33</v>
      </c>
      <c r="BE50" t="s">
        <v>100</v>
      </c>
      <c r="BF50" t="s">
        <v>35</v>
      </c>
      <c r="BG50">
        <v>5849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1400</v>
      </c>
      <c r="BO50">
        <v>1000</v>
      </c>
      <c r="BP50">
        <v>0</v>
      </c>
      <c r="BQ50">
        <f>SUM(SimpleDashData88[[#This Row],[Convayance]:[Misc]])</f>
        <v>8249</v>
      </c>
      <c r="BR50">
        <v>719</v>
      </c>
      <c r="BS50">
        <v>695</v>
      </c>
      <c r="BT50">
        <v>143</v>
      </c>
      <c r="BU50">
        <f>SUM(SimpleDashData88[[#This Row],[Male]:[Child]])</f>
        <v>1557</v>
      </c>
      <c r="BV50">
        <v>1557</v>
      </c>
      <c r="BW50">
        <v>7785</v>
      </c>
      <c r="BZ50">
        <f>SimpleDashData88[[#This Row],[Total Expense]]/SimpleDashData88[[#This Row],[Total Patients]]</f>
        <v>5.2980089916506099</v>
      </c>
      <c r="CA50">
        <v>0</v>
      </c>
    </row>
    <row r="51" spans="1:79" ht="28.8" x14ac:dyDescent="0.3">
      <c r="A51">
        <v>40</v>
      </c>
      <c r="B51" t="str">
        <v>QCNM Sukkur, Central Jail</v>
      </c>
      <c r="C51" t="str">
        <v>Trust Act</v>
      </c>
      <c r="D51" t="str">
        <v>Sindh, Balochistan &amp; AJK Region</v>
      </c>
      <c r="E51" t="str">
        <v>Prison</v>
      </c>
      <c r="F51" s="2">
        <v>9510</v>
      </c>
      <c r="G51" s="2">
        <v>1878</v>
      </c>
      <c r="H51" s="13">
        <v>5.0638977635782751</v>
      </c>
      <c r="I51" s="13"/>
      <c r="BA51">
        <v>50</v>
      </c>
      <c r="BB51" s="27" t="s">
        <v>115</v>
      </c>
      <c r="BD51" t="s">
        <v>33</v>
      </c>
      <c r="BE51" t="s">
        <v>100</v>
      </c>
      <c r="BF51" t="s">
        <v>35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170</v>
      </c>
      <c r="BO51">
        <v>500</v>
      </c>
      <c r="BP51">
        <v>0</v>
      </c>
      <c r="BQ51">
        <f>SUM(SimpleDashData88[[#This Row],[Convayance]:[Misc]])</f>
        <v>670</v>
      </c>
      <c r="BR51">
        <v>34</v>
      </c>
      <c r="BS51">
        <v>172</v>
      </c>
      <c r="BT51">
        <v>20</v>
      </c>
      <c r="BU51">
        <f>SUM(SimpleDashData88[[#This Row],[Male]:[Child]])</f>
        <v>226</v>
      </c>
      <c r="BV51">
        <v>226</v>
      </c>
      <c r="BW51">
        <v>1130</v>
      </c>
      <c r="BZ51">
        <f>SimpleDashData88[[#This Row],[Total Expense]]/SimpleDashData88[[#This Row],[Total Patients]]</f>
        <v>2.9646017699115044</v>
      </c>
      <c r="CA51">
        <v>0</v>
      </c>
    </row>
    <row r="52" spans="1:79" x14ac:dyDescent="0.3">
      <c r="A52">
        <v>41</v>
      </c>
      <c r="B52" t="str">
        <v>QCNM PTC Gilgit</v>
      </c>
      <c r="C52" t="str">
        <v>Trust Act</v>
      </c>
      <c r="D52" t="str">
        <v>Capital Region</v>
      </c>
      <c r="E52" t="str">
        <v>Public</v>
      </c>
      <c r="F52" s="2">
        <v>9390</v>
      </c>
      <c r="G52" s="2">
        <v>601</v>
      </c>
      <c r="H52" s="13">
        <v>15.623960066555741</v>
      </c>
      <c r="I52" s="13"/>
      <c r="BA52">
        <v>51</v>
      </c>
      <c r="BB52" s="27" t="s">
        <v>116</v>
      </c>
      <c r="BD52" t="s">
        <v>33</v>
      </c>
      <c r="BE52" t="s">
        <v>100</v>
      </c>
      <c r="BF52" t="s">
        <v>35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f>SUM(SimpleDashData88[[#This Row],[Convayance]:[Misc]])</f>
        <v>0</v>
      </c>
      <c r="BR52">
        <v>248</v>
      </c>
      <c r="BS52">
        <v>300</v>
      </c>
      <c r="BT52">
        <v>0</v>
      </c>
      <c r="BU52">
        <f>SUM(SimpleDashData88[[#This Row],[Male]:[Child]])</f>
        <v>548</v>
      </c>
      <c r="BV52">
        <v>548</v>
      </c>
      <c r="BW52">
        <v>2740</v>
      </c>
      <c r="BZ52">
        <f>SimpleDashData88[[#This Row],[Total Expense]]/SimpleDashData88[[#This Row],[Total Patients]]</f>
        <v>0</v>
      </c>
      <c r="CA52">
        <v>0</v>
      </c>
    </row>
    <row r="53" spans="1:79" x14ac:dyDescent="0.3">
      <c r="A53">
        <v>42</v>
      </c>
      <c r="B53" t="str">
        <v>QCNM Swat, District Jail</v>
      </c>
      <c r="C53" t="str">
        <v>Trust Act</v>
      </c>
      <c r="D53" t="str">
        <v>Capital Region</v>
      </c>
      <c r="E53" t="str">
        <v>Prison</v>
      </c>
      <c r="F53" s="2">
        <v>9050</v>
      </c>
      <c r="G53" s="2">
        <v>2413</v>
      </c>
      <c r="H53" s="13">
        <v>3.7505180273518444</v>
      </c>
      <c r="I53" s="13"/>
      <c r="BA53">
        <v>52</v>
      </c>
      <c r="BB53" s="12" t="s">
        <v>117</v>
      </c>
      <c r="BC53">
        <v>2010246</v>
      </c>
      <c r="BD53" t="s">
        <v>33</v>
      </c>
      <c r="BE53" t="s">
        <v>100</v>
      </c>
      <c r="BF53" t="s">
        <v>35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230</v>
      </c>
      <c r="BN53">
        <v>70</v>
      </c>
      <c r="BO53">
        <v>180</v>
      </c>
      <c r="BP53">
        <v>280</v>
      </c>
      <c r="BQ53">
        <f>SUM(SimpleDashData88[[#This Row],[Convayance]:[Misc]])</f>
        <v>760</v>
      </c>
      <c r="BR53">
        <v>563</v>
      </c>
      <c r="BS53">
        <v>612</v>
      </c>
      <c r="BT53">
        <v>228</v>
      </c>
      <c r="BU53">
        <f>SUM(SimpleDashData88[[#This Row],[Male]:[Child]])</f>
        <v>1403</v>
      </c>
      <c r="BV53">
        <v>1403</v>
      </c>
      <c r="BW53">
        <v>7015</v>
      </c>
      <c r="BZ53">
        <f>SimpleDashData88[[#This Row],[Total Expense]]/SimpleDashData88[[#This Row],[Total Patients]]</f>
        <v>0.5416963649322879</v>
      </c>
      <c r="CA53">
        <v>0</v>
      </c>
    </row>
    <row r="54" spans="1:79" x14ac:dyDescent="0.3">
      <c r="A54">
        <v>43</v>
      </c>
      <c r="B54" t="str">
        <v>QCNM Mandibhaudin, District Jail</v>
      </c>
      <c r="C54" t="str">
        <v>Trust Act</v>
      </c>
      <c r="D54" t="str">
        <v>South &amp; North Punjab Region</v>
      </c>
      <c r="E54" t="str">
        <v>Prison</v>
      </c>
      <c r="F54" s="2">
        <v>9010</v>
      </c>
      <c r="G54" s="2">
        <v>2537</v>
      </c>
      <c r="H54" s="13">
        <v>3.5514387071344107</v>
      </c>
      <c r="I54" s="13"/>
      <c r="BA54">
        <v>53</v>
      </c>
      <c r="BB54" s="12" t="s">
        <v>118</v>
      </c>
      <c r="BD54" t="s">
        <v>33</v>
      </c>
      <c r="BE54" t="s">
        <v>100</v>
      </c>
      <c r="BF54" t="s">
        <v>35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f>SUM(SimpleDashData88[[#This Row],[Convayance]:[Misc]])</f>
        <v>0</v>
      </c>
      <c r="BR54">
        <v>57</v>
      </c>
      <c r="BS54">
        <v>7</v>
      </c>
      <c r="BT54">
        <v>0</v>
      </c>
      <c r="BU54">
        <f>SUM(SimpleDashData88[[#This Row],[Male]:[Child]])</f>
        <v>64</v>
      </c>
      <c r="BV54">
        <v>64</v>
      </c>
      <c r="BW54">
        <v>320</v>
      </c>
      <c r="BZ54">
        <f>SimpleDashData88[[#This Row],[Total Expense]]/SimpleDashData88[[#This Row],[Total Patients]]</f>
        <v>0</v>
      </c>
      <c r="CA54">
        <v>0</v>
      </c>
    </row>
    <row r="55" spans="1:79" x14ac:dyDescent="0.3">
      <c r="A55">
        <v>44</v>
      </c>
      <c r="B55" t="str">
        <v>QCNM Mansehra, District Jail</v>
      </c>
      <c r="C55" t="str">
        <v>Trust Act</v>
      </c>
      <c r="D55" t="str">
        <v>Capital Region</v>
      </c>
      <c r="E55" t="str">
        <v>Prison</v>
      </c>
      <c r="F55" s="2">
        <v>8940</v>
      </c>
      <c r="G55" s="2">
        <v>1352</v>
      </c>
      <c r="H55" s="13">
        <v>6.6124260355029589</v>
      </c>
      <c r="I55" s="13"/>
      <c r="BA55">
        <v>54</v>
      </c>
      <c r="BB55" s="27" t="s">
        <v>119</v>
      </c>
      <c r="BC55">
        <v>2010227</v>
      </c>
      <c r="BD55" t="s">
        <v>33</v>
      </c>
      <c r="BE55" t="s">
        <v>100</v>
      </c>
      <c r="BF55" t="s">
        <v>64</v>
      </c>
      <c r="BG55">
        <v>700</v>
      </c>
      <c r="BH55">
        <v>0</v>
      </c>
      <c r="BI55">
        <v>3200</v>
      </c>
      <c r="BJ55">
        <v>5510</v>
      </c>
      <c r="BK55">
        <v>460</v>
      </c>
      <c r="BL55">
        <v>400</v>
      </c>
      <c r="BM55">
        <v>1258</v>
      </c>
      <c r="BN55">
        <v>0</v>
      </c>
      <c r="BO55">
        <v>0</v>
      </c>
      <c r="BP55">
        <v>190</v>
      </c>
      <c r="BQ55">
        <f>SUM(SimpleDashData88[[#This Row],[Convayance]:[Misc]])</f>
        <v>11718</v>
      </c>
      <c r="BR55">
        <v>3361</v>
      </c>
      <c r="BS55">
        <v>0</v>
      </c>
      <c r="BT55">
        <v>0</v>
      </c>
      <c r="BU55">
        <f>SUM(SimpleDashData88[[#This Row],[Male]:[Child]])</f>
        <v>3361</v>
      </c>
      <c r="BV55">
        <v>3361</v>
      </c>
      <c r="BW55">
        <v>16805</v>
      </c>
      <c r="BZ55">
        <f>SimpleDashData88[[#This Row],[Total Expense]]/SimpleDashData88[[#This Row],[Total Patients]]</f>
        <v>3.4864623623921451</v>
      </c>
      <c r="CA55">
        <v>0</v>
      </c>
    </row>
    <row r="56" spans="1:79" x14ac:dyDescent="0.3">
      <c r="A56">
        <v>45</v>
      </c>
      <c r="B56" t="str">
        <v>QCNM Mardan, Central Jail</v>
      </c>
      <c r="C56" t="str">
        <v>Trust Act</v>
      </c>
      <c r="D56" t="str">
        <v>Capital Region</v>
      </c>
      <c r="E56" t="str">
        <v>Prison</v>
      </c>
      <c r="F56" s="2">
        <v>8690</v>
      </c>
      <c r="G56" s="2">
        <v>2610</v>
      </c>
      <c r="H56" s="13">
        <v>3.3295019157088124</v>
      </c>
      <c r="I56" s="13"/>
      <c r="BA56">
        <v>55</v>
      </c>
      <c r="BB56" s="27" t="s">
        <v>120</v>
      </c>
      <c r="BC56">
        <v>2010201</v>
      </c>
      <c r="BD56" t="s">
        <v>33</v>
      </c>
      <c r="BE56" t="s">
        <v>100</v>
      </c>
      <c r="BF56" t="s">
        <v>64</v>
      </c>
      <c r="BG56">
        <v>0</v>
      </c>
      <c r="BH56">
        <v>1000</v>
      </c>
      <c r="BI56">
        <v>0</v>
      </c>
      <c r="BJ56">
        <v>1910</v>
      </c>
      <c r="BK56">
        <v>480</v>
      </c>
      <c r="BL56">
        <v>0</v>
      </c>
      <c r="BM56">
        <v>0</v>
      </c>
      <c r="BN56">
        <v>990</v>
      </c>
      <c r="BO56">
        <v>0</v>
      </c>
      <c r="BP56">
        <v>0</v>
      </c>
      <c r="BQ56">
        <f>SUM(SimpleDashData88[[#This Row],[Convayance]:[Misc]])</f>
        <v>4380</v>
      </c>
      <c r="BR56">
        <v>3065</v>
      </c>
      <c r="BS56">
        <v>79</v>
      </c>
      <c r="BT56">
        <v>5</v>
      </c>
      <c r="BU56">
        <f>SUM(SimpleDashData88[[#This Row],[Male]:[Child]])</f>
        <v>3149</v>
      </c>
      <c r="BV56">
        <v>3149</v>
      </c>
      <c r="BW56">
        <v>15745</v>
      </c>
      <c r="BZ56">
        <f>SimpleDashData88[[#This Row],[Total Expense]]/SimpleDashData88[[#This Row],[Total Patients]]</f>
        <v>1.390917751667196</v>
      </c>
      <c r="CA56">
        <v>0</v>
      </c>
    </row>
    <row r="57" spans="1:79" x14ac:dyDescent="0.3">
      <c r="A57">
        <v>46</v>
      </c>
      <c r="B57" t="str">
        <v>QCNM Minchinabad Jamia</v>
      </c>
      <c r="C57" t="str">
        <v>Trust Act</v>
      </c>
      <c r="D57" t="str">
        <v>South &amp; North Punjab Region</v>
      </c>
      <c r="E57" t="str">
        <v>Public</v>
      </c>
      <c r="F57" s="2">
        <v>8665</v>
      </c>
      <c r="G57" s="2">
        <v>3079</v>
      </c>
      <c r="H57" s="13">
        <v>2.8142253978564469</v>
      </c>
      <c r="I57" s="13"/>
      <c r="BA57">
        <v>56</v>
      </c>
      <c r="BB57" s="27" t="s">
        <v>121</v>
      </c>
      <c r="BC57">
        <v>2010230</v>
      </c>
      <c r="BD57" t="s">
        <v>33</v>
      </c>
      <c r="BE57" t="s">
        <v>100</v>
      </c>
      <c r="BF57" t="s">
        <v>64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f>SUM(SimpleDashData88[[#This Row],[Convayance]:[Misc]])</f>
        <v>0</v>
      </c>
      <c r="BR57">
        <v>30</v>
      </c>
      <c r="BS57">
        <v>0</v>
      </c>
      <c r="BT57">
        <v>160</v>
      </c>
      <c r="BU57">
        <f>SUM(SimpleDashData88[[#This Row],[Male]:[Child]])</f>
        <v>190</v>
      </c>
      <c r="BV57">
        <v>190</v>
      </c>
      <c r="BW57">
        <v>950</v>
      </c>
      <c r="BZ57">
        <f>SimpleDashData88[[#This Row],[Total Expense]]/SimpleDashData88[[#This Row],[Total Patients]]</f>
        <v>0</v>
      </c>
      <c r="CA57">
        <v>0</v>
      </c>
    </row>
    <row r="58" spans="1:79" x14ac:dyDescent="0.3">
      <c r="A58">
        <v>47</v>
      </c>
      <c r="B58" t="str">
        <v>QCNM FUUAST ( Abdul Haq Campus)</v>
      </c>
      <c r="C58" t="str">
        <v>Trust Act</v>
      </c>
      <c r="D58" t="str">
        <v>Sindh, Balochistan &amp; AJK Region</v>
      </c>
      <c r="E58" t="str">
        <v>Public</v>
      </c>
      <c r="F58" s="2">
        <v>8653</v>
      </c>
      <c r="G58" s="2">
        <v>1026</v>
      </c>
      <c r="H58" s="13">
        <v>8.4337231968810915</v>
      </c>
      <c r="I58" s="13"/>
      <c r="BA58">
        <v>57</v>
      </c>
      <c r="BB58" s="27" t="s">
        <v>122</v>
      </c>
      <c r="BC58">
        <v>2010223</v>
      </c>
      <c r="BD58" t="s">
        <v>33</v>
      </c>
      <c r="BE58" t="s">
        <v>100</v>
      </c>
      <c r="BF58" t="s">
        <v>64</v>
      </c>
      <c r="BG58">
        <v>0</v>
      </c>
      <c r="BH58">
        <v>0</v>
      </c>
      <c r="BI58">
        <v>0</v>
      </c>
      <c r="BJ58">
        <v>0</v>
      </c>
      <c r="BK58">
        <v>15300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f>SUM(SimpleDashData88[[#This Row],[Convayance]:[Misc]])</f>
        <v>15300</v>
      </c>
      <c r="BR58">
        <v>4959</v>
      </c>
      <c r="BS58">
        <v>8</v>
      </c>
      <c r="BT58">
        <v>0</v>
      </c>
      <c r="BU58">
        <f>SUM(SimpleDashData88[[#This Row],[Male]:[Child]])</f>
        <v>4967</v>
      </c>
      <c r="BV58">
        <v>4967</v>
      </c>
      <c r="BW58">
        <v>24835</v>
      </c>
      <c r="BZ58">
        <f>SimpleDashData88[[#This Row],[Total Expense]]/SimpleDashData88[[#This Row],[Total Patients]]</f>
        <v>3.0803301791826052</v>
      </c>
      <c r="CA58">
        <v>0</v>
      </c>
    </row>
    <row r="59" spans="1:79" x14ac:dyDescent="0.3">
      <c r="A59">
        <v>48</v>
      </c>
      <c r="B59" t="str">
        <v>QCNM Gift University Gujranwala</v>
      </c>
      <c r="C59" t="str">
        <v>Trust Act</v>
      </c>
      <c r="D59" t="str">
        <v>Central Punjab Region</v>
      </c>
      <c r="E59" t="str">
        <v>Public</v>
      </c>
      <c r="F59" s="2">
        <v>8249</v>
      </c>
      <c r="G59" s="2">
        <v>1557</v>
      </c>
      <c r="H59" s="13">
        <v>5.2980089916506099</v>
      </c>
      <c r="I59" s="13"/>
      <c r="BA59">
        <v>58</v>
      </c>
      <c r="BB59" s="27" t="s">
        <v>123</v>
      </c>
      <c r="BC59">
        <v>2010235</v>
      </c>
      <c r="BD59" t="s">
        <v>33</v>
      </c>
      <c r="BE59" t="s">
        <v>100</v>
      </c>
      <c r="BF59" t="s">
        <v>64</v>
      </c>
      <c r="BG59">
        <v>0</v>
      </c>
      <c r="BH59">
        <v>1000</v>
      </c>
      <c r="BI59">
        <v>0</v>
      </c>
      <c r="BJ59">
        <v>2140</v>
      </c>
      <c r="BK59">
        <v>570</v>
      </c>
      <c r="BL59">
        <v>60</v>
      </c>
      <c r="BM59">
        <v>0</v>
      </c>
      <c r="BN59">
        <v>1300</v>
      </c>
      <c r="BO59">
        <v>0</v>
      </c>
      <c r="BP59">
        <v>0</v>
      </c>
      <c r="BQ59">
        <f>SUM(SimpleDashData88[[#This Row],[Convayance]:[Misc]])</f>
        <v>5070</v>
      </c>
      <c r="BR59">
        <v>3232</v>
      </c>
      <c r="BS59">
        <v>13</v>
      </c>
      <c r="BT59">
        <v>0</v>
      </c>
      <c r="BU59">
        <f>SUM(SimpleDashData88[[#This Row],[Male]:[Child]])</f>
        <v>3245</v>
      </c>
      <c r="BV59">
        <v>3245</v>
      </c>
      <c r="BW59">
        <v>16225</v>
      </c>
      <c r="BZ59">
        <f>SimpleDashData88[[#This Row],[Total Expense]]/SimpleDashData88[[#This Row],[Total Patients]]</f>
        <v>1.5624036979969183</v>
      </c>
      <c r="CA59">
        <v>0</v>
      </c>
    </row>
    <row r="60" spans="1:79" x14ac:dyDescent="0.3">
      <c r="A60">
        <v>49</v>
      </c>
      <c r="B60" t="str">
        <v xml:space="preserve">QCNM University of Balochistan </v>
      </c>
      <c r="C60" t="str">
        <v>Trust Act</v>
      </c>
      <c r="D60" t="str">
        <v>Sindh, Balochistan &amp; AJK Region</v>
      </c>
      <c r="E60" t="str">
        <v>Public</v>
      </c>
      <c r="F60" s="2">
        <v>8110</v>
      </c>
      <c r="G60" s="2">
        <v>1950</v>
      </c>
      <c r="H60" s="13">
        <v>4.1589743589743593</v>
      </c>
      <c r="I60" s="13"/>
      <c r="BA60">
        <v>59</v>
      </c>
      <c r="BB60" s="27" t="s">
        <v>124</v>
      </c>
      <c r="BC60">
        <v>2010225</v>
      </c>
      <c r="BD60" t="s">
        <v>33</v>
      </c>
      <c r="BE60" t="s">
        <v>100</v>
      </c>
      <c r="BF60" t="s">
        <v>64</v>
      </c>
      <c r="BG60">
        <v>830</v>
      </c>
      <c r="BH60">
        <v>100</v>
      </c>
      <c r="BI60">
        <v>700</v>
      </c>
      <c r="BJ60">
        <v>3660</v>
      </c>
      <c r="BK60">
        <v>400</v>
      </c>
      <c r="BL60">
        <v>395</v>
      </c>
      <c r="BM60">
        <v>0</v>
      </c>
      <c r="BN60">
        <v>0</v>
      </c>
      <c r="BO60">
        <v>0</v>
      </c>
      <c r="BP60">
        <v>0</v>
      </c>
      <c r="BQ60">
        <f>SUM(SimpleDashData88[[#This Row],[Convayance]:[Misc]])</f>
        <v>6085</v>
      </c>
      <c r="BR60">
        <v>3222</v>
      </c>
      <c r="BS60">
        <v>0</v>
      </c>
      <c r="BT60">
        <v>15</v>
      </c>
      <c r="BU60">
        <f>SUM(SimpleDashData88[[#This Row],[Male]:[Child]])</f>
        <v>3237</v>
      </c>
      <c r="BV60">
        <v>3237</v>
      </c>
      <c r="BW60">
        <v>16185</v>
      </c>
      <c r="BZ60">
        <f>SimpleDashData88[[#This Row],[Total Expense]]/SimpleDashData88[[#This Row],[Total Patients]]</f>
        <v>1.8798270003089279</v>
      </c>
      <c r="CA60">
        <v>0</v>
      </c>
    </row>
    <row r="61" spans="1:79" x14ac:dyDescent="0.3">
      <c r="A61">
        <v>50</v>
      </c>
      <c r="B61" t="str">
        <v>QCNM D.I Khan, Central Jail</v>
      </c>
      <c r="C61" t="str">
        <v>Trust Act</v>
      </c>
      <c r="D61" t="str">
        <v>Capital Region</v>
      </c>
      <c r="E61" t="str">
        <v>Prison</v>
      </c>
      <c r="F61" s="2">
        <v>8040</v>
      </c>
      <c r="G61" s="2">
        <v>2517</v>
      </c>
      <c r="H61" s="13">
        <v>3.194278903456496</v>
      </c>
      <c r="I61" s="13"/>
      <c r="BA61">
        <v>60</v>
      </c>
      <c r="BB61" s="27" t="s">
        <v>125</v>
      </c>
      <c r="BC61">
        <v>2010207</v>
      </c>
      <c r="BD61" t="s">
        <v>33</v>
      </c>
      <c r="BE61" t="s">
        <v>100</v>
      </c>
      <c r="BF61" t="s">
        <v>64</v>
      </c>
      <c r="BG61">
        <v>0</v>
      </c>
      <c r="BH61">
        <v>1000</v>
      </c>
      <c r="BI61">
        <v>550</v>
      </c>
      <c r="BJ61">
        <v>13000</v>
      </c>
      <c r="BK61">
        <v>105</v>
      </c>
      <c r="BL61">
        <v>420</v>
      </c>
      <c r="BM61">
        <v>0</v>
      </c>
      <c r="BN61">
        <v>270</v>
      </c>
      <c r="BO61">
        <v>0</v>
      </c>
      <c r="BP61">
        <v>0</v>
      </c>
      <c r="BQ61">
        <f>SUM(SimpleDashData88[[#This Row],[Convayance]:[Misc]])</f>
        <v>15345</v>
      </c>
      <c r="BR61">
        <v>3417</v>
      </c>
      <c r="BS61">
        <v>0</v>
      </c>
      <c r="BT61">
        <v>0</v>
      </c>
      <c r="BU61">
        <f>SUM(SimpleDashData88[[#This Row],[Male]:[Child]])</f>
        <v>3417</v>
      </c>
      <c r="BV61">
        <v>3417</v>
      </c>
      <c r="BW61">
        <v>17085</v>
      </c>
      <c r="BZ61">
        <f>SimpleDashData88[[#This Row],[Total Expense]]/SimpleDashData88[[#This Row],[Total Patients]]</f>
        <v>4.4907813871817384</v>
      </c>
      <c r="CA61">
        <v>0</v>
      </c>
    </row>
    <row r="62" spans="1:79" x14ac:dyDescent="0.3">
      <c r="A62">
        <v>51</v>
      </c>
      <c r="B62" t="str">
        <v>QCNM Peshawar, Central Prison</v>
      </c>
      <c r="C62" t="str">
        <v>Trust Act</v>
      </c>
      <c r="D62" t="str">
        <v>Capital Region</v>
      </c>
      <c r="E62" t="str">
        <v>Prison</v>
      </c>
      <c r="F62" s="2">
        <v>7710</v>
      </c>
      <c r="G62" s="2">
        <v>3554</v>
      </c>
      <c r="H62" s="13">
        <v>2.1693866066404053</v>
      </c>
      <c r="I62" s="13"/>
      <c r="BA62">
        <v>61</v>
      </c>
      <c r="BB62" s="27" t="s">
        <v>126</v>
      </c>
      <c r="BC62">
        <v>2010208</v>
      </c>
      <c r="BD62" t="s">
        <v>33</v>
      </c>
      <c r="BE62" t="s">
        <v>100</v>
      </c>
      <c r="BF62" t="s">
        <v>64</v>
      </c>
      <c r="BG62">
        <v>930</v>
      </c>
      <c r="BH62">
        <v>1000</v>
      </c>
      <c r="BI62">
        <v>780</v>
      </c>
      <c r="BJ62">
        <v>9110</v>
      </c>
      <c r="BK62">
        <v>0</v>
      </c>
      <c r="BL62">
        <v>595</v>
      </c>
      <c r="BM62">
        <v>0</v>
      </c>
      <c r="BN62">
        <v>1540</v>
      </c>
      <c r="BO62">
        <v>0</v>
      </c>
      <c r="BP62">
        <v>1560</v>
      </c>
      <c r="BQ62">
        <f>SUM(SimpleDashData88[[#This Row],[Convayance]:[Misc]])</f>
        <v>15515</v>
      </c>
      <c r="BR62">
        <v>2655</v>
      </c>
      <c r="BS62">
        <v>32</v>
      </c>
      <c r="BT62">
        <v>0</v>
      </c>
      <c r="BU62">
        <f>SUM(SimpleDashData88[[#This Row],[Male]:[Child]])</f>
        <v>2687</v>
      </c>
      <c r="BV62">
        <v>2687</v>
      </c>
      <c r="BW62">
        <v>13435</v>
      </c>
      <c r="BZ62">
        <f>SimpleDashData88[[#This Row],[Total Expense]]/SimpleDashData88[[#This Row],[Total Patients]]</f>
        <v>5.7740975065128399</v>
      </c>
      <c r="CA62">
        <v>0</v>
      </c>
    </row>
    <row r="63" spans="1:79" x14ac:dyDescent="0.3">
      <c r="A63">
        <v>52</v>
      </c>
      <c r="B63" t="str">
        <v>QCNM Sahiwal, High Security Prison</v>
      </c>
      <c r="C63" t="str">
        <v>Trust Act</v>
      </c>
      <c r="D63" t="str">
        <v>South &amp; North Punjab Region</v>
      </c>
      <c r="E63" t="str">
        <v>Prison</v>
      </c>
      <c r="F63" s="2">
        <v>7500</v>
      </c>
      <c r="G63" s="2">
        <v>2179</v>
      </c>
      <c r="H63" s="13">
        <v>3.4419458467186783</v>
      </c>
      <c r="I63" s="13"/>
      <c r="BA63">
        <v>62</v>
      </c>
      <c r="BB63" s="28" t="s">
        <v>127</v>
      </c>
      <c r="BC63">
        <v>2010254</v>
      </c>
      <c r="BD63" t="s">
        <v>33</v>
      </c>
      <c r="BE63" t="s">
        <v>100</v>
      </c>
      <c r="BF63" t="s">
        <v>64</v>
      </c>
      <c r="BG63">
        <v>0</v>
      </c>
      <c r="BH63">
        <v>1230</v>
      </c>
      <c r="BI63">
        <v>1230</v>
      </c>
      <c r="BJ63">
        <v>7590</v>
      </c>
      <c r="BK63">
        <v>300</v>
      </c>
      <c r="BL63">
        <v>740</v>
      </c>
      <c r="BM63">
        <v>0</v>
      </c>
      <c r="BN63">
        <v>515</v>
      </c>
      <c r="BO63">
        <v>505</v>
      </c>
      <c r="BP63">
        <v>0</v>
      </c>
      <c r="BQ63">
        <f>SUM(SimpleDashData88[[#This Row],[Convayance]:[Misc]])</f>
        <v>12110</v>
      </c>
      <c r="BR63">
        <v>2020</v>
      </c>
      <c r="BS63">
        <v>0</v>
      </c>
      <c r="BT63">
        <v>0</v>
      </c>
      <c r="BU63">
        <f>SUM(SimpleDashData88[[#This Row],[Male]:[Child]])</f>
        <v>2020</v>
      </c>
      <c r="BV63">
        <v>2020</v>
      </c>
      <c r="BW63">
        <v>10100</v>
      </c>
      <c r="BZ63">
        <f>SimpleDashData88[[#This Row],[Total Expense]]/SimpleDashData88[[#This Row],[Total Patients]]</f>
        <v>5.9950495049504955</v>
      </c>
      <c r="CA63">
        <v>0</v>
      </c>
    </row>
    <row r="64" spans="1:79" x14ac:dyDescent="0.3">
      <c r="A64">
        <v>53</v>
      </c>
      <c r="B64" t="str">
        <v>QCNM Layyah, District Jail</v>
      </c>
      <c r="C64" t="str">
        <v>Trust Act</v>
      </c>
      <c r="D64" t="str">
        <v>South &amp; North Punjab Region</v>
      </c>
      <c r="E64" t="str">
        <v>Prison</v>
      </c>
      <c r="F64" s="2">
        <v>7410</v>
      </c>
      <c r="G64" s="2">
        <v>2472</v>
      </c>
      <c r="H64" s="13">
        <v>2.9975728155339807</v>
      </c>
      <c r="I64" s="13"/>
      <c r="BA64">
        <v>63</v>
      </c>
      <c r="BB64" s="27" t="s">
        <v>128</v>
      </c>
      <c r="BC64">
        <v>2010224</v>
      </c>
      <c r="BD64" t="s">
        <v>33</v>
      </c>
      <c r="BE64" t="s">
        <v>100</v>
      </c>
      <c r="BF64" t="s">
        <v>64</v>
      </c>
      <c r="BG64">
        <v>0</v>
      </c>
      <c r="BH64">
        <v>1000</v>
      </c>
      <c r="BI64">
        <v>0</v>
      </c>
      <c r="BJ64">
        <v>11300</v>
      </c>
      <c r="BK64">
        <v>460</v>
      </c>
      <c r="BL64">
        <v>0</v>
      </c>
      <c r="BM64">
        <v>0</v>
      </c>
      <c r="BN64">
        <v>1510</v>
      </c>
      <c r="BO64">
        <v>0</v>
      </c>
      <c r="BP64">
        <v>1550</v>
      </c>
      <c r="BQ64">
        <f>SUM(SimpleDashData88[[#This Row],[Convayance]:[Misc]])</f>
        <v>15820</v>
      </c>
      <c r="BR64">
        <v>3419</v>
      </c>
      <c r="BS64">
        <v>0</v>
      </c>
      <c r="BT64">
        <v>0</v>
      </c>
      <c r="BU64">
        <f>SUM(SimpleDashData88[[#This Row],[Male]:[Child]])</f>
        <v>3419</v>
      </c>
      <c r="BV64">
        <v>3419</v>
      </c>
      <c r="BW64">
        <v>17095</v>
      </c>
      <c r="BZ64">
        <f>SimpleDashData88[[#This Row],[Total Expense]]/SimpleDashData88[[#This Row],[Total Patients]]</f>
        <v>4.6270839426732966</v>
      </c>
      <c r="CA64">
        <v>0</v>
      </c>
    </row>
    <row r="65" spans="1:79" x14ac:dyDescent="0.3">
      <c r="A65">
        <v>54</v>
      </c>
      <c r="B65" t="str">
        <v>QCNM Mianwali, Central Jail</v>
      </c>
      <c r="C65" t="str">
        <v>Trust Act</v>
      </c>
      <c r="D65" t="str">
        <v>South &amp; North Punjab Region</v>
      </c>
      <c r="E65" t="str">
        <v>Prison</v>
      </c>
      <c r="F65" s="2">
        <v>7325</v>
      </c>
      <c r="G65" s="2">
        <v>2358</v>
      </c>
      <c r="H65" s="13">
        <v>3.1064461407972859</v>
      </c>
      <c r="I65" s="13"/>
      <c r="BA65">
        <v>64</v>
      </c>
      <c r="BB65" s="27" t="s">
        <v>129</v>
      </c>
      <c r="BC65">
        <v>2010229</v>
      </c>
      <c r="BD65" t="s">
        <v>33</v>
      </c>
      <c r="BE65" t="s">
        <v>100</v>
      </c>
      <c r="BF65" t="s">
        <v>64</v>
      </c>
      <c r="BG65">
        <v>0</v>
      </c>
      <c r="BH65">
        <v>0</v>
      </c>
      <c r="BI65">
        <v>0</v>
      </c>
      <c r="BJ65">
        <v>14220</v>
      </c>
      <c r="BK65">
        <v>400</v>
      </c>
      <c r="BL65">
        <v>220</v>
      </c>
      <c r="BM65">
        <v>0</v>
      </c>
      <c r="BN65">
        <v>0</v>
      </c>
      <c r="BO65">
        <v>0</v>
      </c>
      <c r="BP65">
        <v>0</v>
      </c>
      <c r="BQ65">
        <f>SUM(SimpleDashData88[[#This Row],[Convayance]:[Misc]])</f>
        <v>14840</v>
      </c>
      <c r="BR65">
        <v>4871</v>
      </c>
      <c r="BS65">
        <v>0</v>
      </c>
      <c r="BT65">
        <v>0</v>
      </c>
      <c r="BU65">
        <f>SUM(SimpleDashData88[[#This Row],[Male]:[Child]])</f>
        <v>4871</v>
      </c>
      <c r="BV65">
        <v>4871</v>
      </c>
      <c r="BW65">
        <v>24355</v>
      </c>
      <c r="BZ65">
        <f>SimpleDashData88[[#This Row],[Total Expense]]/SimpleDashData88[[#This Row],[Total Patients]]</f>
        <v>3.0466023403818516</v>
      </c>
      <c r="CA65">
        <v>0</v>
      </c>
    </row>
    <row r="66" spans="1:79" x14ac:dyDescent="0.3">
      <c r="A66">
        <v>55</v>
      </c>
      <c r="B66" t="str">
        <v>QCNM Lahore, Al Mustafa Trust</v>
      </c>
      <c r="C66" t="str">
        <v>Trust Act</v>
      </c>
      <c r="D66" t="str">
        <v>Central Punjab Region</v>
      </c>
      <c r="E66" t="str">
        <v>Public</v>
      </c>
      <c r="F66" s="2">
        <v>7260</v>
      </c>
      <c r="G66" s="2">
        <v>344</v>
      </c>
      <c r="H66" s="13">
        <v>21.104651162790699</v>
      </c>
      <c r="I66" s="13"/>
      <c r="BA66">
        <v>65</v>
      </c>
      <c r="BB66" s="27" t="s">
        <v>130</v>
      </c>
      <c r="BC66">
        <v>2010256</v>
      </c>
      <c r="BD66" t="s">
        <v>33</v>
      </c>
      <c r="BE66" t="s">
        <v>100</v>
      </c>
      <c r="BF66" t="s">
        <v>64</v>
      </c>
      <c r="BG66">
        <v>0</v>
      </c>
      <c r="BH66">
        <v>950</v>
      </c>
      <c r="BI66">
        <v>0</v>
      </c>
      <c r="BJ66">
        <v>1475</v>
      </c>
      <c r="BK66">
        <v>0</v>
      </c>
      <c r="BL66">
        <v>0</v>
      </c>
      <c r="BM66">
        <v>0</v>
      </c>
      <c r="BN66">
        <v>620</v>
      </c>
      <c r="BO66">
        <v>500</v>
      </c>
      <c r="BP66">
        <v>0</v>
      </c>
      <c r="BQ66">
        <f>SUM(SimpleDashData88[[#This Row],[Convayance]:[Misc]])</f>
        <v>3545</v>
      </c>
      <c r="BR66">
        <v>3075</v>
      </c>
      <c r="BS66">
        <v>0</v>
      </c>
      <c r="BT66">
        <v>0</v>
      </c>
      <c r="BU66">
        <f>SUM(SimpleDashData88[[#This Row],[Male]:[Child]])</f>
        <v>3075</v>
      </c>
      <c r="BV66">
        <v>3075</v>
      </c>
      <c r="BW66">
        <v>15375</v>
      </c>
      <c r="BZ66">
        <f>SimpleDashData88[[#This Row],[Total Expense]]/SimpleDashData88[[#This Row],[Total Patients]]</f>
        <v>1.1528455284552845</v>
      </c>
      <c r="CA66">
        <v>0</v>
      </c>
    </row>
    <row r="67" spans="1:79" x14ac:dyDescent="0.3">
      <c r="A67">
        <v>56</v>
      </c>
      <c r="B67" t="str">
        <v>QCNM Karachi, Central Prison</v>
      </c>
      <c r="C67" t="str">
        <v>Trust Act</v>
      </c>
      <c r="D67" t="str">
        <v>Sindh, Balochistan &amp; AJK Region</v>
      </c>
      <c r="E67" t="str">
        <v>Prison</v>
      </c>
      <c r="F67" s="2">
        <v>7120</v>
      </c>
      <c r="G67" s="2">
        <v>1538</v>
      </c>
      <c r="H67" s="13">
        <v>4.6293888166449939</v>
      </c>
      <c r="I67" s="13"/>
      <c r="BA67">
        <v>66</v>
      </c>
      <c r="BB67" s="27" t="s">
        <v>131</v>
      </c>
      <c r="BD67" t="s">
        <v>33</v>
      </c>
      <c r="BE67" t="s">
        <v>100</v>
      </c>
      <c r="BF67" t="s">
        <v>64</v>
      </c>
      <c r="BG67">
        <v>4500</v>
      </c>
      <c r="BH67">
        <v>0</v>
      </c>
      <c r="BI67">
        <v>0</v>
      </c>
      <c r="BJ67">
        <v>0</v>
      </c>
      <c r="BK67">
        <v>0</v>
      </c>
      <c r="BL67">
        <v>400</v>
      </c>
      <c r="BM67">
        <v>0</v>
      </c>
      <c r="BN67">
        <v>0</v>
      </c>
      <c r="BO67">
        <v>0</v>
      </c>
      <c r="BP67">
        <v>0</v>
      </c>
      <c r="BQ67">
        <f>SUM(SimpleDashData88[[#This Row],[Convayance]:[Misc]])</f>
        <v>4900</v>
      </c>
      <c r="BR67">
        <v>0</v>
      </c>
      <c r="BS67">
        <v>67</v>
      </c>
      <c r="BT67">
        <v>3</v>
      </c>
      <c r="BU67">
        <f>SUM(SimpleDashData88[[#This Row],[Male]:[Child]])</f>
        <v>70</v>
      </c>
      <c r="BV67">
        <v>70</v>
      </c>
      <c r="BW67">
        <v>350</v>
      </c>
      <c r="BZ67">
        <f>SimpleDashData88[[#This Row],[Total Expense]]/SimpleDashData88[[#This Row],[Total Patients]]</f>
        <v>70</v>
      </c>
      <c r="CA67">
        <v>0</v>
      </c>
    </row>
    <row r="68" spans="1:79" x14ac:dyDescent="0.3">
      <c r="A68">
        <v>57</v>
      </c>
      <c r="B68" t="str">
        <v>QCNM High Security Prison Mianwali</v>
      </c>
      <c r="C68" t="str">
        <v>Trust Act</v>
      </c>
      <c r="D68" t="str">
        <v>South &amp; North Punjab Region</v>
      </c>
      <c r="E68" t="str">
        <v>Prison</v>
      </c>
      <c r="F68" s="2">
        <v>7090</v>
      </c>
      <c r="G68" s="2">
        <v>3270</v>
      </c>
      <c r="H68" s="13">
        <v>2.1681957186544341</v>
      </c>
      <c r="I68" s="13"/>
      <c r="BA68">
        <v>67</v>
      </c>
      <c r="BB68" s="27" t="s">
        <v>132</v>
      </c>
      <c r="BD68" t="s">
        <v>33</v>
      </c>
      <c r="BE68" t="s">
        <v>100</v>
      </c>
      <c r="BF68" t="s">
        <v>64</v>
      </c>
      <c r="BG68">
        <v>0</v>
      </c>
      <c r="BH68">
        <v>1592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f>SUM(SimpleDashData88[[#This Row],[Convayance]:[Misc]])</f>
        <v>1592</v>
      </c>
      <c r="BR68">
        <v>0</v>
      </c>
      <c r="BS68">
        <v>79</v>
      </c>
      <c r="BT68">
        <v>5</v>
      </c>
      <c r="BU68">
        <f>SUM(SimpleDashData88[[#This Row],[Male]:[Child]])</f>
        <v>84</v>
      </c>
      <c r="BV68">
        <v>84</v>
      </c>
      <c r="BW68">
        <v>420</v>
      </c>
      <c r="BZ68">
        <f>SimpleDashData88[[#This Row],[Total Expense]]/SimpleDashData88[[#This Row],[Total Patients]]</f>
        <v>18.952380952380953</v>
      </c>
      <c r="CA68">
        <v>0</v>
      </c>
    </row>
    <row r="69" spans="1:79" x14ac:dyDescent="0.3">
      <c r="A69">
        <v>58</v>
      </c>
      <c r="B69" t="str">
        <v>QCNM Bhakkar, District Jail</v>
      </c>
      <c r="C69" t="str">
        <v>Trust Act</v>
      </c>
      <c r="D69" t="str">
        <v>South &amp; North Punjab Region</v>
      </c>
      <c r="E69" t="str">
        <v>Prison</v>
      </c>
      <c r="F69" s="2">
        <v>7020</v>
      </c>
      <c r="G69" s="2">
        <v>2550</v>
      </c>
      <c r="H69" s="13">
        <v>2.7529411764705882</v>
      </c>
      <c r="I69" s="13"/>
      <c r="BA69">
        <v>68</v>
      </c>
      <c r="BB69" s="12" t="s">
        <v>133</v>
      </c>
      <c r="BC69">
        <v>2010245</v>
      </c>
      <c r="BD69" t="s">
        <v>33</v>
      </c>
      <c r="BE69" t="s">
        <v>100</v>
      </c>
      <c r="BF69" t="s">
        <v>64</v>
      </c>
      <c r="BG69">
        <v>0</v>
      </c>
      <c r="BH69">
        <v>0</v>
      </c>
      <c r="BI69">
        <v>0</v>
      </c>
      <c r="BJ69">
        <v>10780</v>
      </c>
      <c r="BK69">
        <v>440</v>
      </c>
      <c r="BL69">
        <v>1062</v>
      </c>
      <c r="BM69">
        <v>0</v>
      </c>
      <c r="BN69">
        <v>0</v>
      </c>
      <c r="BO69">
        <v>0</v>
      </c>
      <c r="BP69">
        <v>1000</v>
      </c>
      <c r="BQ69">
        <f>SUM(SimpleDashData88[[#This Row],[Convayance]:[Misc]])</f>
        <v>13282</v>
      </c>
      <c r="BR69">
        <v>2521</v>
      </c>
      <c r="BS69">
        <v>0</v>
      </c>
      <c r="BT69">
        <v>0</v>
      </c>
      <c r="BU69">
        <f>SUM(SimpleDashData88[[#This Row],[Male]:[Child]])</f>
        <v>2521</v>
      </c>
      <c r="BV69">
        <v>2521</v>
      </c>
      <c r="BW69">
        <v>12605</v>
      </c>
      <c r="BZ69">
        <f>SimpleDashData88[[#This Row],[Total Expense]]/SimpleDashData88[[#This Row],[Total Patients]]</f>
        <v>5.2685442284807618</v>
      </c>
      <c r="CA69">
        <v>0</v>
      </c>
    </row>
    <row r="70" spans="1:79" x14ac:dyDescent="0.3">
      <c r="A70">
        <v>59</v>
      </c>
      <c r="B70" t="str">
        <v>QCNM Multan, Central Jail</v>
      </c>
      <c r="C70" t="str">
        <v>Trust Act</v>
      </c>
      <c r="D70" t="str">
        <v>South &amp; North Punjab Region</v>
      </c>
      <c r="E70" t="str">
        <v>Prison</v>
      </c>
      <c r="F70" s="2">
        <v>6960</v>
      </c>
      <c r="G70" s="2">
        <v>2568</v>
      </c>
      <c r="H70" s="13">
        <v>2.7102803738317758</v>
      </c>
      <c r="I70" s="13"/>
      <c r="BA70">
        <v>69</v>
      </c>
      <c r="BB70" s="12" t="s">
        <v>134</v>
      </c>
      <c r="BD70" t="s">
        <v>33</v>
      </c>
      <c r="BE70" t="s">
        <v>135</v>
      </c>
      <c r="BF70" t="s">
        <v>35</v>
      </c>
      <c r="BG70">
        <v>1300</v>
      </c>
      <c r="BH70">
        <v>1000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f>SUM(SimpleDashData88[[#This Row],[Convayance]:[Misc]])</f>
        <v>2300</v>
      </c>
      <c r="BR70">
        <v>649</v>
      </c>
      <c r="BS70">
        <v>641</v>
      </c>
      <c r="BT70">
        <v>337</v>
      </c>
      <c r="BU70">
        <f>SUM(SimpleDashData88[[#This Row],[Male]:[Child]])</f>
        <v>1627</v>
      </c>
      <c r="BV70">
        <v>1627</v>
      </c>
      <c r="BW70">
        <v>8135</v>
      </c>
      <c r="BZ70">
        <f>SimpleDashData88[[#This Row],[Total Expense]]/SimpleDashData88[[#This Row],[Total Patients]]</f>
        <v>1.4136447449293177</v>
      </c>
      <c r="CA70">
        <v>0</v>
      </c>
    </row>
    <row r="71" spans="1:79" x14ac:dyDescent="0.3">
      <c r="A71">
        <v>60</v>
      </c>
      <c r="B71" t="str">
        <v>QCNM Mirpur Central Jail</v>
      </c>
      <c r="C71" t="str">
        <v>Society Act</v>
      </c>
      <c r="D71" t="str">
        <v>Sindh, Balochistan &amp; AJK Region</v>
      </c>
      <c r="E71" t="str">
        <v>Prison</v>
      </c>
      <c r="F71" s="2">
        <v>6940</v>
      </c>
      <c r="G71" s="2">
        <v>1533</v>
      </c>
      <c r="H71" s="13">
        <v>4.5270711024135686</v>
      </c>
      <c r="I71" s="13"/>
      <c r="BA71">
        <v>70</v>
      </c>
      <c r="BB71" s="12" t="s">
        <v>136</v>
      </c>
      <c r="BD71" t="s">
        <v>33</v>
      </c>
      <c r="BE71" t="s">
        <v>135</v>
      </c>
      <c r="BF71" t="s">
        <v>35</v>
      </c>
      <c r="BG71">
        <v>4644</v>
      </c>
      <c r="BH71">
        <v>1000</v>
      </c>
      <c r="BI71">
        <v>0</v>
      </c>
      <c r="BJ71">
        <v>5400</v>
      </c>
      <c r="BK71">
        <v>1020</v>
      </c>
      <c r="BL71">
        <v>500</v>
      </c>
      <c r="BM71">
        <v>0</v>
      </c>
      <c r="BN71">
        <v>220</v>
      </c>
      <c r="BO71">
        <v>0</v>
      </c>
      <c r="BP71">
        <v>0</v>
      </c>
      <c r="BQ71">
        <f>SUM(SimpleDashData88[[#This Row],[Convayance]:[Misc]])</f>
        <v>12784</v>
      </c>
      <c r="BR71">
        <v>1369</v>
      </c>
      <c r="BS71">
        <v>1033</v>
      </c>
      <c r="BT71">
        <v>345</v>
      </c>
      <c r="BU71">
        <f>SUM(SimpleDashData88[[#This Row],[Male]:[Child]])</f>
        <v>2747</v>
      </c>
      <c r="BV71">
        <v>2747</v>
      </c>
      <c r="BW71">
        <v>13735</v>
      </c>
      <c r="BZ71">
        <f>SimpleDashData88[[#This Row],[Total Expense]]/SimpleDashData88[[#This Row],[Total Patients]]</f>
        <v>4.6538041499817986</v>
      </c>
      <c r="CA71">
        <v>0</v>
      </c>
    </row>
    <row r="72" spans="1:79" x14ac:dyDescent="0.3">
      <c r="A72">
        <v>61</v>
      </c>
      <c r="B72" t="str">
        <v>QCNM Aas Rehabilitation Centre</v>
      </c>
      <c r="C72" t="str">
        <v>Trust Act</v>
      </c>
      <c r="D72" t="str">
        <v>Central Punjab Region</v>
      </c>
      <c r="E72" t="str">
        <v>Public</v>
      </c>
      <c r="F72" s="2">
        <v>6926</v>
      </c>
      <c r="G72" s="2">
        <v>58</v>
      </c>
      <c r="H72" s="13">
        <v>119.41379310344827</v>
      </c>
      <c r="I72" s="13"/>
      <c r="BA72">
        <v>71</v>
      </c>
      <c r="BB72" s="12" t="s">
        <v>137</v>
      </c>
      <c r="BD72" t="s">
        <v>33</v>
      </c>
      <c r="BE72" t="s">
        <v>135</v>
      </c>
      <c r="BF72" t="s">
        <v>35</v>
      </c>
      <c r="BG72">
        <v>8996</v>
      </c>
      <c r="BH72">
        <v>0</v>
      </c>
      <c r="BI72">
        <v>2150</v>
      </c>
      <c r="BJ72">
        <v>5900</v>
      </c>
      <c r="BK72">
        <v>1090</v>
      </c>
      <c r="BL72">
        <v>280</v>
      </c>
      <c r="BM72">
        <v>5000</v>
      </c>
      <c r="BN72">
        <v>570</v>
      </c>
      <c r="BO72">
        <v>3895</v>
      </c>
      <c r="BP72">
        <v>25000</v>
      </c>
      <c r="BQ72">
        <f>SUM(SimpleDashData88[[#This Row],[Convayance]:[Misc]])</f>
        <v>52881</v>
      </c>
      <c r="BR72">
        <v>1383</v>
      </c>
      <c r="BS72">
        <v>1142</v>
      </c>
      <c r="BT72">
        <v>414</v>
      </c>
      <c r="BU72">
        <f>SUM(SimpleDashData88[[#This Row],[Male]:[Child]])</f>
        <v>2939</v>
      </c>
      <c r="BV72">
        <v>2939</v>
      </c>
      <c r="BW72">
        <v>14695</v>
      </c>
      <c r="BZ72">
        <f>SimpleDashData88[[#This Row],[Total Expense]]/SimpleDashData88[[#This Row],[Total Patients]]</f>
        <v>17.99285471248724</v>
      </c>
      <c r="CA72">
        <v>0</v>
      </c>
    </row>
    <row r="73" spans="1:79" x14ac:dyDescent="0.3">
      <c r="A73">
        <v>62</v>
      </c>
      <c r="B73" t="str">
        <v>QCNM Rahim Yar Khan, District Jail</v>
      </c>
      <c r="C73" t="str">
        <v>Trust Act</v>
      </c>
      <c r="D73" t="str">
        <v>South &amp; North Punjab Region</v>
      </c>
      <c r="E73" t="str">
        <v>Prison</v>
      </c>
      <c r="F73" s="2">
        <v>6765</v>
      </c>
      <c r="G73" s="2">
        <v>1575</v>
      </c>
      <c r="H73" s="13">
        <v>4.2952380952380951</v>
      </c>
      <c r="I73" s="13"/>
      <c r="BA73">
        <v>72</v>
      </c>
      <c r="BB73" s="12" t="s">
        <v>138</v>
      </c>
      <c r="BD73" t="s">
        <v>33</v>
      </c>
      <c r="BE73" t="s">
        <v>135</v>
      </c>
      <c r="BF73" t="s">
        <v>35</v>
      </c>
      <c r="BG73">
        <v>0</v>
      </c>
      <c r="BH73">
        <v>0</v>
      </c>
      <c r="BI73">
        <v>0</v>
      </c>
      <c r="BJ73">
        <v>6100</v>
      </c>
      <c r="BK73">
        <v>1045</v>
      </c>
      <c r="BL73">
        <v>540</v>
      </c>
      <c r="BM73">
        <v>0</v>
      </c>
      <c r="BN73">
        <v>980</v>
      </c>
      <c r="BO73">
        <v>0</v>
      </c>
      <c r="BP73">
        <v>0</v>
      </c>
      <c r="BQ73">
        <f>SUM(SimpleDashData88[[#This Row],[Convayance]:[Misc]])</f>
        <v>8665</v>
      </c>
      <c r="BR73">
        <v>1829</v>
      </c>
      <c r="BS73">
        <v>755</v>
      </c>
      <c r="BT73">
        <v>495</v>
      </c>
      <c r="BU73">
        <f>SUM(SimpleDashData88[[#This Row],[Male]:[Child]])</f>
        <v>3079</v>
      </c>
      <c r="BV73">
        <v>3079</v>
      </c>
      <c r="BW73">
        <v>15395</v>
      </c>
      <c r="BZ73">
        <f>SimpleDashData88[[#This Row],[Total Expense]]/SimpleDashData88[[#This Row],[Total Patients]]</f>
        <v>2.8142253978564469</v>
      </c>
      <c r="CA73">
        <v>0</v>
      </c>
    </row>
    <row r="74" spans="1:79" x14ac:dyDescent="0.3">
      <c r="A74">
        <v>63</v>
      </c>
      <c r="B74" t="str">
        <v>QCNM Nowshera, Sub Jail</v>
      </c>
      <c r="C74" t="str">
        <v>Trust Act</v>
      </c>
      <c r="D74" t="str">
        <v>Capital Region</v>
      </c>
      <c r="E74" t="str">
        <v>Prison</v>
      </c>
      <c r="F74" s="2">
        <v>6475</v>
      </c>
      <c r="G74" s="2">
        <v>1757</v>
      </c>
      <c r="H74" s="13">
        <v>3.6852589641434261</v>
      </c>
      <c r="I74" s="13"/>
      <c r="BA74">
        <v>73</v>
      </c>
      <c r="BB74" s="12" t="s">
        <v>139</v>
      </c>
      <c r="BD74" t="s">
        <v>33</v>
      </c>
      <c r="BE74" t="s">
        <v>135</v>
      </c>
      <c r="BF74" t="s">
        <v>35</v>
      </c>
      <c r="BG74">
        <v>9800</v>
      </c>
      <c r="BH74">
        <v>1000</v>
      </c>
      <c r="BI74">
        <v>5800</v>
      </c>
      <c r="BJ74">
        <v>0</v>
      </c>
      <c r="BK74">
        <v>610</v>
      </c>
      <c r="BL74">
        <v>500</v>
      </c>
      <c r="BM74">
        <v>0</v>
      </c>
      <c r="BN74">
        <v>1100</v>
      </c>
      <c r="BO74">
        <v>0</v>
      </c>
      <c r="BP74">
        <v>0</v>
      </c>
      <c r="BQ74">
        <f>SUM(SimpleDashData88[[#This Row],[Convayance]:[Misc]])</f>
        <v>18810</v>
      </c>
      <c r="BR74">
        <v>796</v>
      </c>
      <c r="BS74">
        <v>869</v>
      </c>
      <c r="BT74">
        <v>337</v>
      </c>
      <c r="BU74">
        <f>SUM(SimpleDashData88[[#This Row],[Male]:[Child]])</f>
        <v>2002</v>
      </c>
      <c r="BV74">
        <v>2002</v>
      </c>
      <c r="BW74">
        <v>10010</v>
      </c>
      <c r="BZ74">
        <f>SimpleDashData88[[#This Row],[Total Expense]]/SimpleDashData88[[#This Row],[Total Patients]]</f>
        <v>9.395604395604396</v>
      </c>
      <c r="CA74">
        <v>0</v>
      </c>
    </row>
    <row r="75" spans="1:79" x14ac:dyDescent="0.3">
      <c r="A75">
        <v>64</v>
      </c>
      <c r="B75" t="str">
        <v>QCNM Attock, District Jail</v>
      </c>
      <c r="C75" t="str">
        <v>Trust Act</v>
      </c>
      <c r="D75" t="str">
        <v>South &amp; North Punjab Region</v>
      </c>
      <c r="E75" t="str">
        <v>Prison</v>
      </c>
      <c r="F75" s="2">
        <v>6330</v>
      </c>
      <c r="G75" s="2">
        <v>3019</v>
      </c>
      <c r="H75" s="13">
        <v>2.0967207684663798</v>
      </c>
      <c r="I75" s="13"/>
      <c r="BA75">
        <v>74</v>
      </c>
      <c r="BB75" s="12" t="s">
        <v>140</v>
      </c>
      <c r="BD75" t="s">
        <v>33</v>
      </c>
      <c r="BE75" t="s">
        <v>135</v>
      </c>
      <c r="BF75" t="s">
        <v>35</v>
      </c>
      <c r="BG75">
        <v>12600</v>
      </c>
      <c r="BH75">
        <v>0</v>
      </c>
      <c r="BI75">
        <v>0</v>
      </c>
      <c r="BJ75">
        <v>0</v>
      </c>
      <c r="BK75">
        <v>510</v>
      </c>
      <c r="BL75">
        <v>370</v>
      </c>
      <c r="BM75">
        <v>1200</v>
      </c>
      <c r="BN75">
        <v>0</v>
      </c>
      <c r="BO75">
        <v>1500</v>
      </c>
      <c r="BP75">
        <v>0</v>
      </c>
      <c r="BQ75">
        <f>SUM(SimpleDashData88[[#This Row],[Convayance]:[Misc]])</f>
        <v>16180</v>
      </c>
      <c r="BR75">
        <v>908</v>
      </c>
      <c r="BS75">
        <v>647</v>
      </c>
      <c r="BT75">
        <v>227</v>
      </c>
      <c r="BU75">
        <f>SUM(SimpleDashData88[[#This Row],[Male]:[Child]])</f>
        <v>1782</v>
      </c>
      <c r="BV75">
        <v>1782</v>
      </c>
      <c r="BW75">
        <v>8910</v>
      </c>
      <c r="BZ75">
        <f>SimpleDashData88[[#This Row],[Total Expense]]/SimpleDashData88[[#This Row],[Total Patients]]</f>
        <v>9.0796857463524123</v>
      </c>
      <c r="CA75">
        <v>0</v>
      </c>
    </row>
    <row r="76" spans="1:79" x14ac:dyDescent="0.3">
      <c r="A76">
        <v>65</v>
      </c>
      <c r="B76" t="str">
        <v>QCNM D.G Khan, Central Jail</v>
      </c>
      <c r="C76" t="str">
        <v>Trust Act</v>
      </c>
      <c r="D76" t="str">
        <v>South &amp; North Punjab Region</v>
      </c>
      <c r="E76" t="str">
        <v>Prison</v>
      </c>
      <c r="F76" s="2">
        <v>6310</v>
      </c>
      <c r="G76" s="2">
        <v>2844</v>
      </c>
      <c r="H76" s="13">
        <v>2.218706047819972</v>
      </c>
      <c r="I76" s="13"/>
      <c r="BA76">
        <v>75</v>
      </c>
      <c r="BB76" s="12" t="s">
        <v>141</v>
      </c>
      <c r="BD76" t="s">
        <v>33</v>
      </c>
      <c r="BE76" t="s">
        <v>135</v>
      </c>
      <c r="BF76" t="s">
        <v>35</v>
      </c>
      <c r="BG76">
        <v>9300</v>
      </c>
      <c r="BH76">
        <v>14950</v>
      </c>
      <c r="BI76">
        <v>0</v>
      </c>
      <c r="BJ76">
        <v>1700</v>
      </c>
      <c r="BK76">
        <v>0</v>
      </c>
      <c r="BL76">
        <v>100</v>
      </c>
      <c r="BM76">
        <v>650</v>
      </c>
      <c r="BN76">
        <v>750</v>
      </c>
      <c r="BO76">
        <v>1000</v>
      </c>
      <c r="BP76">
        <v>500</v>
      </c>
      <c r="BQ76">
        <f>SUM(SimpleDashData88[[#This Row],[Convayance]:[Misc]])</f>
        <v>28950</v>
      </c>
      <c r="BR76">
        <v>1003</v>
      </c>
      <c r="BS76">
        <v>850</v>
      </c>
      <c r="BT76">
        <v>356</v>
      </c>
      <c r="BU76">
        <f>SUM(SimpleDashData88[[#This Row],[Male]:[Child]])</f>
        <v>2209</v>
      </c>
      <c r="BV76">
        <v>2209</v>
      </c>
      <c r="BW76">
        <v>11045</v>
      </c>
      <c r="BZ76">
        <f>SimpleDashData88[[#This Row],[Total Expense]]/SimpleDashData88[[#This Row],[Total Patients]]</f>
        <v>13.105477591670439</v>
      </c>
      <c r="CA76">
        <v>0</v>
      </c>
    </row>
    <row r="77" spans="1:79" x14ac:dyDescent="0.3">
      <c r="A77">
        <v>66</v>
      </c>
      <c r="B77" t="str">
        <v>QCNM Kasur, District Jail</v>
      </c>
      <c r="C77" t="str">
        <v>Trust Act</v>
      </c>
      <c r="D77" t="str">
        <v>Central Punjab Region</v>
      </c>
      <c r="E77" t="str">
        <v>Prison</v>
      </c>
      <c r="F77" s="2">
        <v>6085</v>
      </c>
      <c r="G77" s="2">
        <v>3237</v>
      </c>
      <c r="H77" s="13">
        <v>1.8798270003089279</v>
      </c>
      <c r="I77" s="13"/>
      <c r="BA77">
        <v>76</v>
      </c>
      <c r="BB77" s="12" t="s">
        <v>142</v>
      </c>
      <c r="BD77" t="s">
        <v>33</v>
      </c>
      <c r="BE77" t="s">
        <v>135</v>
      </c>
      <c r="BF77" t="s">
        <v>64</v>
      </c>
      <c r="BG77">
        <v>0</v>
      </c>
      <c r="BH77">
        <v>0</v>
      </c>
      <c r="BI77">
        <v>0</v>
      </c>
      <c r="BJ77">
        <v>5090</v>
      </c>
      <c r="BK77">
        <v>1240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f>SUM(SimpleDashData88[[#This Row],[Convayance]:[Misc]])</f>
        <v>6330</v>
      </c>
      <c r="BR77">
        <v>3019</v>
      </c>
      <c r="BS77">
        <v>0</v>
      </c>
      <c r="BT77">
        <v>0</v>
      </c>
      <c r="BU77">
        <f>SUM(SimpleDashData88[[#This Row],[Male]:[Child]])</f>
        <v>3019</v>
      </c>
      <c r="BV77">
        <v>3019</v>
      </c>
      <c r="BW77">
        <v>15095</v>
      </c>
      <c r="BZ77">
        <f>SimpleDashData88[[#This Row],[Total Expense]]/SimpleDashData88[[#This Row],[Total Patients]]</f>
        <v>2.0967207684663798</v>
      </c>
      <c r="CA77">
        <v>0</v>
      </c>
    </row>
    <row r="78" spans="1:79" x14ac:dyDescent="0.3">
      <c r="A78">
        <v>67</v>
      </c>
      <c r="B78" t="str">
        <v>QCNM Sahiwal, Central Jail</v>
      </c>
      <c r="C78" t="str">
        <v>Trust Act</v>
      </c>
      <c r="D78" t="str">
        <v>South &amp; North Punjab Region</v>
      </c>
      <c r="E78" t="str">
        <v>Prison</v>
      </c>
      <c r="F78" s="2">
        <v>5970</v>
      </c>
      <c r="G78" s="2">
        <v>2955</v>
      </c>
      <c r="H78" s="13">
        <v>2.0203045685279188</v>
      </c>
      <c r="I78" s="13"/>
      <c r="BA78">
        <v>77</v>
      </c>
      <c r="BB78" s="12" t="s">
        <v>143</v>
      </c>
      <c r="BD78" t="s">
        <v>33</v>
      </c>
      <c r="BE78" t="s">
        <v>135</v>
      </c>
      <c r="BF78" t="s">
        <v>64</v>
      </c>
      <c r="BG78">
        <v>0</v>
      </c>
      <c r="BH78">
        <v>0</v>
      </c>
      <c r="BI78">
        <v>0</v>
      </c>
      <c r="BJ78">
        <v>3500</v>
      </c>
      <c r="BK78">
        <v>105</v>
      </c>
      <c r="BL78">
        <v>0</v>
      </c>
      <c r="BM78">
        <v>0</v>
      </c>
      <c r="BN78">
        <v>710</v>
      </c>
      <c r="BO78">
        <v>0</v>
      </c>
      <c r="BP78">
        <v>110</v>
      </c>
      <c r="BQ78">
        <f>SUM(SimpleDashData88[[#This Row],[Convayance]:[Misc]])</f>
        <v>4425</v>
      </c>
      <c r="BR78">
        <v>1319</v>
      </c>
      <c r="BS78">
        <v>99</v>
      </c>
      <c r="BT78">
        <v>111</v>
      </c>
      <c r="BU78">
        <f>SUM(SimpleDashData88[[#This Row],[Male]:[Child]])</f>
        <v>1529</v>
      </c>
      <c r="BV78">
        <v>1529</v>
      </c>
      <c r="BW78">
        <v>7645</v>
      </c>
      <c r="BZ78">
        <f>SimpleDashData88[[#This Row],[Total Expense]]/SimpleDashData88[[#This Row],[Total Patients]]</f>
        <v>2.8940483976455198</v>
      </c>
      <c r="CA78">
        <v>0</v>
      </c>
    </row>
    <row r="79" spans="1:79" x14ac:dyDescent="0.3">
      <c r="A79">
        <v>68</v>
      </c>
      <c r="B79" t="str">
        <v>QCNM Okara, District Jail</v>
      </c>
      <c r="C79" t="str">
        <v>Trust Act</v>
      </c>
      <c r="D79" t="str">
        <v>South &amp; North Punjab Region</v>
      </c>
      <c r="E79" t="str">
        <v>Prison</v>
      </c>
      <c r="F79" s="2">
        <v>5775</v>
      </c>
      <c r="G79" s="2">
        <v>1769</v>
      </c>
      <c r="H79" s="13">
        <v>3.2645562464669307</v>
      </c>
      <c r="I79" s="13"/>
      <c r="BA79">
        <v>78</v>
      </c>
      <c r="BB79" s="12" t="s">
        <v>144</v>
      </c>
      <c r="BD79" t="s">
        <v>33</v>
      </c>
      <c r="BE79" t="s">
        <v>135</v>
      </c>
      <c r="BF79" t="s">
        <v>64</v>
      </c>
      <c r="BG79">
        <v>2900</v>
      </c>
      <c r="BH79">
        <v>0</v>
      </c>
      <c r="BI79">
        <v>0</v>
      </c>
      <c r="BJ79">
        <v>9450</v>
      </c>
      <c r="BK79">
        <v>600</v>
      </c>
      <c r="BL79">
        <v>900</v>
      </c>
      <c r="BM79">
        <v>0</v>
      </c>
      <c r="BN79">
        <v>0</v>
      </c>
      <c r="BO79">
        <v>0</v>
      </c>
      <c r="BP79">
        <v>0</v>
      </c>
      <c r="BQ79">
        <f>SUM(SimpleDashData88[[#This Row],[Convayance]:[Misc]])</f>
        <v>13850</v>
      </c>
      <c r="BR79">
        <v>3346</v>
      </c>
      <c r="BS79">
        <v>0</v>
      </c>
      <c r="BT79">
        <v>0</v>
      </c>
      <c r="BU79">
        <f>SUM(SimpleDashData88[[#This Row],[Male]:[Child]])</f>
        <v>3346</v>
      </c>
      <c r="BV79">
        <v>3346</v>
      </c>
      <c r="BW79">
        <v>16730</v>
      </c>
      <c r="BZ79">
        <f>SimpleDashData88[[#This Row],[Total Expense]]/SimpleDashData88[[#This Row],[Total Patients]]</f>
        <v>4.1392707710699339</v>
      </c>
      <c r="CA79">
        <v>0</v>
      </c>
    </row>
    <row r="80" spans="1:79" x14ac:dyDescent="0.3">
      <c r="A80">
        <v>69</v>
      </c>
      <c r="B80" t="str">
        <v>QCNM Women Jail Karachi</v>
      </c>
      <c r="C80" t="str">
        <v>Trust Act</v>
      </c>
      <c r="D80" t="str">
        <v>Sindh, Balochistan &amp; AJK Region</v>
      </c>
      <c r="E80" t="str">
        <v>Prison</v>
      </c>
      <c r="F80" s="2">
        <v>5759</v>
      </c>
      <c r="G80" s="2">
        <v>747</v>
      </c>
      <c r="H80" s="13">
        <v>7.7095046854082998</v>
      </c>
      <c r="I80" s="13"/>
      <c r="BA80">
        <v>79</v>
      </c>
      <c r="BB80" s="12" t="s">
        <v>145</v>
      </c>
      <c r="BD80" t="s">
        <v>33</v>
      </c>
      <c r="BE80" t="s">
        <v>135</v>
      </c>
      <c r="BF80" t="s">
        <v>64</v>
      </c>
      <c r="BG80">
        <v>0</v>
      </c>
      <c r="BH80">
        <v>0</v>
      </c>
      <c r="BI80">
        <v>0</v>
      </c>
      <c r="BJ80">
        <v>280</v>
      </c>
      <c r="BK80">
        <v>510</v>
      </c>
      <c r="BL80">
        <v>200</v>
      </c>
      <c r="BM80">
        <v>0</v>
      </c>
      <c r="BN80">
        <v>90</v>
      </c>
      <c r="BO80">
        <v>0</v>
      </c>
      <c r="BP80">
        <v>0</v>
      </c>
      <c r="BQ80">
        <f>SUM(SimpleDashData88[[#This Row],[Convayance]:[Misc]])</f>
        <v>1080</v>
      </c>
      <c r="BR80">
        <v>841</v>
      </c>
      <c r="BS80">
        <v>0</v>
      </c>
      <c r="BT80">
        <v>0</v>
      </c>
      <c r="BU80">
        <f>SUM(SimpleDashData88[[#This Row],[Male]:[Child]])</f>
        <v>841</v>
      </c>
      <c r="BV80">
        <v>841</v>
      </c>
      <c r="BW80">
        <v>4205</v>
      </c>
      <c r="BZ80">
        <f>SimpleDashData88[[#This Row],[Total Expense]]/SimpleDashData88[[#This Row],[Total Patients]]</f>
        <v>1.2841854934601664</v>
      </c>
      <c r="CA80">
        <v>0</v>
      </c>
    </row>
    <row r="81" spans="1:79" x14ac:dyDescent="0.3">
      <c r="A81">
        <v>70</v>
      </c>
      <c r="B81" t="str">
        <v>QCNM Buner Central Prison</v>
      </c>
      <c r="C81" t="str">
        <v>Trust Act</v>
      </c>
      <c r="D81" t="str">
        <v>Capital Region</v>
      </c>
      <c r="E81" t="str">
        <v>Prison</v>
      </c>
      <c r="F81" s="2">
        <v>5520</v>
      </c>
      <c r="G81" s="2">
        <v>1480</v>
      </c>
      <c r="H81" s="13">
        <v>3.7297297297297298</v>
      </c>
      <c r="I81" s="13"/>
      <c r="BA81">
        <v>80</v>
      </c>
      <c r="BB81" s="12" t="s">
        <v>146</v>
      </c>
      <c r="BD81" t="s">
        <v>33</v>
      </c>
      <c r="BE81" t="s">
        <v>135</v>
      </c>
      <c r="BF81" t="s">
        <v>64</v>
      </c>
      <c r="BG81">
        <v>0</v>
      </c>
      <c r="BH81">
        <v>0</v>
      </c>
      <c r="BI81">
        <v>0</v>
      </c>
      <c r="BJ81">
        <v>8100</v>
      </c>
      <c r="BK81">
        <v>610</v>
      </c>
      <c r="BL81">
        <v>300</v>
      </c>
      <c r="BM81">
        <v>0</v>
      </c>
      <c r="BN81">
        <v>0</v>
      </c>
      <c r="BO81">
        <v>0</v>
      </c>
      <c r="BP81">
        <v>0</v>
      </c>
      <c r="BQ81">
        <f>SUM(SimpleDashData88[[#This Row],[Convayance]:[Misc]])</f>
        <v>9010</v>
      </c>
      <c r="BR81">
        <v>2537</v>
      </c>
      <c r="BS81">
        <v>0</v>
      </c>
      <c r="BT81">
        <v>0</v>
      </c>
      <c r="BU81">
        <f>SUM(SimpleDashData88[[#This Row],[Male]:[Child]])</f>
        <v>2537</v>
      </c>
      <c r="BV81">
        <v>2537</v>
      </c>
      <c r="BW81">
        <v>12685</v>
      </c>
      <c r="BZ81">
        <f>SimpleDashData88[[#This Row],[Total Expense]]/SimpleDashData88[[#This Row],[Total Patients]]</f>
        <v>3.5514387071344107</v>
      </c>
      <c r="CA81">
        <v>0</v>
      </c>
    </row>
    <row r="82" spans="1:79" x14ac:dyDescent="0.3">
      <c r="A82">
        <v>71</v>
      </c>
      <c r="B82" t="str">
        <v>QCNM Khanewal, District Jail</v>
      </c>
      <c r="C82" t="str">
        <v>Trust Act</v>
      </c>
      <c r="D82" t="str">
        <v>South &amp; North Punjab Region</v>
      </c>
      <c r="E82" t="str">
        <v>Prison</v>
      </c>
      <c r="F82" s="2">
        <v>5480</v>
      </c>
      <c r="G82" s="2">
        <v>2250</v>
      </c>
      <c r="H82" s="13">
        <v>2.4355555555555557</v>
      </c>
      <c r="I82" s="13"/>
      <c r="BA82">
        <v>81</v>
      </c>
      <c r="BB82" s="12" t="s">
        <v>147</v>
      </c>
      <c r="BD82" t="s">
        <v>33</v>
      </c>
      <c r="BE82" t="s">
        <v>135</v>
      </c>
      <c r="BF82" t="s">
        <v>64</v>
      </c>
      <c r="BG82">
        <v>990</v>
      </c>
      <c r="BH82">
        <v>0</v>
      </c>
      <c r="BI82">
        <v>0</v>
      </c>
      <c r="BJ82">
        <v>5460</v>
      </c>
      <c r="BK82">
        <v>495</v>
      </c>
      <c r="BL82">
        <v>380</v>
      </c>
      <c r="BM82">
        <v>0</v>
      </c>
      <c r="BN82">
        <v>0</v>
      </c>
      <c r="BO82">
        <v>0</v>
      </c>
      <c r="BP82">
        <v>0</v>
      </c>
      <c r="BQ82">
        <f>SUM(SimpleDashData88[[#This Row],[Convayance]:[Misc]])</f>
        <v>7325</v>
      </c>
      <c r="BR82">
        <v>2238</v>
      </c>
      <c r="BS82">
        <v>120</v>
      </c>
      <c r="BT82">
        <v>0</v>
      </c>
      <c r="BU82">
        <f>SUM(SimpleDashData88[[#This Row],[Male]:[Child]])</f>
        <v>2358</v>
      </c>
      <c r="BV82">
        <v>2358</v>
      </c>
      <c r="BW82">
        <v>11790</v>
      </c>
      <c r="BZ82">
        <f>SimpleDashData88[[#This Row],[Total Expense]]/SimpleDashData88[[#This Row],[Total Patients]]</f>
        <v>3.1064461407972859</v>
      </c>
      <c r="CA82">
        <v>0</v>
      </c>
    </row>
    <row r="83" spans="1:79" x14ac:dyDescent="0.3">
      <c r="A83">
        <v>72</v>
      </c>
      <c r="B83" t="str">
        <v>QCNM Central Jail Zohb</v>
      </c>
      <c r="C83" t="str">
        <v>U/S 42</v>
      </c>
      <c r="D83" t="str">
        <v>Sindh, Balochistan &amp; AJK Region</v>
      </c>
      <c r="E83" t="str">
        <v>Prison</v>
      </c>
      <c r="F83" s="2">
        <v>5480</v>
      </c>
      <c r="G83" s="2">
        <v>2292</v>
      </c>
      <c r="H83" s="13">
        <v>2.3909249563699824</v>
      </c>
      <c r="I83" s="13"/>
      <c r="BA83">
        <v>82</v>
      </c>
      <c r="BB83" s="12" t="s">
        <v>148</v>
      </c>
      <c r="BD83" t="s">
        <v>33</v>
      </c>
      <c r="BE83" t="s">
        <v>135</v>
      </c>
      <c r="BF83" t="s">
        <v>64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f>SUM(SimpleDashData88[[#This Row],[Convayance]:[Misc]])</f>
        <v>0</v>
      </c>
      <c r="BR83">
        <v>0</v>
      </c>
      <c r="BS83">
        <v>0</v>
      </c>
      <c r="BT83">
        <v>0</v>
      </c>
      <c r="BU83">
        <f>SUM(SimpleDashData88[[#This Row],[Male]:[Child]])</f>
        <v>0</v>
      </c>
      <c r="BV83">
        <v>0</v>
      </c>
      <c r="BW83">
        <v>0</v>
      </c>
      <c r="BZ83" t="e">
        <f>SimpleDashData88[[#This Row],[Total Expense]]/SimpleDashData88[[#This Row],[Total Patients]]</f>
        <v>#DIV/0!</v>
      </c>
      <c r="CA83">
        <v>0</v>
      </c>
    </row>
    <row r="84" spans="1:79" x14ac:dyDescent="0.3">
      <c r="A84">
        <v>73</v>
      </c>
      <c r="B84" t="str">
        <v>QCNM Sardar Bahdur Khan University</v>
      </c>
      <c r="C84" t="str">
        <v>Trust Act</v>
      </c>
      <c r="D84" t="str">
        <v>Sindh, Balochistan &amp; AJK Region</v>
      </c>
      <c r="E84" t="str">
        <v>Public</v>
      </c>
      <c r="F84" s="2">
        <v>5350</v>
      </c>
      <c r="G84" s="2">
        <v>1251</v>
      </c>
      <c r="H84" s="13">
        <v>4.276578737010392</v>
      </c>
      <c r="I84" s="13"/>
      <c r="BA84">
        <v>83</v>
      </c>
      <c r="BB84" s="12" t="s">
        <v>149</v>
      </c>
      <c r="BD84" t="s">
        <v>33</v>
      </c>
      <c r="BE84" t="s">
        <v>135</v>
      </c>
      <c r="BF84" t="s">
        <v>64</v>
      </c>
      <c r="BG84">
        <v>0</v>
      </c>
      <c r="BH84">
        <v>0</v>
      </c>
      <c r="BI84">
        <v>0</v>
      </c>
      <c r="BJ84">
        <v>8550</v>
      </c>
      <c r="BK84">
        <v>1120</v>
      </c>
      <c r="BL84">
        <v>0</v>
      </c>
      <c r="BM84">
        <v>0</v>
      </c>
      <c r="BN84">
        <v>0</v>
      </c>
      <c r="BO84">
        <v>1000</v>
      </c>
      <c r="BP84">
        <v>0</v>
      </c>
      <c r="BQ84">
        <f>SUM(SimpleDashData88[[#This Row],[Convayance]:[Misc]])</f>
        <v>10670</v>
      </c>
      <c r="BR84">
        <v>3038</v>
      </c>
      <c r="BS84">
        <v>47</v>
      </c>
      <c r="BT84">
        <v>0</v>
      </c>
      <c r="BU84">
        <f>SUM(SimpleDashData88[[#This Row],[Male]:[Child]])</f>
        <v>3085</v>
      </c>
      <c r="BV84">
        <v>3085</v>
      </c>
      <c r="BW84">
        <v>15425</v>
      </c>
      <c r="BZ84">
        <f>SimpleDashData88[[#This Row],[Total Expense]]/SimpleDashData88[[#This Row],[Total Patients]]</f>
        <v>3.4586709886547813</v>
      </c>
      <c r="CA84">
        <v>0</v>
      </c>
    </row>
    <row r="85" spans="1:79" x14ac:dyDescent="0.3">
      <c r="A85">
        <v>74</v>
      </c>
      <c r="B85" t="str">
        <v>QCNM Swabi, Sub Jail</v>
      </c>
      <c r="C85" t="str">
        <v>Trust Act</v>
      </c>
      <c r="D85" t="str">
        <v>Capital Region</v>
      </c>
      <c r="E85" t="str">
        <v>Prison</v>
      </c>
      <c r="F85" s="2">
        <v>5075</v>
      </c>
      <c r="G85" s="2">
        <v>1204</v>
      </c>
      <c r="H85" s="13">
        <v>4.2151162790697674</v>
      </c>
      <c r="I85" s="13"/>
      <c r="BA85">
        <v>84</v>
      </c>
      <c r="BB85" s="12" t="s">
        <v>150</v>
      </c>
      <c r="BD85" t="s">
        <v>33</v>
      </c>
      <c r="BE85" t="s">
        <v>135</v>
      </c>
      <c r="BF85" t="s">
        <v>64</v>
      </c>
      <c r="BG85">
        <v>0</v>
      </c>
      <c r="BH85">
        <v>0</v>
      </c>
      <c r="BI85">
        <v>500</v>
      </c>
      <c r="BJ85">
        <v>8130</v>
      </c>
      <c r="BK85">
        <v>475</v>
      </c>
      <c r="BL85">
        <v>0</v>
      </c>
      <c r="BM85">
        <v>0</v>
      </c>
      <c r="BN85">
        <v>1040</v>
      </c>
      <c r="BO85">
        <v>0</v>
      </c>
      <c r="BP85">
        <v>0</v>
      </c>
      <c r="BQ85">
        <f>SUM(SimpleDashData88[[#This Row],[Convayance]:[Misc]])</f>
        <v>10145</v>
      </c>
      <c r="BR85">
        <v>2432</v>
      </c>
      <c r="BS85">
        <v>0</v>
      </c>
      <c r="BT85">
        <v>0</v>
      </c>
      <c r="BU85">
        <f>SUM(SimpleDashData88[[#This Row],[Male]:[Child]])</f>
        <v>2432</v>
      </c>
      <c r="BV85">
        <v>2432</v>
      </c>
      <c r="BW85">
        <v>12160</v>
      </c>
      <c r="BZ85">
        <f>SimpleDashData88[[#This Row],[Total Expense]]/SimpleDashData88[[#This Row],[Total Patients]]</f>
        <v>4.1714638157894735</v>
      </c>
      <c r="CA85">
        <v>0</v>
      </c>
    </row>
    <row r="86" spans="1:79" x14ac:dyDescent="0.3">
      <c r="A86">
        <v>75</v>
      </c>
      <c r="B86" t="str">
        <v>QCNM Jhang, District Jail</v>
      </c>
      <c r="C86" t="str">
        <v>Trust Act</v>
      </c>
      <c r="D86" t="str">
        <v>Central Punjab Region</v>
      </c>
      <c r="E86" t="str">
        <v>Prison</v>
      </c>
      <c r="F86" s="2">
        <v>5070</v>
      </c>
      <c r="G86" s="2">
        <v>3245</v>
      </c>
      <c r="H86" s="13">
        <v>1.5624036979969183</v>
      </c>
      <c r="I86" s="13"/>
      <c r="BA86">
        <v>85</v>
      </c>
      <c r="BB86" s="12" t="s">
        <v>151</v>
      </c>
      <c r="BD86" t="s">
        <v>33</v>
      </c>
      <c r="BE86" t="s">
        <v>135</v>
      </c>
      <c r="BF86" t="s">
        <v>64</v>
      </c>
      <c r="BG86">
        <v>0</v>
      </c>
      <c r="BH86">
        <v>1000</v>
      </c>
      <c r="BI86">
        <v>0</v>
      </c>
      <c r="BJ86">
        <v>4600</v>
      </c>
      <c r="BK86">
        <v>550</v>
      </c>
      <c r="BL86">
        <v>520</v>
      </c>
      <c r="BM86">
        <v>0</v>
      </c>
      <c r="BN86">
        <v>420</v>
      </c>
      <c r="BO86">
        <v>0</v>
      </c>
      <c r="BP86">
        <v>0</v>
      </c>
      <c r="BQ86">
        <f>SUM(SimpleDashData88[[#This Row],[Convayance]:[Misc]])</f>
        <v>7090</v>
      </c>
      <c r="BR86">
        <v>3270</v>
      </c>
      <c r="BS86">
        <v>0</v>
      </c>
      <c r="BT86">
        <v>0</v>
      </c>
      <c r="BU86">
        <f>SUM(SimpleDashData88[[#This Row],[Male]:[Child]])</f>
        <v>3270</v>
      </c>
      <c r="BV86">
        <v>3270</v>
      </c>
      <c r="BW86">
        <v>16350</v>
      </c>
      <c r="BZ86">
        <f>SimpleDashData88[[#This Row],[Total Expense]]/SimpleDashData88[[#This Row],[Total Patients]]</f>
        <v>2.1681957186544341</v>
      </c>
      <c r="CA86">
        <v>0</v>
      </c>
    </row>
    <row r="87" spans="1:79" x14ac:dyDescent="0.3">
      <c r="A87">
        <v>76</v>
      </c>
      <c r="B87" t="str">
        <v>QCNM Lahore, Women Central Jail</v>
      </c>
      <c r="C87" t="str">
        <v>Trust Act</v>
      </c>
      <c r="D87" t="str">
        <v>Central Punjab Region</v>
      </c>
      <c r="E87" t="str">
        <v>Prison</v>
      </c>
      <c r="F87" s="2">
        <v>4900</v>
      </c>
      <c r="G87" s="2">
        <v>70</v>
      </c>
      <c r="H87" s="13">
        <v>70</v>
      </c>
      <c r="I87" s="13"/>
      <c r="BA87">
        <v>86</v>
      </c>
      <c r="BB87" s="12" t="s">
        <v>152</v>
      </c>
      <c r="BD87" t="s">
        <v>33</v>
      </c>
      <c r="BE87" t="s">
        <v>135</v>
      </c>
      <c r="BF87" t="s">
        <v>64</v>
      </c>
      <c r="BG87">
        <v>0</v>
      </c>
      <c r="BH87">
        <v>1000</v>
      </c>
      <c r="BI87">
        <v>0</v>
      </c>
      <c r="BJ87">
        <v>1530</v>
      </c>
      <c r="BK87">
        <v>0</v>
      </c>
      <c r="BL87">
        <v>130</v>
      </c>
      <c r="BM87">
        <v>0</v>
      </c>
      <c r="BN87">
        <v>630</v>
      </c>
      <c r="BO87">
        <v>0</v>
      </c>
      <c r="BP87">
        <v>0</v>
      </c>
      <c r="BQ87">
        <f>SUM(SimpleDashData88[[#This Row],[Convayance]:[Misc]])</f>
        <v>3290</v>
      </c>
      <c r="BR87">
        <v>3309</v>
      </c>
      <c r="BS87">
        <v>0</v>
      </c>
      <c r="BT87">
        <v>0</v>
      </c>
      <c r="BU87">
        <f>SUM(SimpleDashData88[[#This Row],[Male]:[Child]])</f>
        <v>3309</v>
      </c>
      <c r="BV87">
        <v>3309</v>
      </c>
      <c r="BW87">
        <v>16545</v>
      </c>
      <c r="BZ87">
        <f>SimpleDashData88[[#This Row],[Total Expense]]/SimpleDashData88[[#This Row],[Total Patients]]</f>
        <v>0.99425808401329707</v>
      </c>
      <c r="CA87">
        <v>0</v>
      </c>
    </row>
    <row r="88" spans="1:79" x14ac:dyDescent="0.3">
      <c r="A88">
        <v>77</v>
      </c>
      <c r="B88" t="str">
        <v>QCNM Faisalabad, GCU (New Campus)</v>
      </c>
      <c r="C88" t="str">
        <v>Trust Act</v>
      </c>
      <c r="D88" t="str">
        <v>Central Punjab Region</v>
      </c>
      <c r="E88" t="str">
        <v>Public</v>
      </c>
      <c r="F88" s="2">
        <v>4866</v>
      </c>
      <c r="G88" s="2">
        <v>758</v>
      </c>
      <c r="H88" s="13">
        <v>6.4195250659630609</v>
      </c>
      <c r="I88" s="13"/>
      <c r="BA88">
        <v>87</v>
      </c>
      <c r="BB88" s="12" t="s">
        <v>153</v>
      </c>
      <c r="BD88" t="s">
        <v>33</v>
      </c>
      <c r="BE88" t="s">
        <v>135</v>
      </c>
      <c r="BF88" t="s">
        <v>64</v>
      </c>
      <c r="BG88">
        <v>0</v>
      </c>
      <c r="BH88">
        <v>0</v>
      </c>
      <c r="BI88">
        <v>0</v>
      </c>
      <c r="BJ88">
        <v>600</v>
      </c>
      <c r="BK88">
        <v>0</v>
      </c>
      <c r="BL88">
        <v>120</v>
      </c>
      <c r="BM88">
        <v>0</v>
      </c>
      <c r="BN88">
        <v>150</v>
      </c>
      <c r="BO88">
        <v>0</v>
      </c>
      <c r="BP88">
        <v>0</v>
      </c>
      <c r="BQ88">
        <f>SUM(SimpleDashData88[[#This Row],[Convayance]:[Misc]])</f>
        <v>870</v>
      </c>
      <c r="BR88">
        <v>496</v>
      </c>
      <c r="BS88">
        <v>21</v>
      </c>
      <c r="BT88">
        <v>22</v>
      </c>
      <c r="BU88">
        <f>SUM(SimpleDashData88[[#This Row],[Male]:[Child]])</f>
        <v>539</v>
      </c>
      <c r="BV88">
        <v>539</v>
      </c>
      <c r="BW88">
        <v>2695</v>
      </c>
      <c r="BZ88">
        <f>SimpleDashData88[[#This Row],[Total Expense]]/SimpleDashData88[[#This Row],[Total Patients]]</f>
        <v>1.6141001855287569</v>
      </c>
      <c r="CA88">
        <v>0</v>
      </c>
    </row>
    <row r="89" spans="1:79" x14ac:dyDescent="0.3">
      <c r="A89">
        <v>78</v>
      </c>
      <c r="B89" t="str">
        <v>QCNM Haripur, Central Jail</v>
      </c>
      <c r="C89" t="str">
        <v>Trust Act</v>
      </c>
      <c r="D89" t="str">
        <v>Capital Region</v>
      </c>
      <c r="E89" t="str">
        <v>Prison</v>
      </c>
      <c r="F89" s="2">
        <v>4760</v>
      </c>
      <c r="G89" s="2">
        <v>1139</v>
      </c>
      <c r="H89" s="13">
        <v>4.1791044776119399</v>
      </c>
      <c r="I89" s="13"/>
      <c r="BA89">
        <v>88</v>
      </c>
      <c r="BB89" s="12" t="s">
        <v>154</v>
      </c>
      <c r="BD89" t="s">
        <v>33</v>
      </c>
      <c r="BE89" t="s">
        <v>135</v>
      </c>
      <c r="BF89" t="s">
        <v>64</v>
      </c>
      <c r="BG89">
        <v>0</v>
      </c>
      <c r="BH89">
        <v>0</v>
      </c>
      <c r="BI89">
        <v>0</v>
      </c>
      <c r="BJ89">
        <v>15900</v>
      </c>
      <c r="BK89">
        <v>0</v>
      </c>
      <c r="BL89">
        <v>390</v>
      </c>
      <c r="BM89">
        <v>0</v>
      </c>
      <c r="BN89">
        <v>640</v>
      </c>
      <c r="BO89">
        <v>1000</v>
      </c>
      <c r="BP89">
        <v>0</v>
      </c>
      <c r="BQ89">
        <f>SUM(SimpleDashData88[[#This Row],[Convayance]:[Misc]])</f>
        <v>17930</v>
      </c>
      <c r="BR89">
        <v>3077</v>
      </c>
      <c r="BS89">
        <v>10</v>
      </c>
      <c r="BT89">
        <v>17</v>
      </c>
      <c r="BU89">
        <f>SUM(SimpleDashData88[[#This Row],[Male]:[Child]])</f>
        <v>3104</v>
      </c>
      <c r="BV89">
        <v>3104</v>
      </c>
      <c r="BW89">
        <v>15520</v>
      </c>
      <c r="BZ89">
        <f>SimpleDashData88[[#This Row],[Total Expense]]/SimpleDashData88[[#This Row],[Total Patients]]</f>
        <v>5.776417525773196</v>
      </c>
      <c r="CA89">
        <v>0</v>
      </c>
    </row>
    <row r="90" spans="1:79" x14ac:dyDescent="0.3">
      <c r="A90">
        <v>79</v>
      </c>
      <c r="B90" t="str">
        <v>QCNM Islamabad, Police line</v>
      </c>
      <c r="C90" t="str">
        <v>Trust Act</v>
      </c>
      <c r="D90" t="str">
        <v>Capital Region</v>
      </c>
      <c r="E90" t="str">
        <v>Public</v>
      </c>
      <c r="F90" s="2">
        <v>4580</v>
      </c>
      <c r="G90" s="2">
        <v>710</v>
      </c>
      <c r="H90" s="13">
        <v>6.450704225352113</v>
      </c>
      <c r="I90" s="13"/>
      <c r="BA90">
        <v>89</v>
      </c>
      <c r="BB90" s="12" t="s">
        <v>155</v>
      </c>
      <c r="BD90" t="s">
        <v>33</v>
      </c>
      <c r="BE90" t="s">
        <v>135</v>
      </c>
      <c r="BF90" t="s">
        <v>64</v>
      </c>
      <c r="BG90">
        <v>0</v>
      </c>
      <c r="BH90">
        <v>0</v>
      </c>
      <c r="BI90">
        <v>0</v>
      </c>
      <c r="BJ90">
        <v>6720</v>
      </c>
      <c r="BK90">
        <v>300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f>SUM(SimpleDashData88[[#This Row],[Convayance]:[Misc]])</f>
        <v>7020</v>
      </c>
      <c r="BR90">
        <v>2550</v>
      </c>
      <c r="BS90">
        <v>0</v>
      </c>
      <c r="BT90">
        <v>0</v>
      </c>
      <c r="BU90">
        <f>SUM(SimpleDashData88[[#This Row],[Male]:[Child]])</f>
        <v>2550</v>
      </c>
      <c r="BV90">
        <v>2550</v>
      </c>
      <c r="BW90">
        <v>12750</v>
      </c>
      <c r="BZ90">
        <f>SimpleDashData88[[#This Row],[Total Expense]]/SimpleDashData88[[#This Row],[Total Patients]]</f>
        <v>2.7529411764705882</v>
      </c>
      <c r="CA90">
        <v>0</v>
      </c>
    </row>
    <row r="91" spans="1:79" x14ac:dyDescent="0.3">
      <c r="A91">
        <v>80</v>
      </c>
      <c r="B91" t="str">
        <v>QCNM Timergara, District Jail</v>
      </c>
      <c r="C91" t="str">
        <v>Trust Act</v>
      </c>
      <c r="D91" t="str">
        <v>Capital Region</v>
      </c>
      <c r="E91" t="str">
        <v>Prison</v>
      </c>
      <c r="F91" s="2">
        <v>4520</v>
      </c>
      <c r="G91" s="2">
        <v>2037</v>
      </c>
      <c r="H91" s="13">
        <v>2.2189494354442809</v>
      </c>
      <c r="I91" s="13"/>
      <c r="BA91">
        <v>90</v>
      </c>
      <c r="BB91" s="12" t="s">
        <v>156</v>
      </c>
      <c r="BD91" t="s">
        <v>33</v>
      </c>
      <c r="BE91" t="s">
        <v>135</v>
      </c>
      <c r="BF91" t="s">
        <v>64</v>
      </c>
      <c r="BG91">
        <v>0</v>
      </c>
      <c r="BH91">
        <v>0</v>
      </c>
      <c r="BI91">
        <v>4300</v>
      </c>
      <c r="BJ91">
        <v>600</v>
      </c>
      <c r="BK91">
        <v>300</v>
      </c>
      <c r="BL91">
        <v>0</v>
      </c>
      <c r="BM91">
        <v>0</v>
      </c>
      <c r="BN91">
        <v>1110</v>
      </c>
      <c r="BO91">
        <v>0</v>
      </c>
      <c r="BP91">
        <v>0</v>
      </c>
      <c r="BQ91">
        <f>SUM(SimpleDashData88[[#This Row],[Convayance]:[Misc]])</f>
        <v>6310</v>
      </c>
      <c r="BR91">
        <v>2844</v>
      </c>
      <c r="BS91">
        <v>0</v>
      </c>
      <c r="BT91">
        <v>0</v>
      </c>
      <c r="BU91">
        <f>SUM(SimpleDashData88[[#This Row],[Male]:[Child]])</f>
        <v>2844</v>
      </c>
      <c r="BV91">
        <v>2844</v>
      </c>
      <c r="BW91">
        <v>14220</v>
      </c>
      <c r="BZ91">
        <f>SimpleDashData88[[#This Row],[Total Expense]]/SimpleDashData88[[#This Row],[Total Patients]]</f>
        <v>2.218706047819972</v>
      </c>
      <c r="CA91">
        <v>0</v>
      </c>
    </row>
    <row r="92" spans="1:79" x14ac:dyDescent="0.3">
      <c r="A92">
        <v>81</v>
      </c>
      <c r="B92" t="str">
        <v>QCNM Jehlum, District Jail</v>
      </c>
      <c r="C92" t="str">
        <v>Trust Act</v>
      </c>
      <c r="D92" t="str">
        <v>South &amp; North Punjab Region</v>
      </c>
      <c r="E92" t="str">
        <v>Prison</v>
      </c>
      <c r="F92" s="2">
        <v>4425</v>
      </c>
      <c r="G92" s="2">
        <v>1529</v>
      </c>
      <c r="H92" s="13">
        <v>2.8940483976455198</v>
      </c>
      <c r="I92" s="13"/>
      <c r="BA92">
        <v>91</v>
      </c>
      <c r="BB92" s="12" t="s">
        <v>157</v>
      </c>
      <c r="BD92" t="s">
        <v>33</v>
      </c>
      <c r="BE92" t="s">
        <v>135</v>
      </c>
      <c r="BF92" t="s">
        <v>64</v>
      </c>
      <c r="BG92">
        <v>0</v>
      </c>
      <c r="BH92">
        <v>1140</v>
      </c>
      <c r="BI92">
        <v>0</v>
      </c>
      <c r="BJ92">
        <v>2420</v>
      </c>
      <c r="BK92">
        <v>1020</v>
      </c>
      <c r="BL92">
        <v>200</v>
      </c>
      <c r="BM92">
        <v>0</v>
      </c>
      <c r="BN92">
        <v>700</v>
      </c>
      <c r="BO92">
        <v>0</v>
      </c>
      <c r="BP92">
        <v>0</v>
      </c>
      <c r="BQ92">
        <f>SUM(SimpleDashData88[[#This Row],[Convayance]:[Misc]])</f>
        <v>5480</v>
      </c>
      <c r="BR92">
        <v>2250</v>
      </c>
      <c r="BS92">
        <v>0</v>
      </c>
      <c r="BT92">
        <v>0</v>
      </c>
      <c r="BU92">
        <f>SUM(SimpleDashData88[[#This Row],[Male]:[Child]])</f>
        <v>2250</v>
      </c>
      <c r="BV92">
        <v>2250</v>
      </c>
      <c r="BW92">
        <v>11250</v>
      </c>
      <c r="BZ92">
        <f>SimpleDashData88[[#This Row],[Total Expense]]/SimpleDashData88[[#This Row],[Total Patients]]</f>
        <v>2.4355555555555557</v>
      </c>
      <c r="CA92">
        <v>0</v>
      </c>
    </row>
    <row r="93" spans="1:79" x14ac:dyDescent="0.3">
      <c r="A93">
        <v>82</v>
      </c>
      <c r="B93" t="str">
        <v>QCNM Faisalabad, District Jail</v>
      </c>
      <c r="C93" t="str">
        <v>Trust Act</v>
      </c>
      <c r="D93" t="str">
        <v>Central Punjab Region</v>
      </c>
      <c r="E93" t="str">
        <v>Prison</v>
      </c>
      <c r="F93" s="2">
        <v>4380</v>
      </c>
      <c r="G93" s="2">
        <v>3149</v>
      </c>
      <c r="H93" s="13">
        <v>1.390917751667196</v>
      </c>
      <c r="I93" s="13"/>
      <c r="BA93">
        <v>92</v>
      </c>
      <c r="BB93" s="12" t="s">
        <v>158</v>
      </c>
      <c r="BD93" t="s">
        <v>33</v>
      </c>
      <c r="BE93" t="s">
        <v>135</v>
      </c>
      <c r="BF93" t="s">
        <v>64</v>
      </c>
      <c r="BG93">
        <v>5380</v>
      </c>
      <c r="BH93">
        <v>1000</v>
      </c>
      <c r="BI93">
        <v>0</v>
      </c>
      <c r="BJ93">
        <v>0</v>
      </c>
      <c r="BK93">
        <v>570</v>
      </c>
      <c r="BL93">
        <v>0</v>
      </c>
      <c r="BM93">
        <v>0</v>
      </c>
      <c r="BN93">
        <v>0</v>
      </c>
      <c r="BO93">
        <v>460</v>
      </c>
      <c r="BP93">
        <v>0</v>
      </c>
      <c r="BQ93">
        <f>SUM(SimpleDashData88[[#This Row],[Convayance]:[Misc]])</f>
        <v>7410</v>
      </c>
      <c r="BR93">
        <v>2472</v>
      </c>
      <c r="BS93">
        <v>0</v>
      </c>
      <c r="BT93">
        <v>0</v>
      </c>
      <c r="BU93">
        <f>SUM(SimpleDashData88[[#This Row],[Male]:[Child]])</f>
        <v>2472</v>
      </c>
      <c r="BV93">
        <v>2472</v>
      </c>
      <c r="BW93">
        <v>12360</v>
      </c>
      <c r="BZ93">
        <f>SimpleDashData88[[#This Row],[Total Expense]]/SimpleDashData88[[#This Row],[Total Patients]]</f>
        <v>2.9975728155339807</v>
      </c>
      <c r="CA93">
        <v>0</v>
      </c>
    </row>
    <row r="94" spans="1:79" x14ac:dyDescent="0.3">
      <c r="A94">
        <v>83</v>
      </c>
      <c r="B94" t="str">
        <v>QCNM Abottabad, District Jail</v>
      </c>
      <c r="C94" t="str">
        <v>Trust Act</v>
      </c>
      <c r="D94" t="str">
        <v>Capital Region</v>
      </c>
      <c r="E94" t="str">
        <v>Prison</v>
      </c>
      <c r="F94" s="2">
        <v>4130</v>
      </c>
      <c r="G94" s="2">
        <v>1896</v>
      </c>
      <c r="H94" s="13">
        <v>2.178270042194093</v>
      </c>
      <c r="I94" s="13"/>
      <c r="BA94">
        <v>93</v>
      </c>
      <c r="BB94" s="12" t="s">
        <v>159</v>
      </c>
      <c r="BD94" t="s">
        <v>33</v>
      </c>
      <c r="BE94" t="s">
        <v>135</v>
      </c>
      <c r="BF94" t="s">
        <v>64</v>
      </c>
      <c r="BG94">
        <v>0</v>
      </c>
      <c r="BH94">
        <v>0</v>
      </c>
      <c r="BI94">
        <v>1000</v>
      </c>
      <c r="BJ94">
        <v>6850</v>
      </c>
      <c r="BK94">
        <v>500</v>
      </c>
      <c r="BL94">
        <v>1570</v>
      </c>
      <c r="BM94">
        <v>0</v>
      </c>
      <c r="BN94">
        <v>1020</v>
      </c>
      <c r="BO94">
        <v>0</v>
      </c>
      <c r="BP94">
        <v>0</v>
      </c>
      <c r="BQ94">
        <f>SUM(SimpleDashData88[[#This Row],[Convayance]:[Misc]])</f>
        <v>10940</v>
      </c>
      <c r="BR94">
        <v>3019</v>
      </c>
      <c r="BS94">
        <v>0</v>
      </c>
      <c r="BT94">
        <v>0</v>
      </c>
      <c r="BU94">
        <f>SUM(SimpleDashData88[[#This Row],[Male]:[Child]])</f>
        <v>3019</v>
      </c>
      <c r="BV94">
        <v>3019</v>
      </c>
      <c r="BW94">
        <v>15095</v>
      </c>
      <c r="BZ94">
        <f>SimpleDashData88[[#This Row],[Total Expense]]/SimpleDashData88[[#This Row],[Total Patients]]</f>
        <v>3.62371646240477</v>
      </c>
      <c r="CA94">
        <v>0</v>
      </c>
    </row>
    <row r="95" spans="1:79" x14ac:dyDescent="0.3">
      <c r="A95">
        <v>84</v>
      </c>
      <c r="B95" t="str">
        <v>QCNM Khairpur, Central Jail</v>
      </c>
      <c r="C95" t="str">
        <v>Trust Act</v>
      </c>
      <c r="D95" t="str">
        <v>Sindh, Balochistan &amp; AJK Region</v>
      </c>
      <c r="E95" t="str">
        <v>Prison</v>
      </c>
      <c r="F95" s="2">
        <v>3650</v>
      </c>
      <c r="G95" s="2">
        <v>1778</v>
      </c>
      <c r="H95" s="13">
        <v>2.0528683914510686</v>
      </c>
      <c r="I95" s="13"/>
      <c r="BA95">
        <v>94</v>
      </c>
      <c r="BB95" s="12" t="s">
        <v>160</v>
      </c>
      <c r="BD95" t="s">
        <v>33</v>
      </c>
      <c r="BE95" t="s">
        <v>135</v>
      </c>
      <c r="BF95" t="s">
        <v>64</v>
      </c>
      <c r="BG95">
        <v>2200</v>
      </c>
      <c r="BH95">
        <v>1020</v>
      </c>
      <c r="BI95">
        <v>0</v>
      </c>
      <c r="BJ95">
        <v>0</v>
      </c>
      <c r="BK95">
        <v>1120</v>
      </c>
      <c r="BL95">
        <v>490</v>
      </c>
      <c r="BM95">
        <v>0</v>
      </c>
      <c r="BN95">
        <v>2130</v>
      </c>
      <c r="BO95">
        <v>0</v>
      </c>
      <c r="BP95">
        <v>0</v>
      </c>
      <c r="BQ95">
        <f>SUM(SimpleDashData88[[#This Row],[Convayance]:[Misc]])</f>
        <v>6960</v>
      </c>
      <c r="BR95">
        <v>2568</v>
      </c>
      <c r="BS95">
        <v>0</v>
      </c>
      <c r="BT95">
        <v>0</v>
      </c>
      <c r="BU95">
        <f>SUM(SimpleDashData88[[#This Row],[Male]:[Child]])</f>
        <v>2568</v>
      </c>
      <c r="BV95">
        <v>2568</v>
      </c>
      <c r="BW95">
        <v>12840</v>
      </c>
      <c r="BZ95">
        <f>SimpleDashData88[[#This Row],[Total Expense]]/SimpleDashData88[[#This Row],[Total Patients]]</f>
        <v>2.7102803738317758</v>
      </c>
      <c r="CA95">
        <v>0</v>
      </c>
    </row>
    <row r="96" spans="1:79" x14ac:dyDescent="0.3">
      <c r="A96">
        <v>85</v>
      </c>
      <c r="B96" t="str">
        <v>QCNM Toba Tek singh,District Jail</v>
      </c>
      <c r="C96" t="str">
        <v>Trust Act</v>
      </c>
      <c r="D96" t="str">
        <v>Central Punjab Region</v>
      </c>
      <c r="E96" t="str">
        <v>Prison</v>
      </c>
      <c r="F96" s="2">
        <v>3545</v>
      </c>
      <c r="G96" s="2">
        <v>3075</v>
      </c>
      <c r="H96" s="13">
        <v>1.1528455284552845</v>
      </c>
      <c r="I96" s="13"/>
      <c r="BA96">
        <v>95</v>
      </c>
      <c r="BB96" s="12" t="s">
        <v>161</v>
      </c>
      <c r="BD96" t="s">
        <v>33</v>
      </c>
      <c r="BE96" t="s">
        <v>135</v>
      </c>
      <c r="BF96" t="s">
        <v>64</v>
      </c>
      <c r="BG96">
        <v>5300</v>
      </c>
      <c r="BH96">
        <v>0</v>
      </c>
      <c r="BI96">
        <v>0</v>
      </c>
      <c r="BJ96">
        <v>5500</v>
      </c>
      <c r="BK96">
        <v>1090</v>
      </c>
      <c r="BL96">
        <v>110</v>
      </c>
      <c r="BM96">
        <v>0</v>
      </c>
      <c r="BN96">
        <v>0</v>
      </c>
      <c r="BO96">
        <v>0</v>
      </c>
      <c r="BP96">
        <v>0</v>
      </c>
      <c r="BQ96">
        <f>SUM(SimpleDashData88[[#This Row],[Convayance]:[Misc]])</f>
        <v>12000</v>
      </c>
      <c r="BR96">
        <v>2026</v>
      </c>
      <c r="BS96">
        <v>0</v>
      </c>
      <c r="BT96">
        <v>0</v>
      </c>
      <c r="BU96">
        <f>SUM(SimpleDashData88[[#This Row],[Male]:[Child]])</f>
        <v>2026</v>
      </c>
      <c r="BV96">
        <v>2026</v>
      </c>
      <c r="BW96">
        <v>10130</v>
      </c>
      <c r="BZ96">
        <f>SimpleDashData88[[#This Row],[Total Expense]]/SimpleDashData88[[#This Row],[Total Patients]]</f>
        <v>5.923000987166831</v>
      </c>
      <c r="CA96">
        <v>0</v>
      </c>
    </row>
    <row r="97" spans="1:79" x14ac:dyDescent="0.3">
      <c r="A97">
        <v>86</v>
      </c>
      <c r="B97" t="str">
        <v>QCNM Loralai</v>
      </c>
      <c r="C97" t="str">
        <v>Trust Act</v>
      </c>
      <c r="D97" t="str">
        <v>Sindh, Balochistan &amp; AJK Region</v>
      </c>
      <c r="E97" t="str">
        <v>Public</v>
      </c>
      <c r="F97" s="2">
        <v>3500</v>
      </c>
      <c r="G97" s="2">
        <v>1411</v>
      </c>
      <c r="H97" s="13">
        <v>2.4805102763997167</v>
      </c>
      <c r="I97" s="13"/>
      <c r="BA97">
        <v>96</v>
      </c>
      <c r="BB97" s="12" t="s">
        <v>162</v>
      </c>
      <c r="BD97" t="s">
        <v>33</v>
      </c>
      <c r="BE97" t="s">
        <v>135</v>
      </c>
      <c r="BF97" t="s">
        <v>64</v>
      </c>
      <c r="BG97">
        <v>1000</v>
      </c>
      <c r="BH97">
        <v>0</v>
      </c>
      <c r="BI97">
        <v>980</v>
      </c>
      <c r="BJ97">
        <v>8320</v>
      </c>
      <c r="BK97">
        <v>1080</v>
      </c>
      <c r="BL97">
        <v>1165</v>
      </c>
      <c r="BM97">
        <v>0</v>
      </c>
      <c r="BN97">
        <v>290</v>
      </c>
      <c r="BO97">
        <v>0</v>
      </c>
      <c r="BP97">
        <v>1370</v>
      </c>
      <c r="BQ97">
        <f>SUM(SimpleDashData88[[#This Row],[Convayance]:[Misc]])</f>
        <v>14205</v>
      </c>
      <c r="BR97">
        <v>2369</v>
      </c>
      <c r="BS97">
        <v>6</v>
      </c>
      <c r="BT97">
        <v>0</v>
      </c>
      <c r="BU97">
        <f>SUM(SimpleDashData88[[#This Row],[Male]:[Child]])</f>
        <v>2375</v>
      </c>
      <c r="BV97">
        <v>2375</v>
      </c>
      <c r="BW97">
        <v>11875</v>
      </c>
      <c r="BZ97">
        <f>SimpleDashData88[[#This Row],[Total Expense]]/SimpleDashData88[[#This Row],[Total Patients]]</f>
        <v>5.9810526315789474</v>
      </c>
      <c r="CA97">
        <v>0</v>
      </c>
    </row>
    <row r="98" spans="1:79" x14ac:dyDescent="0.3">
      <c r="A98">
        <v>87</v>
      </c>
      <c r="B98" t="str">
        <v>QCNM University of Loralai</v>
      </c>
      <c r="C98" t="str">
        <v>Trust Act</v>
      </c>
      <c r="D98" t="str">
        <v>Sindh, Balochistan &amp; AJK Region</v>
      </c>
      <c r="E98" t="str">
        <v>Public</v>
      </c>
      <c r="F98" s="2">
        <v>3490</v>
      </c>
      <c r="G98" s="2">
        <v>1494</v>
      </c>
      <c r="H98" s="13">
        <v>2.3360107095046856</v>
      </c>
      <c r="I98" s="13"/>
      <c r="BA98">
        <v>97</v>
      </c>
      <c r="BB98" s="12" t="s">
        <v>163</v>
      </c>
      <c r="BD98" t="s">
        <v>33</v>
      </c>
      <c r="BE98" t="s">
        <v>135</v>
      </c>
      <c r="BF98" t="s">
        <v>64</v>
      </c>
      <c r="BG98">
        <v>0</v>
      </c>
      <c r="BH98">
        <v>500</v>
      </c>
      <c r="BI98">
        <v>0</v>
      </c>
      <c r="BJ98">
        <v>600</v>
      </c>
      <c r="BK98">
        <v>560</v>
      </c>
      <c r="BL98">
        <v>0</v>
      </c>
      <c r="BM98">
        <v>0</v>
      </c>
      <c r="BN98">
        <v>550</v>
      </c>
      <c r="BO98">
        <v>0</v>
      </c>
      <c r="BP98">
        <v>0</v>
      </c>
      <c r="BQ98">
        <f>SUM(SimpleDashData88[[#This Row],[Convayance]:[Misc]])</f>
        <v>2210</v>
      </c>
      <c r="BR98">
        <v>62</v>
      </c>
      <c r="BS98">
        <v>532</v>
      </c>
      <c r="BT98">
        <v>89</v>
      </c>
      <c r="BU98">
        <f>SUM(SimpleDashData88[[#This Row],[Male]:[Child]])</f>
        <v>683</v>
      </c>
      <c r="BV98">
        <v>683</v>
      </c>
      <c r="BW98">
        <v>3415</v>
      </c>
      <c r="BZ98">
        <f>SimpleDashData88[[#This Row],[Total Expense]]/SimpleDashData88[[#This Row],[Total Patients]]</f>
        <v>3.2357247437774523</v>
      </c>
      <c r="CA98">
        <v>0</v>
      </c>
    </row>
    <row r="99" spans="1:79" x14ac:dyDescent="0.3">
      <c r="A99">
        <v>88</v>
      </c>
      <c r="B99" t="str">
        <v>QCNM Bahawalpur, Central Jail</v>
      </c>
      <c r="C99" t="str">
        <v>Trust Act</v>
      </c>
      <c r="D99" t="str">
        <v>South &amp; North Punjab Region</v>
      </c>
      <c r="E99" t="str">
        <v>Prison</v>
      </c>
      <c r="F99" s="2">
        <v>3290</v>
      </c>
      <c r="G99" s="2">
        <v>3309</v>
      </c>
      <c r="H99" s="13">
        <v>0.99425808401329707</v>
      </c>
      <c r="I99" s="13"/>
      <c r="BA99">
        <v>98</v>
      </c>
      <c r="BB99" s="12" t="s">
        <v>164</v>
      </c>
      <c r="BD99" t="s">
        <v>33</v>
      </c>
      <c r="BE99" t="s">
        <v>135</v>
      </c>
      <c r="BF99" t="s">
        <v>64</v>
      </c>
      <c r="BG99">
        <v>0</v>
      </c>
      <c r="BH99">
        <v>500</v>
      </c>
      <c r="BI99">
        <v>0</v>
      </c>
      <c r="BJ99">
        <v>4550</v>
      </c>
      <c r="BK99">
        <v>475</v>
      </c>
      <c r="BL99">
        <v>250</v>
      </c>
      <c r="BM99">
        <v>0</v>
      </c>
      <c r="BN99">
        <v>0</v>
      </c>
      <c r="BO99">
        <v>0</v>
      </c>
      <c r="BP99">
        <v>0</v>
      </c>
      <c r="BQ99">
        <f>SUM(SimpleDashData88[[#This Row],[Convayance]:[Misc]])</f>
        <v>5775</v>
      </c>
      <c r="BR99">
        <v>1768</v>
      </c>
      <c r="BS99">
        <v>1</v>
      </c>
      <c r="BT99">
        <v>0</v>
      </c>
      <c r="BU99">
        <f>SUM(SimpleDashData88[[#This Row],[Male]:[Child]])</f>
        <v>1769</v>
      </c>
      <c r="BV99">
        <v>1769</v>
      </c>
      <c r="BW99">
        <v>8845</v>
      </c>
      <c r="BZ99">
        <f>SimpleDashData88[[#This Row],[Total Expense]]/SimpleDashData88[[#This Row],[Total Patients]]</f>
        <v>3.2645562464669307</v>
      </c>
      <c r="CA99">
        <v>0</v>
      </c>
    </row>
    <row r="100" spans="1:79" x14ac:dyDescent="0.3">
      <c r="A100">
        <v>89</v>
      </c>
      <c r="B100" t="str">
        <v>QCNM Pak Pattan, District Jail</v>
      </c>
      <c r="C100" t="str">
        <v>Trust Act</v>
      </c>
      <c r="D100" t="str">
        <v>South &amp; North Punjab Region</v>
      </c>
      <c r="E100" t="str">
        <v>Prison</v>
      </c>
      <c r="F100" s="2">
        <v>3225</v>
      </c>
      <c r="G100" s="2">
        <v>2619</v>
      </c>
      <c r="H100" s="13">
        <v>1.2313860252004583</v>
      </c>
      <c r="I100" s="13"/>
      <c r="BA100">
        <v>99</v>
      </c>
      <c r="BB100" s="12" t="s">
        <v>165</v>
      </c>
      <c r="BD100" t="s">
        <v>33</v>
      </c>
      <c r="BE100" t="s">
        <v>135</v>
      </c>
      <c r="BF100" t="s">
        <v>64</v>
      </c>
      <c r="BG100">
        <v>0</v>
      </c>
      <c r="BH100">
        <v>0</v>
      </c>
      <c r="BI100">
        <v>0</v>
      </c>
      <c r="BJ100">
        <v>1200</v>
      </c>
      <c r="BK100">
        <v>475</v>
      </c>
      <c r="BL100">
        <v>300</v>
      </c>
      <c r="BM100">
        <v>0</v>
      </c>
      <c r="BN100">
        <v>1250</v>
      </c>
      <c r="BO100">
        <v>0</v>
      </c>
      <c r="BP100">
        <v>0</v>
      </c>
      <c r="BQ100">
        <f>SUM(SimpleDashData88[[#This Row],[Convayance]:[Misc]])</f>
        <v>3225</v>
      </c>
      <c r="BR100">
        <v>2619</v>
      </c>
      <c r="BS100">
        <v>0</v>
      </c>
      <c r="BT100">
        <v>0</v>
      </c>
      <c r="BU100">
        <f>SUM(SimpleDashData88[[#This Row],[Male]:[Child]])</f>
        <v>2619</v>
      </c>
      <c r="BV100">
        <v>2619</v>
      </c>
      <c r="BW100">
        <v>13095</v>
      </c>
      <c r="BZ100">
        <f>SimpleDashData88[[#This Row],[Total Expense]]/SimpleDashData88[[#This Row],[Total Patients]]</f>
        <v>1.2313860252004583</v>
      </c>
      <c r="CA100">
        <v>0</v>
      </c>
    </row>
    <row r="101" spans="1:79" x14ac:dyDescent="0.3">
      <c r="A101">
        <v>90</v>
      </c>
      <c r="B101" t="str">
        <v>QCNM RHQ Chillas</v>
      </c>
      <c r="C101" t="str">
        <v>Trust Act</v>
      </c>
      <c r="D101" t="str">
        <v>Capital Region</v>
      </c>
      <c r="E101" t="str">
        <v>Public</v>
      </c>
      <c r="F101" s="2">
        <v>3220</v>
      </c>
      <c r="G101" s="2">
        <v>1257</v>
      </c>
      <c r="H101" s="13">
        <v>2.5616547334924422</v>
      </c>
      <c r="I101" s="13"/>
      <c r="BA101">
        <v>100</v>
      </c>
      <c r="BB101" s="12" t="s">
        <v>166</v>
      </c>
      <c r="BD101" t="s">
        <v>33</v>
      </c>
      <c r="BE101" t="s">
        <v>135</v>
      </c>
      <c r="BF101" t="s">
        <v>64</v>
      </c>
      <c r="BG101">
        <v>9680</v>
      </c>
      <c r="BH101">
        <v>1000</v>
      </c>
      <c r="BI101">
        <v>0</v>
      </c>
      <c r="BJ101">
        <v>900</v>
      </c>
      <c r="BK101">
        <v>560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f>SUM(SimpleDashData88[[#This Row],[Convayance]:[Misc]])</f>
        <v>12140</v>
      </c>
      <c r="BR101">
        <v>1712</v>
      </c>
      <c r="BS101">
        <v>104</v>
      </c>
      <c r="BT101">
        <v>0</v>
      </c>
      <c r="BU101">
        <f>SUM(SimpleDashData88[[#This Row],[Male]:[Child]])</f>
        <v>1816</v>
      </c>
      <c r="BV101">
        <v>1816</v>
      </c>
      <c r="BW101">
        <v>9080</v>
      </c>
      <c r="BZ101">
        <f>SimpleDashData88[[#This Row],[Total Expense]]/SimpleDashData88[[#This Row],[Total Patients]]</f>
        <v>6.6850220264317182</v>
      </c>
      <c r="CA101">
        <v>0</v>
      </c>
    </row>
    <row r="102" spans="1:79" x14ac:dyDescent="0.3">
      <c r="A102">
        <v>91</v>
      </c>
      <c r="B102" t="str">
        <v>QCNM Khuzdar, Central Jail</v>
      </c>
      <c r="C102" t="str">
        <v>U/S 42</v>
      </c>
      <c r="D102" t="str">
        <v>Sindh, Balochistan &amp; AJK Region</v>
      </c>
      <c r="E102" t="str">
        <v>Prison</v>
      </c>
      <c r="F102" s="2">
        <v>3220</v>
      </c>
      <c r="G102" s="2">
        <v>1002</v>
      </c>
      <c r="H102" s="13">
        <v>3.2135728542914173</v>
      </c>
      <c r="I102" s="13"/>
      <c r="BA102">
        <v>101</v>
      </c>
      <c r="BB102" s="12" t="s">
        <v>167</v>
      </c>
      <c r="BD102" t="s">
        <v>33</v>
      </c>
      <c r="BE102" t="s">
        <v>135</v>
      </c>
      <c r="BF102" t="s">
        <v>64</v>
      </c>
      <c r="BG102">
        <v>0</v>
      </c>
      <c r="BH102">
        <v>0</v>
      </c>
      <c r="BI102">
        <v>0</v>
      </c>
      <c r="BJ102">
        <v>5490</v>
      </c>
      <c r="BK102">
        <v>560</v>
      </c>
      <c r="BL102">
        <v>0</v>
      </c>
      <c r="BM102">
        <v>0</v>
      </c>
      <c r="BN102">
        <v>715</v>
      </c>
      <c r="BO102">
        <v>0</v>
      </c>
      <c r="BP102">
        <v>0</v>
      </c>
      <c r="BQ102">
        <f>SUM(SimpleDashData88[[#This Row],[Convayance]:[Misc]])</f>
        <v>6765</v>
      </c>
      <c r="BR102">
        <v>1564</v>
      </c>
      <c r="BS102">
        <v>5</v>
      </c>
      <c r="BT102">
        <v>6</v>
      </c>
      <c r="BU102">
        <f>SUM(SimpleDashData88[[#This Row],[Male]:[Child]])</f>
        <v>1575</v>
      </c>
      <c r="BV102">
        <v>1575</v>
      </c>
      <c r="BW102">
        <v>7875</v>
      </c>
      <c r="BZ102">
        <f>SimpleDashData88[[#This Row],[Total Expense]]/SimpleDashData88[[#This Row],[Total Patients]]</f>
        <v>4.2952380952380951</v>
      </c>
      <c r="CA102">
        <v>0</v>
      </c>
    </row>
    <row r="103" spans="1:79" x14ac:dyDescent="0.3">
      <c r="A103">
        <v>92</v>
      </c>
      <c r="B103" t="str">
        <v>QCNM Larkana, Central Prison</v>
      </c>
      <c r="C103" t="str">
        <v>Trust Act</v>
      </c>
      <c r="D103" t="str">
        <v>Sindh, Balochistan &amp; AJK Region</v>
      </c>
      <c r="E103" t="str">
        <v>Prison</v>
      </c>
      <c r="F103" s="2">
        <v>3120</v>
      </c>
      <c r="G103" s="2">
        <v>2510</v>
      </c>
      <c r="H103" s="13">
        <v>1.2430278884462151</v>
      </c>
      <c r="I103" s="13"/>
      <c r="BA103">
        <v>102</v>
      </c>
      <c r="BB103" s="12" t="s">
        <v>168</v>
      </c>
      <c r="BD103" t="s">
        <v>33</v>
      </c>
      <c r="BE103" t="s">
        <v>135</v>
      </c>
      <c r="BF103" t="s">
        <v>64</v>
      </c>
      <c r="BG103">
        <v>0</v>
      </c>
      <c r="BH103">
        <v>0</v>
      </c>
      <c r="BI103">
        <v>0</v>
      </c>
      <c r="BJ103">
        <v>5770</v>
      </c>
      <c r="BK103">
        <v>0</v>
      </c>
      <c r="BL103">
        <v>0</v>
      </c>
      <c r="BM103">
        <v>0</v>
      </c>
      <c r="BN103">
        <v>200</v>
      </c>
      <c r="BO103">
        <v>0</v>
      </c>
      <c r="BP103">
        <v>0</v>
      </c>
      <c r="BQ103">
        <f>SUM(SimpleDashData88[[#This Row],[Convayance]:[Misc]])</f>
        <v>5970</v>
      </c>
      <c r="BR103">
        <v>2817</v>
      </c>
      <c r="BS103">
        <v>0</v>
      </c>
      <c r="BT103">
        <v>138</v>
      </c>
      <c r="BU103">
        <f>SUM(SimpleDashData88[[#This Row],[Male]:[Child]])</f>
        <v>2955</v>
      </c>
      <c r="BV103">
        <v>2955</v>
      </c>
      <c r="BW103">
        <v>14775</v>
      </c>
      <c r="BZ103">
        <f>SimpleDashData88[[#This Row],[Total Expense]]/SimpleDashData88[[#This Row],[Total Patients]]</f>
        <v>2.0203045685279188</v>
      </c>
      <c r="CA103">
        <v>0</v>
      </c>
    </row>
    <row r="104" spans="1:79" x14ac:dyDescent="0.3">
      <c r="A104">
        <v>93</v>
      </c>
      <c r="B104" t="str">
        <v>QCNM Lasbela (LUWAMS) University</v>
      </c>
      <c r="C104" t="str">
        <v>Trust Act</v>
      </c>
      <c r="D104" t="str">
        <v>Sindh, Balochistan &amp; AJK Region</v>
      </c>
      <c r="E104" t="str">
        <v>Public</v>
      </c>
      <c r="F104" s="2">
        <v>3060</v>
      </c>
      <c r="G104" s="2">
        <v>773</v>
      </c>
      <c r="H104" s="13">
        <v>3.9586028460543337</v>
      </c>
      <c r="I104" s="13"/>
      <c r="BA104">
        <v>103</v>
      </c>
      <c r="BB104" s="12" t="s">
        <v>169</v>
      </c>
      <c r="BD104" t="s">
        <v>33</v>
      </c>
      <c r="BE104" t="s">
        <v>135</v>
      </c>
      <c r="BF104" t="s">
        <v>64</v>
      </c>
      <c r="BG104">
        <v>0</v>
      </c>
      <c r="BH104">
        <v>0</v>
      </c>
      <c r="BI104">
        <v>0</v>
      </c>
      <c r="BJ104">
        <v>200</v>
      </c>
      <c r="BK104">
        <v>495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f>SUM(SimpleDashData88[[#This Row],[Convayance]:[Misc]])</f>
        <v>695</v>
      </c>
      <c r="BR104">
        <v>3046</v>
      </c>
      <c r="BS104">
        <v>2</v>
      </c>
      <c r="BT104">
        <v>0</v>
      </c>
      <c r="BU104">
        <f>SUM(SimpleDashData88[[#This Row],[Male]:[Child]])</f>
        <v>3048</v>
      </c>
      <c r="BV104">
        <v>3048</v>
      </c>
      <c r="BW104">
        <v>15240</v>
      </c>
      <c r="BZ104">
        <f>SimpleDashData88[[#This Row],[Total Expense]]/SimpleDashData88[[#This Row],[Total Patients]]</f>
        <v>0.22801837270341208</v>
      </c>
      <c r="CA104">
        <v>0</v>
      </c>
    </row>
    <row r="105" spans="1:79" x14ac:dyDescent="0.3">
      <c r="A105">
        <v>94</v>
      </c>
      <c r="B105" t="str">
        <v>QCNM Hyderabad, Central Prison</v>
      </c>
      <c r="C105" t="str">
        <v>Trust Act</v>
      </c>
      <c r="D105" t="str">
        <v>Sindh, Balochistan &amp; AJK Region</v>
      </c>
      <c r="E105" t="str">
        <v>Prison</v>
      </c>
      <c r="F105" s="2">
        <v>2849</v>
      </c>
      <c r="G105" s="2">
        <v>1201</v>
      </c>
      <c r="H105" s="13">
        <v>2.3721898417985012</v>
      </c>
      <c r="I105" s="13"/>
      <c r="BA105">
        <v>104</v>
      </c>
      <c r="BB105" s="12" t="s">
        <v>170</v>
      </c>
      <c r="BD105" t="s">
        <v>33</v>
      </c>
      <c r="BE105" t="s">
        <v>135</v>
      </c>
      <c r="BF105" t="s">
        <v>64</v>
      </c>
      <c r="BG105">
        <v>0</v>
      </c>
      <c r="BH105">
        <v>0</v>
      </c>
      <c r="BI105">
        <v>0</v>
      </c>
      <c r="BJ105">
        <v>6020</v>
      </c>
      <c r="BK105">
        <v>1380</v>
      </c>
      <c r="BL105">
        <v>0</v>
      </c>
      <c r="BM105">
        <v>0</v>
      </c>
      <c r="BN105">
        <v>0</v>
      </c>
      <c r="BO105">
        <v>0</v>
      </c>
      <c r="BP105">
        <v>100</v>
      </c>
      <c r="BQ105">
        <f>SUM(SimpleDashData88[[#This Row],[Convayance]:[Misc]])</f>
        <v>7500</v>
      </c>
      <c r="BR105">
        <v>2179</v>
      </c>
      <c r="BS105">
        <v>0</v>
      </c>
      <c r="BT105">
        <v>0</v>
      </c>
      <c r="BU105">
        <f>SUM(SimpleDashData88[[#This Row],[Male]:[Child]])</f>
        <v>2179</v>
      </c>
      <c r="BV105">
        <v>2179</v>
      </c>
      <c r="BW105">
        <v>10895</v>
      </c>
      <c r="BZ105">
        <f>SimpleDashData88[[#This Row],[Total Expense]]/SimpleDashData88[[#This Row],[Total Patients]]</f>
        <v>3.4419458467186783</v>
      </c>
      <c r="CA105">
        <v>0</v>
      </c>
    </row>
    <row r="106" spans="1:79" x14ac:dyDescent="0.3">
      <c r="A106">
        <v>95</v>
      </c>
      <c r="B106" t="str">
        <v>QCNM Mirpur khas CJ Jail</v>
      </c>
      <c r="C106" t="str">
        <v>Trust Act</v>
      </c>
      <c r="D106" t="str">
        <v>Sindh, Balochistan &amp; AJK Region</v>
      </c>
      <c r="E106" t="str">
        <v>Prison</v>
      </c>
      <c r="F106" s="2">
        <v>2560</v>
      </c>
      <c r="G106" s="2">
        <v>1488</v>
      </c>
      <c r="H106" s="13">
        <v>1.7204301075268817</v>
      </c>
      <c r="I106" s="13"/>
      <c r="BA106">
        <v>105</v>
      </c>
      <c r="BB106" s="12" t="s">
        <v>171</v>
      </c>
      <c r="BD106" t="s">
        <v>33</v>
      </c>
      <c r="BE106" t="s">
        <v>172</v>
      </c>
      <c r="BF106" t="s">
        <v>35</v>
      </c>
      <c r="BG106">
        <v>3500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f>SUM(SimpleDashData88[[#This Row],[Convayance]:[Misc]])</f>
        <v>3500</v>
      </c>
      <c r="BR106">
        <v>443</v>
      </c>
      <c r="BS106">
        <v>590</v>
      </c>
      <c r="BT106">
        <v>378</v>
      </c>
      <c r="BU106">
        <f>SUM(SimpleDashData88[[#This Row],[Male]:[Child]])</f>
        <v>1411</v>
      </c>
      <c r="BV106">
        <v>1411</v>
      </c>
      <c r="BW106">
        <v>7055</v>
      </c>
      <c r="BZ106">
        <f>SimpleDashData88[[#This Row],[Total Expense]]/SimpleDashData88[[#This Row],[Total Patients]]</f>
        <v>2.4805102763997167</v>
      </c>
      <c r="CA106">
        <v>0</v>
      </c>
    </row>
    <row r="107" spans="1:79" x14ac:dyDescent="0.3">
      <c r="A107">
        <v>96</v>
      </c>
      <c r="B107" t="str">
        <v>QCNM Burhan, Doke Mughalan</v>
      </c>
      <c r="C107" t="str">
        <v>Trust Act</v>
      </c>
      <c r="D107" t="str">
        <v>South &amp; North Punjab Region</v>
      </c>
      <c r="E107" t="str">
        <v>Public</v>
      </c>
      <c r="F107" s="2">
        <v>2300</v>
      </c>
      <c r="G107" s="2">
        <v>1627</v>
      </c>
      <c r="H107" s="13">
        <v>1.4136447449293177</v>
      </c>
      <c r="I107" s="13"/>
      <c r="BA107">
        <v>106</v>
      </c>
      <c r="BB107" s="12" t="s">
        <v>173</v>
      </c>
      <c r="BD107" t="s">
        <v>33</v>
      </c>
      <c r="BE107" t="s">
        <v>172</v>
      </c>
      <c r="BF107" t="s">
        <v>35</v>
      </c>
      <c r="BG107">
        <v>2287</v>
      </c>
      <c r="BH107">
        <v>8290</v>
      </c>
      <c r="BI107">
        <v>0</v>
      </c>
      <c r="BJ107">
        <v>0</v>
      </c>
      <c r="BK107">
        <v>535</v>
      </c>
      <c r="BL107">
        <v>0</v>
      </c>
      <c r="BM107">
        <v>0</v>
      </c>
      <c r="BN107">
        <v>1400</v>
      </c>
      <c r="BO107">
        <v>0</v>
      </c>
      <c r="BP107">
        <v>450</v>
      </c>
      <c r="BQ107">
        <f>SUM(SimpleDashData88[[#This Row],[Convayance]:[Misc]])</f>
        <v>12962</v>
      </c>
      <c r="BR107">
        <v>516</v>
      </c>
      <c r="BS107">
        <v>525</v>
      </c>
      <c r="BT107">
        <v>444</v>
      </c>
      <c r="BU107">
        <f>SUM(SimpleDashData88[[#This Row],[Male]:[Child]])</f>
        <v>1485</v>
      </c>
      <c r="BV107">
        <v>1485</v>
      </c>
      <c r="BW107">
        <v>7425</v>
      </c>
      <c r="BZ107">
        <f>SimpleDashData88[[#This Row],[Total Expense]]/SimpleDashData88[[#This Row],[Total Patients]]</f>
        <v>8.7286195286195287</v>
      </c>
      <c r="CA107">
        <v>0</v>
      </c>
    </row>
    <row r="108" spans="1:79" x14ac:dyDescent="0.3">
      <c r="A108">
        <v>97</v>
      </c>
      <c r="B108" t="str">
        <v>QCNM Woman Jail, Multan</v>
      </c>
      <c r="C108" t="str">
        <v>Trust Act</v>
      </c>
      <c r="D108" t="str">
        <v>South &amp; North Punjab Region</v>
      </c>
      <c r="E108" t="str">
        <v>Prison</v>
      </c>
      <c r="F108" s="2">
        <v>2210</v>
      </c>
      <c r="G108" s="2">
        <v>683</v>
      </c>
      <c r="H108" s="13">
        <v>3.2357247437774523</v>
      </c>
      <c r="I108" s="13"/>
      <c r="BA108">
        <v>107</v>
      </c>
      <c r="BB108" s="12" t="s">
        <v>174</v>
      </c>
      <c r="BD108" t="s">
        <v>33</v>
      </c>
      <c r="BE108" t="s">
        <v>172</v>
      </c>
      <c r="BF108" t="s">
        <v>35</v>
      </c>
      <c r="BG108">
        <v>30807</v>
      </c>
      <c r="BH108">
        <v>0</v>
      </c>
      <c r="BI108">
        <v>0</v>
      </c>
      <c r="BJ108">
        <v>2600</v>
      </c>
      <c r="BK108">
        <v>560</v>
      </c>
      <c r="BL108">
        <v>0</v>
      </c>
      <c r="BM108">
        <v>0</v>
      </c>
      <c r="BN108">
        <v>0</v>
      </c>
      <c r="BO108">
        <v>0</v>
      </c>
      <c r="BP108">
        <v>500</v>
      </c>
      <c r="BQ108">
        <f>SUM(SimpleDashData88[[#This Row],[Convayance]:[Misc]])</f>
        <v>34467</v>
      </c>
      <c r="BR108">
        <v>713</v>
      </c>
      <c r="BS108">
        <v>470</v>
      </c>
      <c r="BT108">
        <v>283</v>
      </c>
      <c r="BU108">
        <f>SUM(SimpleDashData88[[#This Row],[Male]:[Child]])</f>
        <v>1466</v>
      </c>
      <c r="BV108">
        <v>1466</v>
      </c>
      <c r="BW108">
        <v>7330</v>
      </c>
      <c r="BZ108">
        <f>SimpleDashData88[[#This Row],[Total Expense]]/SimpleDashData88[[#This Row],[Total Patients]]</f>
        <v>23.510914051841745</v>
      </c>
      <c r="CA108">
        <v>0</v>
      </c>
    </row>
    <row r="109" spans="1:79" x14ac:dyDescent="0.3">
      <c r="A109">
        <v>98</v>
      </c>
      <c r="B109" t="str">
        <v>QCNM Lakki Marwat District Jail</v>
      </c>
      <c r="C109" t="str">
        <v>Trust Act</v>
      </c>
      <c r="D109" t="str">
        <v>Capital Region</v>
      </c>
      <c r="E109" t="str">
        <v>Prison</v>
      </c>
      <c r="F109" s="2">
        <v>1870</v>
      </c>
      <c r="G109" s="2">
        <v>1658</v>
      </c>
      <c r="H109" s="13">
        <v>1.1278648974668275</v>
      </c>
      <c r="I109" s="13"/>
      <c r="BA109">
        <v>108</v>
      </c>
      <c r="BB109" s="12" t="s">
        <v>175</v>
      </c>
      <c r="BD109" t="s">
        <v>33</v>
      </c>
      <c r="BE109" t="s">
        <v>172</v>
      </c>
      <c r="BF109" t="s">
        <v>35</v>
      </c>
      <c r="BG109">
        <v>4450</v>
      </c>
      <c r="BH109">
        <v>200</v>
      </c>
      <c r="BI109">
        <v>0</v>
      </c>
      <c r="BJ109">
        <v>0</v>
      </c>
      <c r="BK109">
        <v>0</v>
      </c>
      <c r="BL109">
        <v>410</v>
      </c>
      <c r="BM109">
        <v>0</v>
      </c>
      <c r="BN109">
        <v>0</v>
      </c>
      <c r="BO109">
        <v>0</v>
      </c>
      <c r="BP109">
        <v>3050</v>
      </c>
      <c r="BQ109">
        <f>SUM(SimpleDashData88[[#This Row],[Convayance]:[Misc]])</f>
        <v>8110</v>
      </c>
      <c r="BR109">
        <v>758</v>
      </c>
      <c r="BS109">
        <v>708</v>
      </c>
      <c r="BT109">
        <v>484</v>
      </c>
      <c r="BU109">
        <f>SUM(SimpleDashData88[[#This Row],[Male]:[Child]])</f>
        <v>1950</v>
      </c>
      <c r="BV109">
        <v>1950</v>
      </c>
      <c r="BW109">
        <v>9750</v>
      </c>
      <c r="BZ109">
        <f>SimpleDashData88[[#This Row],[Total Expense]]/SimpleDashData88[[#This Row],[Total Patients]]</f>
        <v>4.1589743589743593</v>
      </c>
      <c r="CA109">
        <v>0</v>
      </c>
    </row>
    <row r="110" spans="1:79" x14ac:dyDescent="0.3">
      <c r="A110">
        <v>99</v>
      </c>
      <c r="B110" t="str">
        <v>QCNM RHQ- Hospital Skardu</v>
      </c>
      <c r="C110" t="str">
        <v>Trust Act</v>
      </c>
      <c r="D110" t="str">
        <v>Capital Region</v>
      </c>
      <c r="E110" t="str">
        <v>Public</v>
      </c>
      <c r="F110" s="2">
        <v>1820</v>
      </c>
      <c r="G110" s="2">
        <v>1146</v>
      </c>
      <c r="H110" s="13">
        <v>1.588132635253054</v>
      </c>
      <c r="I110" s="13"/>
      <c r="BA110">
        <v>109</v>
      </c>
      <c r="BB110" s="12" t="s">
        <v>176</v>
      </c>
      <c r="BD110" t="s">
        <v>33</v>
      </c>
      <c r="BE110" t="s">
        <v>172</v>
      </c>
      <c r="BF110" t="s">
        <v>35</v>
      </c>
      <c r="BG110">
        <v>3450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1900</v>
      </c>
      <c r="BO110">
        <v>0</v>
      </c>
      <c r="BP110">
        <v>0</v>
      </c>
      <c r="BQ110">
        <f>SUM(SimpleDashData88[[#This Row],[Convayance]:[Misc]])</f>
        <v>5350</v>
      </c>
      <c r="BR110">
        <v>214</v>
      </c>
      <c r="BS110">
        <v>641</v>
      </c>
      <c r="BT110">
        <v>396</v>
      </c>
      <c r="BU110">
        <f>SUM(SimpleDashData88[[#This Row],[Male]:[Child]])</f>
        <v>1251</v>
      </c>
      <c r="BV110">
        <v>1251</v>
      </c>
      <c r="BW110">
        <v>6255</v>
      </c>
      <c r="BZ110">
        <f>SimpleDashData88[[#This Row],[Total Expense]]/SimpleDashData88[[#This Row],[Total Patients]]</f>
        <v>4.276578737010392</v>
      </c>
      <c r="CA110">
        <v>0</v>
      </c>
    </row>
    <row r="111" spans="1:79" x14ac:dyDescent="0.3">
      <c r="A111">
        <v>100</v>
      </c>
      <c r="B111" t="str">
        <v>QCNM Lahore, Binnat School (Model Town)</v>
      </c>
      <c r="C111" t="str">
        <v>Trust Act</v>
      </c>
      <c r="D111" t="str">
        <v>Central Punjab Region</v>
      </c>
      <c r="E111" t="str">
        <v>Public</v>
      </c>
      <c r="F111" s="2">
        <v>1811</v>
      </c>
      <c r="G111" s="2">
        <v>127</v>
      </c>
      <c r="H111" s="13">
        <v>14.259842519685039</v>
      </c>
      <c r="I111" s="13"/>
      <c r="BA111">
        <v>110</v>
      </c>
      <c r="BB111" s="12" t="s">
        <v>177</v>
      </c>
      <c r="BD111" t="s">
        <v>33</v>
      </c>
      <c r="BE111" t="s">
        <v>172</v>
      </c>
      <c r="BF111" t="s">
        <v>35</v>
      </c>
      <c r="BG111">
        <v>1800</v>
      </c>
      <c r="BH111">
        <v>460</v>
      </c>
      <c r="BI111">
        <v>0</v>
      </c>
      <c r="BJ111">
        <v>0</v>
      </c>
      <c r="BK111">
        <v>0</v>
      </c>
      <c r="BL111">
        <v>120</v>
      </c>
      <c r="BM111">
        <v>0</v>
      </c>
      <c r="BN111">
        <v>140</v>
      </c>
      <c r="BO111">
        <v>0</v>
      </c>
      <c r="BP111">
        <v>540</v>
      </c>
      <c r="BQ111">
        <f>SUM(SimpleDashData88[[#This Row],[Convayance]:[Misc]])</f>
        <v>3060</v>
      </c>
      <c r="BR111">
        <v>376</v>
      </c>
      <c r="BS111">
        <v>287</v>
      </c>
      <c r="BT111">
        <v>110</v>
      </c>
      <c r="BU111">
        <f>SUM(SimpleDashData88[[#This Row],[Male]:[Child]])</f>
        <v>773</v>
      </c>
      <c r="BV111">
        <v>773</v>
      </c>
      <c r="BW111">
        <v>3865</v>
      </c>
      <c r="BZ111">
        <f>SimpleDashData88[[#This Row],[Total Expense]]/SimpleDashData88[[#This Row],[Total Patients]]</f>
        <v>3.9586028460543337</v>
      </c>
      <c r="CA111">
        <v>0</v>
      </c>
    </row>
    <row r="112" spans="1:79" x14ac:dyDescent="0.3">
      <c r="A112">
        <v>101</v>
      </c>
      <c r="B112" t="str">
        <v>QCNM PHQ Gilgit</v>
      </c>
      <c r="C112" t="str">
        <v>Trust Act</v>
      </c>
      <c r="D112" t="str">
        <v>Capital Region</v>
      </c>
      <c r="E112" t="str">
        <v>Public</v>
      </c>
      <c r="F112" s="2">
        <v>1750</v>
      </c>
      <c r="G112" s="2">
        <v>1207</v>
      </c>
      <c r="H112" s="13">
        <v>1.4498757249378624</v>
      </c>
      <c r="I112" s="13"/>
      <c r="BA112">
        <v>111</v>
      </c>
      <c r="BB112" s="12" t="s">
        <v>178</v>
      </c>
      <c r="BD112" t="s">
        <v>33</v>
      </c>
      <c r="BE112" t="s">
        <v>172</v>
      </c>
      <c r="BF112" t="s">
        <v>35</v>
      </c>
      <c r="BG112">
        <v>0</v>
      </c>
      <c r="BH112">
        <v>4900</v>
      </c>
      <c r="BI112">
        <v>600</v>
      </c>
      <c r="BJ112">
        <v>0</v>
      </c>
      <c r="BK112">
        <v>0</v>
      </c>
      <c r="BL112">
        <v>0</v>
      </c>
      <c r="BM112">
        <v>0</v>
      </c>
      <c r="BN112">
        <v>290</v>
      </c>
      <c r="BO112">
        <v>0</v>
      </c>
      <c r="BP112">
        <v>4600</v>
      </c>
      <c r="BQ112">
        <f>SUM(SimpleDashData88[[#This Row],[Convayance]:[Misc]])</f>
        <v>10390</v>
      </c>
      <c r="BR112">
        <v>276</v>
      </c>
      <c r="BS112">
        <v>653</v>
      </c>
      <c r="BT112">
        <v>235</v>
      </c>
      <c r="BU112">
        <f>SUM(SimpleDashData88[[#This Row],[Male]:[Child]])</f>
        <v>1164</v>
      </c>
      <c r="BV112">
        <v>1164</v>
      </c>
      <c r="BW112">
        <v>5820</v>
      </c>
      <c r="BZ112">
        <f>SimpleDashData88[[#This Row],[Total Expense]]/SimpleDashData88[[#This Row],[Total Patients]]</f>
        <v>8.9261168384879728</v>
      </c>
      <c r="CA112">
        <v>0</v>
      </c>
    </row>
    <row r="113" spans="1:79" x14ac:dyDescent="0.3">
      <c r="A113">
        <v>102</v>
      </c>
      <c r="B113" t="str">
        <v>QCNM Quetta, District Jail</v>
      </c>
      <c r="C113" t="str">
        <v>U/S 42</v>
      </c>
      <c r="D113" t="str">
        <v>Sindh, Balochistan &amp; AJK Region</v>
      </c>
      <c r="E113" t="str">
        <v>Prison</v>
      </c>
      <c r="F113" s="2">
        <v>1710</v>
      </c>
      <c r="G113" s="2">
        <v>1502</v>
      </c>
      <c r="H113" s="13">
        <v>1.1384820239680427</v>
      </c>
      <c r="I113" s="13"/>
      <c r="BA113">
        <v>112</v>
      </c>
      <c r="BB113" s="12" t="s">
        <v>179</v>
      </c>
      <c r="BD113" t="s">
        <v>33</v>
      </c>
      <c r="BE113" t="s">
        <v>172</v>
      </c>
      <c r="BF113" t="s">
        <v>35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f>SUM(SimpleDashData88[[#This Row],[Convayance]:[Misc]])</f>
        <v>0</v>
      </c>
      <c r="BR113">
        <v>245</v>
      </c>
      <c r="BS113">
        <v>11</v>
      </c>
      <c r="BT113">
        <v>33</v>
      </c>
      <c r="BU113">
        <f>SUM(SimpleDashData88[[#This Row],[Male]:[Child]])</f>
        <v>289</v>
      </c>
      <c r="BV113">
        <v>289</v>
      </c>
      <c r="BW113">
        <v>1445</v>
      </c>
      <c r="BZ113">
        <f>SimpleDashData88[[#This Row],[Total Expense]]/SimpleDashData88[[#This Row],[Total Patients]]</f>
        <v>0</v>
      </c>
      <c r="CA113">
        <v>0</v>
      </c>
    </row>
    <row r="114" spans="1:79" x14ac:dyDescent="0.3">
      <c r="A114">
        <v>103</v>
      </c>
      <c r="B114" t="str">
        <v>QCNM Kohat, District Jail</v>
      </c>
      <c r="C114" t="str">
        <v>Trust Act</v>
      </c>
      <c r="D114" t="str">
        <v>Capital Region</v>
      </c>
      <c r="E114" t="str">
        <v>Prison</v>
      </c>
      <c r="F114" s="2">
        <v>1660</v>
      </c>
      <c r="G114" s="2">
        <v>2612</v>
      </c>
      <c r="H114" s="13">
        <v>0.63552833078101068</v>
      </c>
      <c r="I114" s="13"/>
      <c r="BA114">
        <v>113</v>
      </c>
      <c r="BB114" s="12" t="s">
        <v>180</v>
      </c>
      <c r="BD114" t="s">
        <v>33</v>
      </c>
      <c r="BE114" t="s">
        <v>172</v>
      </c>
      <c r="BF114" t="s">
        <v>35</v>
      </c>
      <c r="BG114">
        <v>14650</v>
      </c>
      <c r="BH114">
        <v>2510</v>
      </c>
      <c r="BI114">
        <v>0</v>
      </c>
      <c r="BJ114">
        <v>7170</v>
      </c>
      <c r="BK114">
        <v>0</v>
      </c>
      <c r="BL114">
        <v>0</v>
      </c>
      <c r="BM114">
        <v>1000</v>
      </c>
      <c r="BN114">
        <v>860</v>
      </c>
      <c r="BO114">
        <v>0</v>
      </c>
      <c r="BP114">
        <v>0</v>
      </c>
      <c r="BQ114">
        <f>SUM(SimpleDashData88[[#This Row],[Convayance]:[Misc]])</f>
        <v>26190</v>
      </c>
      <c r="BR114">
        <v>1021</v>
      </c>
      <c r="BS114">
        <v>673</v>
      </c>
      <c r="BT114">
        <v>347</v>
      </c>
      <c r="BU114">
        <f>SUM(SimpleDashData88[[#This Row],[Male]:[Child]])</f>
        <v>2041</v>
      </c>
      <c r="BV114">
        <v>2041</v>
      </c>
      <c r="BW114">
        <v>10205</v>
      </c>
      <c r="BZ114">
        <f>SimpleDashData88[[#This Row],[Total Expense]]/SimpleDashData88[[#This Row],[Total Patients]]</f>
        <v>12.831945124938755</v>
      </c>
      <c r="CA114">
        <v>0</v>
      </c>
    </row>
    <row r="115" spans="1:79" x14ac:dyDescent="0.3">
      <c r="A115">
        <v>104</v>
      </c>
      <c r="B115" t="str">
        <v>QCNM Bannu, Central Prison</v>
      </c>
      <c r="C115" t="str">
        <v>Trust Act</v>
      </c>
      <c r="D115" t="str">
        <v>Capital Region</v>
      </c>
      <c r="E115" t="str">
        <v>Prison</v>
      </c>
      <c r="F115" s="2">
        <v>1630</v>
      </c>
      <c r="G115" s="2">
        <v>2382</v>
      </c>
      <c r="H115" s="13">
        <v>0.68429890848026864</v>
      </c>
      <c r="I115" s="13"/>
      <c r="BA115">
        <v>114</v>
      </c>
      <c r="BB115" s="12" t="s">
        <v>181</v>
      </c>
      <c r="BD115" t="s">
        <v>33</v>
      </c>
      <c r="BE115" t="s">
        <v>172</v>
      </c>
      <c r="BF115" t="s">
        <v>35</v>
      </c>
      <c r="BG115">
        <v>0</v>
      </c>
      <c r="BH115">
        <v>2630</v>
      </c>
      <c r="BI115">
        <v>0</v>
      </c>
      <c r="BJ115">
        <v>0</v>
      </c>
      <c r="BK115">
        <v>390</v>
      </c>
      <c r="BL115">
        <v>0</v>
      </c>
      <c r="BM115">
        <v>0</v>
      </c>
      <c r="BN115">
        <v>470</v>
      </c>
      <c r="BO115">
        <v>0</v>
      </c>
      <c r="BP115">
        <v>0</v>
      </c>
      <c r="BQ115">
        <f>SUM(SimpleDashData88[[#This Row],[Convayance]:[Misc]])</f>
        <v>3490</v>
      </c>
      <c r="BR115">
        <v>710</v>
      </c>
      <c r="BS115">
        <v>500</v>
      </c>
      <c r="BT115">
        <v>284</v>
      </c>
      <c r="BU115">
        <f>SUM(SimpleDashData88[[#This Row],[Male]:[Child]])</f>
        <v>1494</v>
      </c>
      <c r="BV115">
        <v>1494</v>
      </c>
      <c r="BW115">
        <v>7470</v>
      </c>
      <c r="BZ115">
        <f>SimpleDashData88[[#This Row],[Total Expense]]/SimpleDashData88[[#This Row],[Total Patients]]</f>
        <v>2.3360107095046856</v>
      </c>
      <c r="CA115">
        <v>0</v>
      </c>
    </row>
    <row r="116" spans="1:79" x14ac:dyDescent="0.3">
      <c r="A116">
        <v>105</v>
      </c>
      <c r="B116" t="str">
        <v>QCNM Faisalabad, Women District Jail</v>
      </c>
      <c r="C116" t="str">
        <v>Trust Act</v>
      </c>
      <c r="D116" t="str">
        <v>Central Punjab Region</v>
      </c>
      <c r="E116" t="str">
        <v>Prison</v>
      </c>
      <c r="F116" s="2">
        <v>1592</v>
      </c>
      <c r="G116" s="2">
        <v>84</v>
      </c>
      <c r="H116" s="13">
        <v>18.952380952380953</v>
      </c>
      <c r="I116" s="13"/>
      <c r="BA116">
        <v>115</v>
      </c>
      <c r="BB116" s="29" t="s">
        <v>182</v>
      </c>
      <c r="BD116" t="s">
        <v>33</v>
      </c>
      <c r="BE116" t="s">
        <v>172</v>
      </c>
      <c r="BF116" t="s">
        <v>35</v>
      </c>
      <c r="BG116">
        <v>5253</v>
      </c>
      <c r="BH116">
        <v>250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3150</v>
      </c>
      <c r="BP116">
        <v>0</v>
      </c>
      <c r="BQ116">
        <f>SUM(SimpleDashData88[[#This Row],[Convayance]:[Misc]])</f>
        <v>8653</v>
      </c>
      <c r="BR116">
        <v>287</v>
      </c>
      <c r="BS116">
        <v>423</v>
      </c>
      <c r="BT116">
        <v>316</v>
      </c>
      <c r="BU116">
        <f>SUM(SimpleDashData88[[#This Row],[Male]:[Child]])</f>
        <v>1026</v>
      </c>
      <c r="BV116">
        <v>1026</v>
      </c>
      <c r="BW116">
        <v>5130</v>
      </c>
      <c r="BZ116">
        <f>SimpleDashData88[[#This Row],[Total Expense]]/SimpleDashData88[[#This Row],[Total Patients]]</f>
        <v>8.4337231968810915</v>
      </c>
      <c r="CA116">
        <v>0</v>
      </c>
    </row>
    <row r="117" spans="1:79" x14ac:dyDescent="0.3">
      <c r="A117">
        <v>106</v>
      </c>
      <c r="B117" t="str">
        <v>QCNM Faisalabad, GCU (Old Campus)</v>
      </c>
      <c r="C117" t="str">
        <v>Trust Act</v>
      </c>
      <c r="D117" t="str">
        <v>Central Punjab Region</v>
      </c>
      <c r="E117" t="str">
        <v>Public</v>
      </c>
      <c r="F117" s="2">
        <v>1500</v>
      </c>
      <c r="G117" s="2">
        <v>576</v>
      </c>
      <c r="H117" s="13">
        <v>2.6041666666666665</v>
      </c>
      <c r="I117" s="13"/>
      <c r="BA117">
        <v>116</v>
      </c>
      <c r="BB117" s="12" t="s">
        <v>183</v>
      </c>
      <c r="BD117" t="s">
        <v>33</v>
      </c>
      <c r="BE117" t="s">
        <v>172</v>
      </c>
      <c r="BF117" t="s">
        <v>35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f>SUM(SimpleDashData88[[#This Row],[Convayance]:[Misc]])</f>
        <v>0</v>
      </c>
      <c r="BR117">
        <v>268</v>
      </c>
      <c r="BS117">
        <v>238</v>
      </c>
      <c r="BT117">
        <v>0</v>
      </c>
      <c r="BU117">
        <f>SUM(SimpleDashData88[[#This Row],[Male]:[Child]])</f>
        <v>506</v>
      </c>
      <c r="BV117">
        <v>506</v>
      </c>
      <c r="BW117">
        <v>2530</v>
      </c>
      <c r="BZ117">
        <f>SimpleDashData88[[#This Row],[Total Expense]]/SimpleDashData88[[#This Row],[Total Patients]]</f>
        <v>0</v>
      </c>
      <c r="CA117">
        <v>0</v>
      </c>
    </row>
    <row r="118" spans="1:79" x14ac:dyDescent="0.3">
      <c r="A118">
        <v>107</v>
      </c>
      <c r="B118" t="str">
        <v>QCNM Karak, Central Jail</v>
      </c>
      <c r="C118" t="str">
        <v>Trust Act</v>
      </c>
      <c r="D118" t="str">
        <v>Capital Region</v>
      </c>
      <c r="E118" t="str">
        <v>Prison</v>
      </c>
      <c r="F118" s="2">
        <v>1470</v>
      </c>
      <c r="G118" s="2">
        <v>2362</v>
      </c>
      <c r="H118" s="13">
        <v>0.62235393734123623</v>
      </c>
      <c r="I118" s="13"/>
      <c r="BA118">
        <v>117</v>
      </c>
      <c r="BB118" s="12" t="s">
        <v>184</v>
      </c>
      <c r="BD118" t="s">
        <v>33</v>
      </c>
      <c r="BE118" t="s">
        <v>172</v>
      </c>
      <c r="BF118" t="s">
        <v>35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f>SUM(SimpleDashData88[[#This Row],[Convayance]:[Misc]])</f>
        <v>0</v>
      </c>
      <c r="BR118">
        <v>313</v>
      </c>
      <c r="BS118">
        <v>282</v>
      </c>
      <c r="BT118">
        <v>26</v>
      </c>
      <c r="BU118">
        <f>SUM(SimpleDashData88[[#This Row],[Male]:[Child]])</f>
        <v>621</v>
      </c>
      <c r="BV118">
        <v>621</v>
      </c>
      <c r="BW118">
        <v>3105</v>
      </c>
      <c r="BZ118">
        <f>SimpleDashData88[[#This Row],[Total Expense]]/SimpleDashData88[[#This Row],[Total Patients]]</f>
        <v>0</v>
      </c>
      <c r="CA118">
        <v>0</v>
      </c>
    </row>
    <row r="119" spans="1:79" x14ac:dyDescent="0.3">
      <c r="A119">
        <v>108</v>
      </c>
      <c r="B119" t="str">
        <v>QCNM Ghizer, District Jail</v>
      </c>
      <c r="C119" t="str">
        <v>U/S 42</v>
      </c>
      <c r="D119" t="str">
        <v>Capital Region</v>
      </c>
      <c r="E119" t="str">
        <v>Prison</v>
      </c>
      <c r="F119" s="2">
        <v>1320</v>
      </c>
      <c r="G119" s="2">
        <v>439</v>
      </c>
      <c r="H119" s="13">
        <v>3.0068337129840548</v>
      </c>
      <c r="I119" s="13"/>
      <c r="BA119">
        <v>118</v>
      </c>
      <c r="BB119" s="12" t="s">
        <v>185</v>
      </c>
      <c r="BD119" t="s">
        <v>33</v>
      </c>
      <c r="BE119" t="s">
        <v>172</v>
      </c>
      <c r="BF119" t="s">
        <v>35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f>SUM(SimpleDashData88[[#This Row],[Convayance]:[Misc]])</f>
        <v>0</v>
      </c>
      <c r="BR119">
        <v>276</v>
      </c>
      <c r="BS119">
        <v>257</v>
      </c>
      <c r="BT119">
        <v>26</v>
      </c>
      <c r="BU119">
        <f>SUM(SimpleDashData88[[#This Row],[Male]:[Child]])</f>
        <v>559</v>
      </c>
      <c r="BV119">
        <v>559</v>
      </c>
      <c r="BW119">
        <v>2795</v>
      </c>
      <c r="BZ119">
        <f>SimpleDashData88[[#This Row],[Total Expense]]/SimpleDashData88[[#This Row],[Total Patients]]</f>
        <v>0</v>
      </c>
      <c r="CA119">
        <v>0</v>
      </c>
    </row>
    <row r="120" spans="1:79" x14ac:dyDescent="0.3">
      <c r="A120">
        <v>109</v>
      </c>
      <c r="B120" t="str">
        <v>QCNM Chitral District Jail</v>
      </c>
      <c r="C120" t="str">
        <v>Trust Act</v>
      </c>
      <c r="D120" t="str">
        <v>Capital Region</v>
      </c>
      <c r="E120" t="str">
        <v>Prison</v>
      </c>
      <c r="F120" s="2">
        <v>1226</v>
      </c>
      <c r="G120" s="2">
        <v>1846</v>
      </c>
      <c r="H120" s="13">
        <v>0.66413867822318529</v>
      </c>
      <c r="I120" s="13"/>
      <c r="BA120">
        <v>119</v>
      </c>
      <c r="BB120" s="12" t="s">
        <v>186</v>
      </c>
      <c r="BD120" t="s">
        <v>68</v>
      </c>
      <c r="BE120" t="s">
        <v>172</v>
      </c>
      <c r="BF120" t="s">
        <v>35</v>
      </c>
      <c r="BG120">
        <v>800</v>
      </c>
      <c r="BH120">
        <v>1200</v>
      </c>
      <c r="BI120">
        <v>0</v>
      </c>
      <c r="BJ120">
        <v>0</v>
      </c>
      <c r="BK120">
        <v>0</v>
      </c>
      <c r="BL120">
        <v>0</v>
      </c>
      <c r="BM120">
        <v>20600</v>
      </c>
      <c r="BN120">
        <v>2460</v>
      </c>
      <c r="BO120">
        <v>2500</v>
      </c>
      <c r="BP120">
        <v>5300</v>
      </c>
      <c r="BQ120">
        <f>SUM(SimpleDashData88[[#This Row],[Convayance]:[Misc]])</f>
        <v>32860</v>
      </c>
      <c r="BR120">
        <v>143</v>
      </c>
      <c r="BS120">
        <v>419</v>
      </c>
      <c r="BT120">
        <v>189</v>
      </c>
      <c r="BU120">
        <f>SUM(SimpleDashData88[[#This Row],[Male]:[Child]])</f>
        <v>751</v>
      </c>
      <c r="BV120">
        <v>751</v>
      </c>
      <c r="BW120">
        <v>3755</v>
      </c>
      <c r="BZ120">
        <f>SimpleDashData88[[#This Row],[Total Expense]]/SimpleDashData88[[#This Row],[Total Patients]]</f>
        <v>43.754993342210383</v>
      </c>
      <c r="CA120">
        <v>0</v>
      </c>
    </row>
    <row r="121" spans="1:79" x14ac:dyDescent="0.3">
      <c r="A121">
        <v>110</v>
      </c>
      <c r="B121" t="str">
        <v>QCNM Sub Jail, Chakwal</v>
      </c>
      <c r="C121" t="str">
        <v>Trust Act</v>
      </c>
      <c r="D121" t="str">
        <v>South &amp; North Punjab Region</v>
      </c>
      <c r="E121" t="str">
        <v>Prison</v>
      </c>
      <c r="F121" s="2">
        <v>1080</v>
      </c>
      <c r="G121" s="2">
        <v>841</v>
      </c>
      <c r="H121" s="13">
        <v>1.2841854934601664</v>
      </c>
      <c r="I121" s="13"/>
      <c r="BA121">
        <v>120</v>
      </c>
      <c r="BB121" s="12" t="s">
        <v>187</v>
      </c>
      <c r="BD121" t="s">
        <v>33</v>
      </c>
      <c r="BE121" t="s">
        <v>172</v>
      </c>
      <c r="BF121" t="s">
        <v>64</v>
      </c>
      <c r="BG121">
        <v>0</v>
      </c>
      <c r="BH121">
        <v>0</v>
      </c>
      <c r="BI121">
        <v>0</v>
      </c>
      <c r="BJ121">
        <v>1210</v>
      </c>
      <c r="BK121">
        <v>550</v>
      </c>
      <c r="BL121">
        <v>430</v>
      </c>
      <c r="BM121">
        <v>0</v>
      </c>
      <c r="BN121">
        <v>0</v>
      </c>
      <c r="BO121">
        <v>0</v>
      </c>
      <c r="BP121">
        <v>659</v>
      </c>
      <c r="BQ121">
        <f>SUM(SimpleDashData88[[#This Row],[Convayance]:[Misc]])</f>
        <v>2849</v>
      </c>
      <c r="BR121">
        <v>1201</v>
      </c>
      <c r="BS121">
        <v>0</v>
      </c>
      <c r="BT121">
        <v>0</v>
      </c>
      <c r="BU121">
        <f>SUM(SimpleDashData88[[#This Row],[Male]:[Child]])</f>
        <v>1201</v>
      </c>
      <c r="BV121">
        <v>1201</v>
      </c>
      <c r="BW121">
        <v>6005</v>
      </c>
      <c r="BZ121">
        <f>SimpleDashData88[[#This Row],[Total Expense]]/SimpleDashData88[[#This Row],[Total Patients]]</f>
        <v>2.3721898417985012</v>
      </c>
      <c r="CA121">
        <v>0</v>
      </c>
    </row>
    <row r="122" spans="1:79" x14ac:dyDescent="0.3">
      <c r="A122">
        <v>111</v>
      </c>
      <c r="B122" t="str">
        <v>QCNM Charsadda, Sub Jail</v>
      </c>
      <c r="C122" t="str">
        <v>Trust Act</v>
      </c>
      <c r="D122" t="str">
        <v>Capital Region</v>
      </c>
      <c r="E122" t="str">
        <v>Prison</v>
      </c>
      <c r="F122" s="2">
        <v>1060</v>
      </c>
      <c r="G122" s="2">
        <v>1368</v>
      </c>
      <c r="H122" s="13">
        <v>0.77485380116959068</v>
      </c>
      <c r="I122" s="13"/>
      <c r="BA122">
        <v>121</v>
      </c>
      <c r="BB122" s="12" t="s">
        <v>188</v>
      </c>
      <c r="BD122" t="s">
        <v>68</v>
      </c>
      <c r="BE122" t="s">
        <v>172</v>
      </c>
      <c r="BF122" t="s">
        <v>64</v>
      </c>
      <c r="BG122">
        <v>500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f>SUM(SimpleDashData88[[#This Row],[Convayance]:[Misc]])</f>
        <v>500</v>
      </c>
      <c r="BR122">
        <v>410</v>
      </c>
      <c r="BS122">
        <v>0</v>
      </c>
      <c r="BT122">
        <v>0</v>
      </c>
      <c r="BU122">
        <f>SUM(SimpleDashData88[[#This Row],[Male]:[Child]])</f>
        <v>410</v>
      </c>
      <c r="BV122">
        <v>410</v>
      </c>
      <c r="BW122">
        <v>2050</v>
      </c>
      <c r="BZ122">
        <f>SimpleDashData88[[#This Row],[Total Expense]]/SimpleDashData88[[#This Row],[Total Patients]]</f>
        <v>1.2195121951219512</v>
      </c>
      <c r="CA122">
        <v>0</v>
      </c>
    </row>
    <row r="123" spans="1:79" x14ac:dyDescent="0.3">
      <c r="A123">
        <v>112</v>
      </c>
      <c r="B123" t="str">
        <v>QCNM Bahawalpur, Borstal Jail</v>
      </c>
      <c r="C123" t="str">
        <v>Trust Act</v>
      </c>
      <c r="D123" t="str">
        <v>South &amp; North Punjab Region</v>
      </c>
      <c r="E123" t="str">
        <v>Prison</v>
      </c>
      <c r="F123" s="2">
        <v>870</v>
      </c>
      <c r="G123" s="2">
        <v>539</v>
      </c>
      <c r="H123" s="13">
        <v>1.6141001855287569</v>
      </c>
      <c r="I123" s="13"/>
      <c r="BA123">
        <v>122</v>
      </c>
      <c r="BB123" s="12" t="s">
        <v>189</v>
      </c>
      <c r="BD123" t="s">
        <v>33</v>
      </c>
      <c r="BE123" t="s">
        <v>172</v>
      </c>
      <c r="BF123" t="s">
        <v>64</v>
      </c>
      <c r="BG123">
        <v>0</v>
      </c>
      <c r="BH123">
        <v>0</v>
      </c>
      <c r="BI123">
        <v>0</v>
      </c>
      <c r="BJ123">
        <v>2600</v>
      </c>
      <c r="BK123">
        <v>520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f>SUM(SimpleDashData88[[#This Row],[Convayance]:[Misc]])</f>
        <v>3120</v>
      </c>
      <c r="BR123">
        <v>2285</v>
      </c>
      <c r="BS123">
        <v>90</v>
      </c>
      <c r="BT123">
        <v>135</v>
      </c>
      <c r="BU123">
        <f>SUM(SimpleDashData88[[#This Row],[Male]:[Child]])</f>
        <v>2510</v>
      </c>
      <c r="BV123">
        <v>2510</v>
      </c>
      <c r="BW123">
        <v>12550</v>
      </c>
      <c r="BZ123">
        <f>SimpleDashData88[[#This Row],[Total Expense]]/SimpleDashData88[[#This Row],[Total Patients]]</f>
        <v>1.2430278884462151</v>
      </c>
      <c r="CA123">
        <v>0</v>
      </c>
    </row>
    <row r="124" spans="1:79" x14ac:dyDescent="0.3">
      <c r="A124">
        <v>113</v>
      </c>
      <c r="B124" t="str">
        <v>QCNM Chillas District Jail</v>
      </c>
      <c r="C124" t="str">
        <v>U/S 42</v>
      </c>
      <c r="D124" t="str">
        <v>Capital Region</v>
      </c>
      <c r="E124" t="str">
        <v>Prison</v>
      </c>
      <c r="F124" s="2">
        <v>800</v>
      </c>
      <c r="G124" s="2">
        <v>718</v>
      </c>
      <c r="H124" s="13">
        <v>1.1142061281337048</v>
      </c>
      <c r="I124" s="13"/>
      <c r="BA124">
        <v>123</v>
      </c>
      <c r="BB124" s="12" t="s">
        <v>190</v>
      </c>
      <c r="BD124" t="s">
        <v>33</v>
      </c>
      <c r="BE124" t="s">
        <v>172</v>
      </c>
      <c r="BF124" t="s">
        <v>64</v>
      </c>
      <c r="BG124">
        <v>0</v>
      </c>
      <c r="BH124">
        <v>6450</v>
      </c>
      <c r="BI124">
        <v>0</v>
      </c>
      <c r="BJ124">
        <v>0</v>
      </c>
      <c r="BK124">
        <v>0</v>
      </c>
      <c r="BL124">
        <v>670</v>
      </c>
      <c r="BM124">
        <v>0</v>
      </c>
      <c r="BN124">
        <v>0</v>
      </c>
      <c r="BO124">
        <v>0</v>
      </c>
      <c r="BP124">
        <v>0</v>
      </c>
      <c r="BQ124">
        <f>SUM(SimpleDashData88[[#This Row],[Convayance]:[Misc]])</f>
        <v>7120</v>
      </c>
      <c r="BR124">
        <v>1520</v>
      </c>
      <c r="BS124">
        <v>6</v>
      </c>
      <c r="BT124">
        <v>12</v>
      </c>
      <c r="BU124">
        <f>SUM(SimpleDashData88[[#This Row],[Male]:[Child]])</f>
        <v>1538</v>
      </c>
      <c r="BV124">
        <v>1538</v>
      </c>
      <c r="BW124">
        <v>7690</v>
      </c>
      <c r="BZ124">
        <f>SimpleDashData88[[#This Row],[Total Expense]]/SimpleDashData88[[#This Row],[Total Patients]]</f>
        <v>4.6293888166449939</v>
      </c>
      <c r="CA124">
        <v>0</v>
      </c>
    </row>
    <row r="125" spans="1:79" x14ac:dyDescent="0.3">
      <c r="A125">
        <v>114</v>
      </c>
      <c r="B125" t="str">
        <v xml:space="preserve">QCNM Gujrat, HK Sardar Ali </v>
      </c>
      <c r="C125" t="str">
        <v>Trust Act</v>
      </c>
      <c r="D125" t="str">
        <v>Central Punjab Region</v>
      </c>
      <c r="E125" t="str">
        <v>Public</v>
      </c>
      <c r="F125" s="2">
        <v>760</v>
      </c>
      <c r="G125" s="2">
        <v>1403</v>
      </c>
      <c r="H125" s="13">
        <v>0.5416963649322879</v>
      </c>
      <c r="I125" s="13"/>
      <c r="BA125">
        <v>124</v>
      </c>
      <c r="BB125" s="12" t="s">
        <v>191</v>
      </c>
      <c r="BD125" t="s">
        <v>68</v>
      </c>
      <c r="BE125" t="s">
        <v>172</v>
      </c>
      <c r="BF125" t="s">
        <v>64</v>
      </c>
      <c r="BG125">
        <v>0</v>
      </c>
      <c r="BH125">
        <v>0</v>
      </c>
      <c r="BI125">
        <v>0</v>
      </c>
      <c r="BJ125">
        <v>0</v>
      </c>
      <c r="BK125">
        <v>560</v>
      </c>
      <c r="BL125">
        <v>0</v>
      </c>
      <c r="BM125">
        <v>0</v>
      </c>
      <c r="BN125">
        <v>550</v>
      </c>
      <c r="BO125">
        <v>600</v>
      </c>
      <c r="BP125">
        <v>0</v>
      </c>
      <c r="BQ125">
        <f>SUM(SimpleDashData88[[#This Row],[Convayance]:[Misc]])</f>
        <v>1710</v>
      </c>
      <c r="BR125">
        <v>1456</v>
      </c>
      <c r="BS125">
        <v>30</v>
      </c>
      <c r="BT125">
        <v>16</v>
      </c>
      <c r="BU125">
        <f>SUM(SimpleDashData88[[#This Row],[Male]:[Child]])</f>
        <v>1502</v>
      </c>
      <c r="BV125">
        <v>1502</v>
      </c>
      <c r="BW125">
        <v>7510</v>
      </c>
      <c r="BZ125">
        <f>SimpleDashData88[[#This Row],[Total Expense]]/SimpleDashData88[[#This Row],[Total Patients]]</f>
        <v>1.1384820239680427</v>
      </c>
      <c r="CA125">
        <v>0</v>
      </c>
    </row>
    <row r="126" spans="1:79" x14ac:dyDescent="0.3">
      <c r="A126">
        <v>115</v>
      </c>
      <c r="B126" t="str">
        <v>QCNM Vehari, District Jail</v>
      </c>
      <c r="C126" t="str">
        <v>Trust Act</v>
      </c>
      <c r="D126" t="str">
        <v>South &amp; North Punjab Region</v>
      </c>
      <c r="E126" t="str">
        <v>Prison</v>
      </c>
      <c r="F126" s="2">
        <v>695</v>
      </c>
      <c r="G126" s="2">
        <v>3048</v>
      </c>
      <c r="H126" s="13">
        <v>0.22801837270341208</v>
      </c>
      <c r="I126" s="13"/>
      <c r="BA126">
        <v>125</v>
      </c>
      <c r="BB126" s="12" t="s">
        <v>192</v>
      </c>
      <c r="BD126" t="s">
        <v>33</v>
      </c>
      <c r="BE126" t="s">
        <v>172</v>
      </c>
      <c r="BF126" t="s">
        <v>64</v>
      </c>
      <c r="BG126">
        <v>0</v>
      </c>
      <c r="BH126">
        <v>300</v>
      </c>
      <c r="BI126">
        <v>0</v>
      </c>
      <c r="BJ126">
        <v>7400</v>
      </c>
      <c r="BK126">
        <v>550</v>
      </c>
      <c r="BL126">
        <v>760</v>
      </c>
      <c r="BM126">
        <v>0</v>
      </c>
      <c r="BN126">
        <v>0</v>
      </c>
      <c r="BO126">
        <v>500</v>
      </c>
      <c r="BP126">
        <v>0</v>
      </c>
      <c r="BQ126">
        <f>SUM(SimpleDashData88[[#This Row],[Convayance]:[Misc]])</f>
        <v>9510</v>
      </c>
      <c r="BR126">
        <v>1878</v>
      </c>
      <c r="BS126">
        <v>0</v>
      </c>
      <c r="BT126">
        <v>0</v>
      </c>
      <c r="BU126">
        <f>SUM(SimpleDashData88[[#This Row],[Male]:[Child]])</f>
        <v>1878</v>
      </c>
      <c r="BV126">
        <v>1878</v>
      </c>
      <c r="BW126">
        <v>9390</v>
      </c>
      <c r="BZ126">
        <f>SimpleDashData88[[#This Row],[Total Expense]]/SimpleDashData88[[#This Row],[Total Patients]]</f>
        <v>5.0638977635782751</v>
      </c>
      <c r="CA126">
        <v>0</v>
      </c>
    </row>
    <row r="127" spans="1:79" x14ac:dyDescent="0.3">
      <c r="A127">
        <v>116</v>
      </c>
      <c r="B127" t="str">
        <v>QCNM Gift University Gujranwala (Women Campus)</v>
      </c>
      <c r="C127" t="str">
        <v>Trust Act</v>
      </c>
      <c r="D127" t="str">
        <v>Central Punjab Region</v>
      </c>
      <c r="E127" t="str">
        <v>Public</v>
      </c>
      <c r="F127" s="2">
        <v>670</v>
      </c>
      <c r="G127" s="2">
        <v>226</v>
      </c>
      <c r="H127" s="13">
        <v>2.9646017699115044</v>
      </c>
      <c r="I127" s="13"/>
      <c r="BA127">
        <v>126</v>
      </c>
      <c r="BB127" s="12" t="s">
        <v>193</v>
      </c>
      <c r="BD127" t="s">
        <v>68</v>
      </c>
      <c r="BE127" t="s">
        <v>172</v>
      </c>
      <c r="BF127" t="s">
        <v>64</v>
      </c>
      <c r="BG127">
        <v>4600</v>
      </c>
      <c r="BH127">
        <v>0</v>
      </c>
      <c r="BI127">
        <v>0</v>
      </c>
      <c r="BJ127">
        <v>0</v>
      </c>
      <c r="BK127">
        <v>0</v>
      </c>
      <c r="BL127">
        <v>380</v>
      </c>
      <c r="BM127">
        <v>0</v>
      </c>
      <c r="BN127">
        <v>0</v>
      </c>
      <c r="BO127">
        <v>500</v>
      </c>
      <c r="BP127">
        <v>0</v>
      </c>
      <c r="BQ127">
        <f>SUM(SimpleDashData88[[#This Row],[Convayance]:[Misc]])</f>
        <v>5480</v>
      </c>
      <c r="BR127">
        <v>2292</v>
      </c>
      <c r="BS127">
        <v>0</v>
      </c>
      <c r="BT127">
        <v>0</v>
      </c>
      <c r="BU127">
        <f>SUM(SimpleDashData88[[#This Row],[Male]:[Child]])</f>
        <v>2292</v>
      </c>
      <c r="BV127">
        <v>2292</v>
      </c>
      <c r="BW127">
        <v>11460</v>
      </c>
      <c r="BZ127">
        <f>SimpleDashData88[[#This Row],[Total Expense]]/SimpleDashData88[[#This Row],[Total Patients]]</f>
        <v>2.3909249563699824</v>
      </c>
      <c r="CA127">
        <v>0</v>
      </c>
    </row>
    <row r="128" spans="1:79" x14ac:dyDescent="0.3">
      <c r="A128">
        <v>117</v>
      </c>
      <c r="B128" t="str">
        <v>QCNM Tank, Sub Jail</v>
      </c>
      <c r="C128" t="str">
        <v>Trust Act</v>
      </c>
      <c r="D128" t="str">
        <v>Capital Region</v>
      </c>
      <c r="E128" t="str">
        <v>Prison</v>
      </c>
      <c r="F128" s="2">
        <v>610</v>
      </c>
      <c r="G128" s="2">
        <v>1148</v>
      </c>
      <c r="H128" s="13">
        <v>0.53135888501742157</v>
      </c>
      <c r="I128" s="13"/>
      <c r="BA128">
        <v>127</v>
      </c>
      <c r="BB128" s="12" t="s">
        <v>194</v>
      </c>
      <c r="BD128" t="s">
        <v>33</v>
      </c>
      <c r="BE128" t="s">
        <v>172</v>
      </c>
      <c r="BF128" t="s">
        <v>64</v>
      </c>
      <c r="BG128">
        <v>0</v>
      </c>
      <c r="BH128">
        <v>0</v>
      </c>
      <c r="BI128">
        <v>0</v>
      </c>
      <c r="BJ128">
        <v>1610</v>
      </c>
      <c r="BK128">
        <v>560</v>
      </c>
      <c r="BL128">
        <v>920</v>
      </c>
      <c r="BM128">
        <v>0</v>
      </c>
      <c r="BN128">
        <v>0</v>
      </c>
      <c r="BO128">
        <v>0</v>
      </c>
      <c r="BP128">
        <v>2669</v>
      </c>
      <c r="BQ128">
        <f>SUM(SimpleDashData88[[#This Row],[Convayance]:[Misc]])</f>
        <v>5759</v>
      </c>
      <c r="BR128">
        <v>31</v>
      </c>
      <c r="BS128">
        <v>647</v>
      </c>
      <c r="BT128">
        <v>69</v>
      </c>
      <c r="BU128">
        <f>SUM(SimpleDashData88[[#This Row],[Male]:[Child]])</f>
        <v>747</v>
      </c>
      <c r="BV128">
        <v>747</v>
      </c>
      <c r="BW128">
        <v>3735</v>
      </c>
      <c r="BZ128">
        <f>SimpleDashData88[[#This Row],[Total Expense]]/SimpleDashData88[[#This Row],[Total Patients]]</f>
        <v>7.7095046854082998</v>
      </c>
      <c r="CA128">
        <v>0</v>
      </c>
    </row>
    <row r="129" spans="1:79" x14ac:dyDescent="0.3">
      <c r="A129">
        <v>118</v>
      </c>
      <c r="B129" t="str">
        <v>QCNM Skardu District Jail</v>
      </c>
      <c r="C129" t="str">
        <v>U/S 42</v>
      </c>
      <c r="D129" t="str">
        <v>Capital Region</v>
      </c>
      <c r="E129" t="str">
        <v>Prison</v>
      </c>
      <c r="F129" s="2">
        <v>500</v>
      </c>
      <c r="G129" s="2">
        <v>802</v>
      </c>
      <c r="H129" s="13">
        <v>0.62344139650872821</v>
      </c>
      <c r="I129" s="13"/>
      <c r="BA129">
        <v>128</v>
      </c>
      <c r="BB129" s="12" t="s">
        <v>195</v>
      </c>
      <c r="BD129" t="s">
        <v>33</v>
      </c>
      <c r="BE129" t="s">
        <v>172</v>
      </c>
      <c r="BF129" t="s">
        <v>64</v>
      </c>
      <c r="BG129">
        <v>0</v>
      </c>
      <c r="BH129">
        <v>0</v>
      </c>
      <c r="BI129">
        <v>0</v>
      </c>
      <c r="BJ129">
        <v>1600</v>
      </c>
      <c r="BK129">
        <v>0</v>
      </c>
      <c r="BL129">
        <v>400</v>
      </c>
      <c r="BM129">
        <v>0</v>
      </c>
      <c r="BN129">
        <v>560</v>
      </c>
      <c r="BO129">
        <v>0</v>
      </c>
      <c r="BP129">
        <v>0</v>
      </c>
      <c r="BQ129">
        <f>SUM(SimpleDashData88[[#This Row],[Convayance]:[Misc]])</f>
        <v>2560</v>
      </c>
      <c r="BR129">
        <v>1488</v>
      </c>
      <c r="BS129">
        <v>0</v>
      </c>
      <c r="BT129">
        <v>0</v>
      </c>
      <c r="BU129">
        <f>SUM(SimpleDashData88[[#This Row],[Male]:[Child]])</f>
        <v>1488</v>
      </c>
      <c r="BV129">
        <v>1488</v>
      </c>
      <c r="BW129">
        <v>7440</v>
      </c>
      <c r="BZ129">
        <f>SimpleDashData88[[#This Row],[Total Expense]]/SimpleDashData88[[#This Row],[Total Patients]]</f>
        <v>1.7204301075268817</v>
      </c>
      <c r="CA129">
        <v>0</v>
      </c>
    </row>
    <row r="130" spans="1:79" x14ac:dyDescent="0.3">
      <c r="A130">
        <v>119</v>
      </c>
      <c r="B130" t="str">
        <v>QCNM Loralai, District Jail</v>
      </c>
      <c r="C130" t="str">
        <v>U/S 42</v>
      </c>
      <c r="D130" t="str">
        <v>Sindh, Balochistan &amp; AJK Region</v>
      </c>
      <c r="E130" t="str">
        <v>Prison</v>
      </c>
      <c r="F130" s="2">
        <v>500</v>
      </c>
      <c r="G130" s="2">
        <v>410</v>
      </c>
      <c r="H130" s="13">
        <v>1.2195121951219512</v>
      </c>
      <c r="I130" s="13"/>
      <c r="BA130">
        <v>129</v>
      </c>
      <c r="BB130" s="12" t="s">
        <v>196</v>
      </c>
      <c r="BD130" t="s">
        <v>68</v>
      </c>
      <c r="BE130" t="s">
        <v>172</v>
      </c>
      <c r="BF130" t="s">
        <v>64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f>SUM(SimpleDashData88[[#This Row],[Convayance]:[Misc]])</f>
        <v>0</v>
      </c>
      <c r="BR130">
        <v>1367</v>
      </c>
      <c r="BS130">
        <v>109</v>
      </c>
      <c r="BT130">
        <v>41</v>
      </c>
      <c r="BU130">
        <f>SUM(SimpleDashData88[[#This Row],[Male]:[Child]])</f>
        <v>1517</v>
      </c>
      <c r="BV130">
        <v>1517</v>
      </c>
      <c r="BW130">
        <v>7585</v>
      </c>
      <c r="BZ130">
        <f>SimpleDashData88[[#This Row],[Total Expense]]/SimpleDashData88[[#This Row],[Total Patients]]</f>
        <v>0</v>
      </c>
      <c r="CA130">
        <v>0</v>
      </c>
    </row>
    <row r="131" spans="1:79" x14ac:dyDescent="0.3">
      <c r="A131">
        <v>120</v>
      </c>
      <c r="B131" t="str">
        <v>QCNM Gilgit, Central Jail</v>
      </c>
      <c r="C131" t="str">
        <v>U/S 42</v>
      </c>
      <c r="D131" t="str">
        <v>Capital Region</v>
      </c>
      <c r="E131" t="str">
        <v>Prison</v>
      </c>
      <c r="F131" s="2">
        <v>270</v>
      </c>
      <c r="G131" s="2">
        <v>1139</v>
      </c>
      <c r="H131" s="13">
        <v>0.23705004389815629</v>
      </c>
      <c r="I131" s="13"/>
      <c r="BA131">
        <v>130</v>
      </c>
      <c r="BB131" s="12" t="s">
        <v>197</v>
      </c>
      <c r="BD131" t="s">
        <v>33</v>
      </c>
      <c r="BE131" t="s">
        <v>172</v>
      </c>
      <c r="BF131" t="s">
        <v>64</v>
      </c>
      <c r="BG131">
        <v>0</v>
      </c>
      <c r="BH131">
        <v>0</v>
      </c>
      <c r="BI131">
        <v>0</v>
      </c>
      <c r="BJ131">
        <v>1500</v>
      </c>
      <c r="BK131">
        <v>600</v>
      </c>
      <c r="BL131">
        <v>550</v>
      </c>
      <c r="BM131">
        <v>0</v>
      </c>
      <c r="BN131">
        <v>500</v>
      </c>
      <c r="BO131">
        <v>500</v>
      </c>
      <c r="BP131">
        <v>0</v>
      </c>
      <c r="BQ131">
        <f>SUM(SimpleDashData88[[#This Row],[Convayance]:[Misc]])</f>
        <v>3650</v>
      </c>
      <c r="BR131">
        <v>1778</v>
      </c>
      <c r="BS131">
        <v>0</v>
      </c>
      <c r="BT131">
        <v>0</v>
      </c>
      <c r="BU131">
        <f>SUM(SimpleDashData88[[#This Row],[Male]:[Child]])</f>
        <v>1778</v>
      </c>
      <c r="BV131">
        <v>1778</v>
      </c>
      <c r="BW131">
        <v>8890</v>
      </c>
      <c r="BZ131">
        <f>SimpleDashData88[[#This Row],[Total Expense]]/SimpleDashData88[[#This Row],[Total Patients]]</f>
        <v>2.0528683914510686</v>
      </c>
      <c r="CA131">
        <v>0</v>
      </c>
    </row>
    <row r="132" spans="1:79" x14ac:dyDescent="0.3">
      <c r="A132">
        <v>121</v>
      </c>
      <c r="B132" t="str">
        <v>QCNM Rawalakot District Jail</v>
      </c>
      <c r="C132" t="str">
        <v>Society Act</v>
      </c>
      <c r="D132" t="str">
        <v>Sindh, Balochistan &amp; AJK Region</v>
      </c>
      <c r="E132" t="str">
        <v>Prison</v>
      </c>
      <c r="F132" s="2">
        <v>150</v>
      </c>
      <c r="G132" s="2">
        <v>278</v>
      </c>
      <c r="H132" s="13">
        <v>0.53956834532374098</v>
      </c>
      <c r="I132" s="13"/>
      <c r="BA132">
        <v>131</v>
      </c>
      <c r="BB132" s="12" t="s">
        <v>198</v>
      </c>
      <c r="BD132" t="s">
        <v>68</v>
      </c>
      <c r="BE132" t="s">
        <v>172</v>
      </c>
      <c r="BF132" t="s">
        <v>64</v>
      </c>
      <c r="BG132">
        <v>0</v>
      </c>
      <c r="BH132">
        <v>0</v>
      </c>
      <c r="BI132">
        <v>1000</v>
      </c>
      <c r="BJ132">
        <v>0</v>
      </c>
      <c r="BK132">
        <v>0</v>
      </c>
      <c r="BL132">
        <v>0</v>
      </c>
      <c r="BM132">
        <v>0</v>
      </c>
      <c r="BN132">
        <v>2220</v>
      </c>
      <c r="BO132">
        <v>0</v>
      </c>
      <c r="BP132">
        <v>0</v>
      </c>
      <c r="BQ132">
        <f>SUM(SimpleDashData88[[#This Row],[Convayance]:[Misc]])</f>
        <v>3220</v>
      </c>
      <c r="BR132">
        <v>993</v>
      </c>
      <c r="BS132">
        <v>0</v>
      </c>
      <c r="BT132">
        <v>9</v>
      </c>
      <c r="BU132">
        <f>SUM(SimpleDashData88[[#This Row],[Male]:[Child]])</f>
        <v>1002</v>
      </c>
      <c r="BV132">
        <v>1002</v>
      </c>
      <c r="BW132">
        <v>5010</v>
      </c>
      <c r="BZ132">
        <f>SimpleDashData88[[#This Row],[Total Expense]]/SimpleDashData88[[#This Row],[Total Patients]]</f>
        <v>3.2135728542914173</v>
      </c>
      <c r="CA132">
        <v>0</v>
      </c>
    </row>
    <row r="133" spans="1:79" x14ac:dyDescent="0.3">
      <c r="A133">
        <v>122</v>
      </c>
      <c r="B133" t="str">
        <v>QCNM SSGT Gilgit</v>
      </c>
      <c r="C133" t="str">
        <v>Trust Act</v>
      </c>
      <c r="D133" t="str">
        <v>Capital Region</v>
      </c>
      <c r="E133" t="str">
        <v>Public</v>
      </c>
      <c r="F133" s="2">
        <v>0</v>
      </c>
      <c r="G133" s="2">
        <v>1981</v>
      </c>
      <c r="H133" s="13">
        <v>0</v>
      </c>
      <c r="I133" s="13"/>
      <c r="BA133">
        <v>132</v>
      </c>
      <c r="BB133" s="12" t="s">
        <v>199</v>
      </c>
      <c r="BD133" t="s">
        <v>33</v>
      </c>
      <c r="BE133" t="s">
        <v>172</v>
      </c>
      <c r="BF133" t="s">
        <v>64</v>
      </c>
      <c r="BG133">
        <v>8500</v>
      </c>
      <c r="BH133">
        <v>0</v>
      </c>
      <c r="BI133">
        <v>0</v>
      </c>
      <c r="BJ133">
        <v>10540</v>
      </c>
      <c r="BK133">
        <v>520</v>
      </c>
      <c r="BL133">
        <v>1350</v>
      </c>
      <c r="BM133">
        <v>0</v>
      </c>
      <c r="BN133">
        <v>0</v>
      </c>
      <c r="BO133">
        <v>500</v>
      </c>
      <c r="BP133">
        <v>0</v>
      </c>
      <c r="BQ133">
        <f>SUM(SimpleDashData88[[#This Row],[Convayance]:[Misc]])</f>
        <v>21410</v>
      </c>
      <c r="BR133">
        <v>904</v>
      </c>
      <c r="BS133">
        <v>251</v>
      </c>
      <c r="BT133">
        <v>488</v>
      </c>
      <c r="BU133">
        <f>SUM(SimpleDashData88[[#This Row],[Male]:[Child]])</f>
        <v>1643</v>
      </c>
      <c r="BV133">
        <v>1643</v>
      </c>
      <c r="BW133">
        <v>8215</v>
      </c>
      <c r="BZ133">
        <f>SimpleDashData88[[#This Row],[Total Expense]]/SimpleDashData88[[#This Row],[Total Patients]]</f>
        <v>13.031040779062691</v>
      </c>
      <c r="CA133">
        <v>0</v>
      </c>
    </row>
    <row r="134" spans="1:79" x14ac:dyDescent="0.3">
      <c r="A134">
        <v>123</v>
      </c>
      <c r="B134" t="str">
        <v>QCNM Hangu, District Jail</v>
      </c>
      <c r="C134" t="str">
        <v>Trust Act</v>
      </c>
      <c r="D134" t="str">
        <v>Capital Region</v>
      </c>
      <c r="E134" t="str">
        <v>Prison</v>
      </c>
      <c r="F134" s="2">
        <v>0</v>
      </c>
      <c r="G134" s="2">
        <v>1623</v>
      </c>
      <c r="H134" s="13">
        <v>0</v>
      </c>
      <c r="I134" s="13"/>
      <c r="BA134">
        <v>133</v>
      </c>
      <c r="BB134" s="12" t="s">
        <v>200</v>
      </c>
      <c r="BD134" t="s">
        <v>89</v>
      </c>
      <c r="BE134" t="s">
        <v>172</v>
      </c>
      <c r="BF134" t="s">
        <v>64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f>SUM(SimpleDashData88[[#This Row],[Convayance]:[Misc]])</f>
        <v>0</v>
      </c>
      <c r="BR134">
        <v>0</v>
      </c>
      <c r="BS134">
        <v>0</v>
      </c>
      <c r="BT134">
        <v>0</v>
      </c>
      <c r="BU134">
        <f>SUM(SimpleDashData88[[#This Row],[Male]:[Child]])</f>
        <v>0</v>
      </c>
      <c r="BV134">
        <v>413</v>
      </c>
      <c r="BW134">
        <v>2065</v>
      </c>
      <c r="BZ134" t="e">
        <f>SimpleDashData88[[#This Row],[Total Expense]]/SimpleDashData88[[#This Row],[Total Patients]]</f>
        <v>#DIV/0!</v>
      </c>
      <c r="CA134">
        <v>0</v>
      </c>
    </row>
    <row r="135" spans="1:79" x14ac:dyDescent="0.3">
      <c r="A135">
        <v>124</v>
      </c>
      <c r="B135" t="str">
        <v>QCNM Subjail Parachinar</v>
      </c>
      <c r="C135" t="str">
        <v>Trust Act</v>
      </c>
      <c r="D135" t="str">
        <v>Capital Region</v>
      </c>
      <c r="E135" t="str">
        <v>Prison</v>
      </c>
      <c r="F135" s="2">
        <v>0</v>
      </c>
      <c r="G135" s="2">
        <v>574</v>
      </c>
      <c r="H135" s="13">
        <v>0</v>
      </c>
      <c r="I135" s="13"/>
      <c r="BA135">
        <v>134</v>
      </c>
      <c r="BB135" s="12" t="s">
        <v>201</v>
      </c>
      <c r="BD135" t="s">
        <v>89</v>
      </c>
      <c r="BE135" t="s">
        <v>172</v>
      </c>
      <c r="BF135" t="s">
        <v>64</v>
      </c>
      <c r="BG135">
        <v>300</v>
      </c>
      <c r="BH135">
        <v>450</v>
      </c>
      <c r="BI135">
        <v>0</v>
      </c>
      <c r="BJ135">
        <v>5300</v>
      </c>
      <c r="BK135">
        <v>510</v>
      </c>
      <c r="BL135">
        <v>280</v>
      </c>
      <c r="BM135">
        <v>0</v>
      </c>
      <c r="BN135">
        <v>100</v>
      </c>
      <c r="BO135">
        <v>0</v>
      </c>
      <c r="BP135">
        <v>0</v>
      </c>
      <c r="BQ135">
        <f>SUM(SimpleDashData88[[#This Row],[Convayance]:[Misc]])</f>
        <v>6940</v>
      </c>
      <c r="BR135">
        <v>1528</v>
      </c>
      <c r="BS135">
        <v>4</v>
      </c>
      <c r="BT135">
        <v>1</v>
      </c>
      <c r="BU135">
        <f>SUM(SimpleDashData88[[#This Row],[Male]:[Child]])</f>
        <v>1533</v>
      </c>
      <c r="BV135">
        <v>1533</v>
      </c>
      <c r="BW135">
        <v>7665</v>
      </c>
      <c r="BZ135">
        <f>SimpleDashData88[[#This Row],[Total Expense]]/SimpleDashData88[[#This Row],[Total Patients]]</f>
        <v>4.5270711024135686</v>
      </c>
      <c r="CA135">
        <v>0</v>
      </c>
    </row>
    <row r="136" spans="1:79" x14ac:dyDescent="0.3">
      <c r="A136">
        <v>125</v>
      </c>
      <c r="B136" t="str">
        <v>QCNM Kisan Centre</v>
      </c>
      <c r="C136" t="str">
        <v>Trust Act</v>
      </c>
      <c r="D136" t="str">
        <v>Central Punjab Region</v>
      </c>
      <c r="E136" t="str">
        <v>Public</v>
      </c>
      <c r="F136" s="2">
        <v>0</v>
      </c>
      <c r="G136" s="2">
        <v>0</v>
      </c>
      <c r="H136" s="13" t="str">
        <v/>
      </c>
      <c r="I136" s="13"/>
      <c r="BA136">
        <v>135</v>
      </c>
      <c r="BB136" s="12" t="s">
        <v>202</v>
      </c>
      <c r="BD136" t="s">
        <v>89</v>
      </c>
      <c r="BE136" t="s">
        <v>172</v>
      </c>
      <c r="BF136" t="s">
        <v>64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f>SUM(SimpleDashData88[[#This Row],[Convayance]:[Misc]])</f>
        <v>0</v>
      </c>
      <c r="BR136">
        <v>611</v>
      </c>
      <c r="BS136">
        <v>8</v>
      </c>
      <c r="BT136">
        <v>33</v>
      </c>
      <c r="BU136">
        <f>SUM(SimpleDashData88[[#This Row],[Male]:[Child]])</f>
        <v>652</v>
      </c>
      <c r="BV136">
        <v>652</v>
      </c>
      <c r="BW136">
        <v>3260</v>
      </c>
      <c r="BZ136">
        <f>SimpleDashData88[[#This Row],[Total Expense]]/SimpleDashData88[[#This Row],[Total Patients]]</f>
        <v>0</v>
      </c>
      <c r="CA136">
        <v>0</v>
      </c>
    </row>
    <row r="137" spans="1:79" x14ac:dyDescent="0.3">
      <c r="A137">
        <v>126</v>
      </c>
      <c r="B137" t="str">
        <v>QCNM, ZCD Hospital Toba tek Singh</v>
      </c>
      <c r="C137" t="str">
        <v>Trust Act</v>
      </c>
      <c r="D137" t="str">
        <v>Central Punjab Region</v>
      </c>
      <c r="E137" t="str">
        <v>Public</v>
      </c>
      <c r="F137" s="2">
        <v>0</v>
      </c>
      <c r="G137" s="2">
        <v>548</v>
      </c>
      <c r="H137" s="13">
        <v>0</v>
      </c>
      <c r="I137" s="13"/>
      <c r="BA137">
        <v>136</v>
      </c>
      <c r="BB137" s="30" t="s">
        <v>203</v>
      </c>
      <c r="BD137" t="s">
        <v>89</v>
      </c>
      <c r="BE137" t="s">
        <v>172</v>
      </c>
      <c r="BF137" t="s">
        <v>64</v>
      </c>
      <c r="BG137">
        <v>0</v>
      </c>
      <c r="BH137">
        <v>0</v>
      </c>
      <c r="BI137">
        <v>0</v>
      </c>
      <c r="BJ137">
        <v>0</v>
      </c>
      <c r="BK137">
        <v>150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f>SUM(SimpleDashData88[[#This Row],[Convayance]:[Misc]])</f>
        <v>150</v>
      </c>
      <c r="BR137">
        <v>277</v>
      </c>
      <c r="BS137">
        <v>1</v>
      </c>
      <c r="BT137">
        <v>0</v>
      </c>
      <c r="BU137">
        <f>SUM(SimpleDashData88[[#This Row],[Male]:[Child]])</f>
        <v>278</v>
      </c>
      <c r="BV137">
        <v>278</v>
      </c>
      <c r="BW137">
        <v>1390</v>
      </c>
      <c r="BZ137">
        <f>SimpleDashData88[[#This Row],[Total Expense]]/SimpleDashData88[[#This Row],[Total Patients]]</f>
        <v>0.53956834532374098</v>
      </c>
      <c r="CA137">
        <v>0</v>
      </c>
    </row>
    <row r="138" spans="1:79" x14ac:dyDescent="0.3">
      <c r="A138">
        <v>127</v>
      </c>
      <c r="B138" t="str">
        <v xml:space="preserve">QCNM QCNM Lums </v>
      </c>
      <c r="C138" t="str">
        <v>Trust Act</v>
      </c>
      <c r="D138" t="str">
        <v>Central Punjab Region</v>
      </c>
      <c r="E138" t="str">
        <v>Public</v>
      </c>
      <c r="F138" s="2">
        <v>0</v>
      </c>
      <c r="G138" s="2">
        <v>64</v>
      </c>
      <c r="H138" s="13">
        <v>0</v>
      </c>
      <c r="I138" s="13"/>
      <c r="CA138">
        <f>SUBTOTAL(109,SimpleDashData88[Monthly Performance])</f>
        <v>0</v>
      </c>
    </row>
    <row r="139" spans="1:79" x14ac:dyDescent="0.3">
      <c r="A139">
        <v>128</v>
      </c>
      <c r="B139" t="str">
        <v>QCNM Faisalabad, Borstal Jail</v>
      </c>
      <c r="C139" t="str">
        <v>Trust Act</v>
      </c>
      <c r="D139" t="str">
        <v>Central Punjab Region</v>
      </c>
      <c r="E139" t="str">
        <v>Prison</v>
      </c>
      <c r="F139" s="2">
        <v>0</v>
      </c>
      <c r="G139" s="2">
        <v>190</v>
      </c>
      <c r="H139" s="13">
        <v>0</v>
      </c>
      <c r="I139" s="13"/>
    </row>
    <row r="140" spans="1:79" x14ac:dyDescent="0.3">
      <c r="A140">
        <v>129</v>
      </c>
      <c r="B140" t="str">
        <v>QCNM Rawalpindi Adayala Jail</v>
      </c>
      <c r="C140" t="str">
        <v>Trust Act</v>
      </c>
      <c r="D140" t="str">
        <v>South &amp; North Punjab Region</v>
      </c>
      <c r="E140" t="str">
        <v>Prison</v>
      </c>
      <c r="F140" s="2">
        <v>0</v>
      </c>
      <c r="G140" s="2">
        <v>0</v>
      </c>
      <c r="H140" s="13" t="str">
        <v/>
      </c>
      <c r="I140" s="13"/>
      <c r="BQ140">
        <f>SUM(BQ2:BQ139)</f>
        <v>1031009</v>
      </c>
      <c r="BU140">
        <f>SUM(BU2:BU139)</f>
        <v>236182</v>
      </c>
    </row>
    <row r="141" spans="1:79" x14ac:dyDescent="0.3">
      <c r="A141">
        <v>130</v>
      </c>
      <c r="B141" t="str">
        <v>OCNM SIBI ( MCKRU) University</v>
      </c>
      <c r="C141" t="str">
        <v>Trust Act</v>
      </c>
      <c r="D141" t="str">
        <v>Sindh, Balochistan &amp; AJK Region</v>
      </c>
      <c r="E141" t="str">
        <v>Public</v>
      </c>
      <c r="F141" s="2">
        <v>0</v>
      </c>
      <c r="G141" s="2">
        <v>289</v>
      </c>
      <c r="H141" s="13">
        <v>0</v>
      </c>
      <c r="I141" s="13"/>
    </row>
    <row r="142" spans="1:79" x14ac:dyDescent="0.3">
      <c r="A142">
        <v>131</v>
      </c>
      <c r="B142" t="str">
        <v>QCNM Rawalakot, University of Poonch</v>
      </c>
      <c r="C142" t="str">
        <v>Trust Act</v>
      </c>
      <c r="D142" t="str">
        <v>Sindh, Balochistan &amp; AJK Region</v>
      </c>
      <c r="E142" t="str">
        <v>Public</v>
      </c>
      <c r="F142" s="2">
        <v>0</v>
      </c>
      <c r="G142" s="2">
        <v>506</v>
      </c>
      <c r="H142" s="13">
        <v>0</v>
      </c>
      <c r="I142" s="13"/>
    </row>
    <row r="143" spans="1:79" x14ac:dyDescent="0.3">
      <c r="A143">
        <v>132</v>
      </c>
      <c r="B143" t="str">
        <v>QCNM University of AJK, MZD</v>
      </c>
      <c r="C143" t="str">
        <v>Trust Act</v>
      </c>
      <c r="D143" t="str">
        <v>Sindh, Balochistan &amp; AJK Region</v>
      </c>
      <c r="E143" t="str">
        <v>Public</v>
      </c>
      <c r="F143" s="2">
        <v>0</v>
      </c>
      <c r="G143" s="2">
        <v>621</v>
      </c>
      <c r="H143" s="13">
        <v>0</v>
      </c>
      <c r="I143" s="13"/>
    </row>
    <row r="144" spans="1:79" x14ac:dyDescent="0.3">
      <c r="A144">
        <v>133</v>
      </c>
      <c r="B144" t="str">
        <v>QCNM University of Kotli</v>
      </c>
      <c r="C144" t="str">
        <v>Trust Act</v>
      </c>
      <c r="D144" t="str">
        <v>Sindh, Balochistan &amp; AJK Region</v>
      </c>
      <c r="E144" t="str">
        <v>Public</v>
      </c>
      <c r="F144" s="2">
        <v>0</v>
      </c>
      <c r="G144" s="2">
        <v>559</v>
      </c>
      <c r="H144" s="13">
        <v>0</v>
      </c>
      <c r="I144" s="13"/>
    </row>
    <row r="145" spans="1:59" x14ac:dyDescent="0.3">
      <c r="A145">
        <v>134</v>
      </c>
      <c r="B145" t="str">
        <v>QCNM Central Jail Mach</v>
      </c>
      <c r="C145" t="str">
        <v>U/S 42</v>
      </c>
      <c r="D145" t="str">
        <v>Sindh, Balochistan &amp; AJK Region</v>
      </c>
      <c r="E145" t="str">
        <v>Prison</v>
      </c>
      <c r="F145" s="2">
        <v>0</v>
      </c>
      <c r="G145" s="2">
        <v>1517</v>
      </c>
      <c r="H145" s="13">
        <v>0</v>
      </c>
      <c r="I145" s="13"/>
    </row>
    <row r="146" spans="1:59" x14ac:dyDescent="0.3">
      <c r="A146">
        <v>135</v>
      </c>
      <c r="B146" t="str">
        <v>QCNM Muzaffarabad Central Jail</v>
      </c>
      <c r="C146" t="str">
        <v>Society Act</v>
      </c>
      <c r="D146" t="str">
        <v>Sindh, Balochistan &amp; AJK Region</v>
      </c>
      <c r="E146" t="str">
        <v>Prison</v>
      </c>
      <c r="F146" s="2">
        <v>0</v>
      </c>
      <c r="G146" s="2">
        <v>0</v>
      </c>
      <c r="H146" s="13" t="str">
        <v/>
      </c>
      <c r="I146" s="13"/>
    </row>
    <row r="147" spans="1:59" x14ac:dyDescent="0.3">
      <c r="A147">
        <v>136</v>
      </c>
      <c r="B147" t="str">
        <v>QCNM Kotli District Jail</v>
      </c>
      <c r="C147" t="str">
        <v>Society Act</v>
      </c>
      <c r="D147" t="str">
        <v>Sindh, Balochistan &amp; AJK Region</v>
      </c>
      <c r="E147" t="str">
        <v>Prison</v>
      </c>
      <c r="F147" s="2">
        <v>0</v>
      </c>
      <c r="G147" s="2">
        <v>652</v>
      </c>
      <c r="H147" s="13">
        <v>0</v>
      </c>
      <c r="I147" s="13"/>
    </row>
    <row r="148" spans="1:59" x14ac:dyDescent="0.3">
      <c r="F148" s="2"/>
      <c r="G148" s="2"/>
      <c r="H148" s="13"/>
      <c r="I148" s="13"/>
    </row>
    <row r="149" spans="1:59" x14ac:dyDescent="0.3">
      <c r="F149" s="2"/>
      <c r="G149" s="31"/>
    </row>
    <row r="150" spans="1:59" x14ac:dyDescent="0.3">
      <c r="F150" s="2"/>
      <c r="G150" s="31"/>
      <c r="BB150" t="s">
        <v>204</v>
      </c>
      <c r="BC150" t="s">
        <v>205</v>
      </c>
      <c r="BD150" t="s">
        <v>206</v>
      </c>
      <c r="BE150" t="s">
        <v>207</v>
      </c>
    </row>
    <row r="151" spans="1:59" x14ac:dyDescent="0.3">
      <c r="BB151" t="s">
        <v>42</v>
      </c>
      <c r="BC151" t="s">
        <v>43</v>
      </c>
      <c r="BD151" t="s">
        <v>43</v>
      </c>
      <c r="BF151" t="s">
        <v>9</v>
      </c>
      <c r="BG151" cm="1">
        <f t="array" ref="BG151">SUMPRODUCT((IF($D$4&lt;&gt;"",1,IF($B$4="All Regions",1,SimpleDashData88[Region]=$B$4)))*(IF($D$4&lt;&gt;"",SimpleDashData88[QCNM Name]=$D$4,IF($G$4="All Clinics",1,SimpleDashData88[QCNM Name]=$G$4)))*SimpleDashData88[Convayance])</f>
        <v>233154</v>
      </c>
    </row>
    <row r="152" spans="1:59" x14ac:dyDescent="0.3">
      <c r="BB152" t="s">
        <v>34</v>
      </c>
      <c r="BC152" t="s">
        <v>107</v>
      </c>
      <c r="BD152" t="str" cm="1">
        <f t="array" ref="BD152">IFERROR(INDEX(_xlfn._xlws.SORT(_xlfn._xlws.FILTER(SimpleDashData88[QCNM Name],IF($D$4&lt;&gt;"",1,IF($B$4="All Regions",1,SimpleDashData88[Region]=$B$4)))),ROWS($BD$152:BD152)),"")</f>
        <v>Lahore, Jamia Ashrafia</v>
      </c>
      <c r="BF152" t="s">
        <v>9</v>
      </c>
      <c r="BG152" cm="1">
        <f t="array" ref="BG152">SUMPRODUCT((IF($D$4&lt;&gt;"",1,IF($B$4="All Regions",1,SimpleDashData88[Region]=$B$4)))*(IF($D$4&lt;&gt;"",SimpleDashData88[QCNM Name]=$D$4,IF($G$4="All Clinics",1,SimpleDashData88[QCNM Name]=$G$4)))*(IF($A$4="All Sections",1,SimpleDashData88[Section]=$A$4))*SimpleDashData88[Convayance])</f>
        <v>233154</v>
      </c>
    </row>
    <row r="153" spans="1:59" x14ac:dyDescent="0.3">
      <c r="BB153" t="s">
        <v>100</v>
      </c>
      <c r="BC153" t="s">
        <v>104</v>
      </c>
      <c r="BD153" t="str" cm="1">
        <f t="array" ref="BD153">IFERROR(INDEX(_xlfn._xlws.SORT(_xlfn._xlws.FILTER(SimpleDashData88[QCNM Name],IF($D$4&lt;&gt;"",SimpleDashData88[QCNM Name]=$D$4,IF($B$4="All Regions",1,SimpleDashData88[Region]=$B$4))*IF($A$4="All Sections",1,SimpleDashData88[Section]=$A$4))),ROWS($BD$153:BD153)),"")</f>
        <v>Lahore, Jamia Ashrafia</v>
      </c>
      <c r="BF153" t="s">
        <v>10</v>
      </c>
      <c r="BG153" cm="1">
        <f t="array" ref="BG153">SUMPRODUCT((IF($D$4&lt;&gt;"",1,IF($B$4="All Regions",1,SimpleDashData88[Region]=$B$4)))*(IF($D$4&lt;&gt;"",SimpleDashData88[QCNM Name]=$D$4,IF($G$4="All Clinics",1,SimpleDashData88[QCNM Name]=$G$4)))*(IF($A$4="All Sections",1,SimpleDashData88[Section]=$A$4))*SimpleDashData88[Purchasing])</f>
        <v>87852</v>
      </c>
    </row>
    <row r="154" spans="1:59" x14ac:dyDescent="0.3">
      <c r="BB154" t="s">
        <v>172</v>
      </c>
      <c r="BC154" t="s">
        <v>179</v>
      </c>
      <c r="BD154" t="str" cm="1">
        <f t="array" ref="BD154">IFERROR(INDEX(_xlfn._xlws.SORT(_xlfn._xlws.FILTER(SimpleDashData88[QCNM Name],IF($D$4&lt;&gt;"",SimpleDashData88[QCNM Name]=$D$4,IF($B$4="All Regions",1,SimpleDashData88[Region]=$B$4))*IF($A$4="All Sections",1,SimpleDashData88[Section]=$A$4))),ROWS($BD$153:BD154)),"")</f>
        <v>Lahore, QCNM Saggian</v>
      </c>
      <c r="BF154" t="s">
        <v>11</v>
      </c>
      <c r="BG154" cm="1">
        <f t="array" ref="BG154">SUMPRODUCT((IF($D$4&lt;&gt;"",1,IF($B$4="All Regions",1,SimpleDashData88[Region]=$B$4)))*(IF($D$4&lt;&gt;"",SimpleDashData88[QCNM Name]=$D$4,IF($G$4="All Clinics",1,SimpleDashData88[QCNM Name]=$G$4)))*(IF($A$4="All Sections",1,SimpleDashData88[Section]=$A$4))*SimpleDashData88[Freight])</f>
        <v>33411</v>
      </c>
    </row>
    <row r="155" spans="1:59" x14ac:dyDescent="0.3">
      <c r="BB155" t="s">
        <v>135</v>
      </c>
      <c r="BC155" t="s">
        <v>113</v>
      </c>
      <c r="BD155" t="str" cm="1">
        <f t="array" ref="BD155">IFERROR(INDEX(_xlfn._xlws.SORT(_xlfn._xlws.FILTER(SimpleDashData88[QCNM Name],IF($D$4&lt;&gt;"",SimpleDashData88[QCNM Name]=$D$4,IF($B$4="All Regions",1,SimpleDashData88[Region]=$B$4))*IF($A$4="All Sections",1,SimpleDashData88[Section]=$A$4))),ROWS($BD$153:BD155)),"")</f>
        <v>OCNM SIBI ( MCKRU) University</v>
      </c>
      <c r="BF155" t="s">
        <v>12</v>
      </c>
      <c r="BG155" cm="1">
        <f t="array" ref="BG155">SUMPRODUCT((IF($D$4&lt;&gt;"",1,IF($B$4="All Regions",1,SimpleDashData88[Region]=$B$4)))*(IF($D$4&lt;&gt;"",SimpleDashData88[QCNM Name]=$D$4,IF($G$4="All Clinics",1,SimpleDashData88[QCNM Name]=$G$4)))*(IF($A$4="All Sections",1,SimpleDashData88[Section]=$A$4))*SimpleDashData88[Packing])</f>
        <v>395960</v>
      </c>
    </row>
    <row r="156" spans="1:59" x14ac:dyDescent="0.3">
      <c r="BC156" t="s">
        <v>63</v>
      </c>
      <c r="BD156" t="str" cm="1">
        <f t="array" ref="BD156">IFERROR(INDEX(_xlfn._xlws.SORT(_xlfn._xlws.FILTER(SimpleDashData88[QCNM Name],IF($D$4&lt;&gt;"",SimpleDashData88[QCNM Name]=$D$4,IF($B$4="All Regions",1,SimpleDashData88[Region]=$B$4))*IF($A$4="All Sections",1,SimpleDashData88[Section]=$A$4))),ROWS($BD$153:BD156)),"")</f>
        <v>QCNM Aas Rehabilitation Centre</v>
      </c>
      <c r="BF156" t="s">
        <v>13</v>
      </c>
      <c r="BG156" cm="1">
        <f t="array" ref="BG156">SUMPRODUCT((IF($D$4&lt;&gt;"",1,IF($B$4="All Regions",1,SimpleDashData88[Region]=$B$4)))*(IF($D$4&lt;&gt;"",SimpleDashData88[QCNM Name]=$D$4,IF($G$4="All Clinics",1,SimpleDashData88[QCNM Name]=$G$4)))*(IF($A$4="All Sections",1,SimpleDashData88[Section]=$A$4))*SimpleDashData88[Postage])</f>
        <v>50695</v>
      </c>
    </row>
    <row r="157" spans="1:59" x14ac:dyDescent="0.3">
      <c r="BC157" t="s">
        <v>142</v>
      </c>
      <c r="BD157" t="str" cm="1">
        <f t="array" ref="BD157">IFERROR(INDEX(_xlfn._xlws.SORT(_xlfn._xlws.FILTER(SimpleDashData88[QCNM Name],IF($D$4&lt;&gt;"",SimpleDashData88[QCNM Name]=$D$4,IF($B$4="All Regions",1,SimpleDashData88[Region]=$B$4))*IF($A$4="All Sections",1,SimpleDashData88[Section]=$A$4))),ROWS($BD$153:BD157)),"")</f>
        <v>QCNM Abottabad, District Jail</v>
      </c>
      <c r="BF157" t="s">
        <v>14</v>
      </c>
      <c r="BG157" cm="1">
        <f t="array" ref="BG157">SUMPRODUCT((IF($D$4&lt;&gt;"",1,IF($B$4="All Regions",1,SimpleDashData88[Region]=$B$4)))*(IF($D$4&lt;&gt;"",SimpleDashData88[QCNM Name]=$D$4,IF($G$4="All Clinics",1,SimpleDashData88[QCNM Name]=$G$4)))*(IF($A$4="All Sections",1,SimpleDashData88[Section]=$A$4))*SimpleDashData88[Printing])</f>
        <v>32041</v>
      </c>
    </row>
    <row r="158" spans="1:59" x14ac:dyDescent="0.3">
      <c r="BC158" t="s">
        <v>154</v>
      </c>
      <c r="BD158" t="str" cm="1">
        <f t="array" ref="BD158">IFERROR(INDEX(_xlfn._xlws.SORT(_xlfn._xlws.FILTER(SimpleDashData88[QCNM Name],IF($D$4&lt;&gt;"",SimpleDashData88[QCNM Name]=$D$4,IF($B$4="All Regions",1,SimpleDashData88[Region]=$B$4))*IF($A$4="All Sections",1,SimpleDashData88[Section]=$A$4))),ROWS($BD$153:BD158)),"")</f>
        <v>QCNM Attock, District Jail</v>
      </c>
      <c r="BF158" t="s">
        <v>15</v>
      </c>
      <c r="BG158" cm="1">
        <f t="array" ref="BG158">SUMPRODUCT((IF($D$4&lt;&gt;"",1,IF($B$4="All Regions",1,SimpleDashData88[Region]=$B$4)))*(IF($D$4&lt;&gt;"",SimpleDashData88[QCNM Name]=$D$4,IF($G$4="All Clinics",1,SimpleDashData88[QCNM Name]=$G$4)))*(IF($A$4="All Sections",1,SimpleDashData88[Section]=$A$4))*SimpleDashData88[Repair])</f>
        <v>36528</v>
      </c>
    </row>
    <row r="159" spans="1:59" x14ac:dyDescent="0.3">
      <c r="BC159" t="s">
        <v>136</v>
      </c>
      <c r="BD159" t="str" cm="1">
        <f t="array" ref="BD159">IFERROR(INDEX(_xlfn._xlws.SORT(_xlfn._xlws.FILTER(SimpleDashData88[QCNM Name],IF($D$4&lt;&gt;"",SimpleDashData88[QCNM Name]=$D$4,IF($B$4="All Regions",1,SimpleDashData88[Region]=$B$4))*IF($A$4="All Sections",1,SimpleDashData88[Section]=$A$4))),ROWS($BD$153:BD159)),"")</f>
        <v>QCNM Bahawalnagar, District Jail</v>
      </c>
      <c r="BF159" t="s">
        <v>16</v>
      </c>
      <c r="BG159" cm="1">
        <f t="array" ref="BG159">SUMPRODUCT((IF($D$4&lt;&gt;"",1,IF($B$4="All Regions",1,SimpleDashData88[Region]=$B$4)))*(IF($D$4&lt;&gt;"",SimpleDashData88[QCNM Name]=$D$4,IF($G$4="All Clinics",1,SimpleDashData88[QCNM Name]=$G$4)))*(IF($A$4="All Sections",1,SimpleDashData88[Section]=$A$4))*SimpleDashData88[Stationary])</f>
        <v>43736</v>
      </c>
    </row>
    <row r="160" spans="1:59" x14ac:dyDescent="0.3">
      <c r="BC160" t="s">
        <v>137</v>
      </c>
      <c r="BD160" t="str" cm="1">
        <f t="array" ref="BD160">IFERROR(INDEX(_xlfn._xlws.SORT(_xlfn._xlws.FILTER(SimpleDashData88[QCNM Name],IF($D$4&lt;&gt;"",SimpleDashData88[QCNM Name]=$D$4,IF($B$4="All Regions",1,SimpleDashData88[Region]=$B$4))*IF($A$4="All Sections",1,SimpleDashData88[Section]=$A$4))),ROWS($BD$153:BD160)),"")</f>
        <v>QCNM Bahawalnagar, Zainab Rafique</v>
      </c>
      <c r="BF160" t="s">
        <v>17</v>
      </c>
      <c r="BG160" cm="1">
        <f t="array" ref="BG160">SUMPRODUCT((IF($D$4&lt;&gt;"",1,IF($B$4="All Regions",1,SimpleDashData88[Region]=$B$4)))*(IF($D$4&lt;&gt;"",SimpleDashData88[QCNM Name]=$D$4,IF($G$4="All Clinics",1,SimpleDashData88[QCNM Name]=$G$4)))*(IF($A$4="All Sections",1,SimpleDashData88[Section]=$A$4))*SimpleDashData88[Utilities])</f>
        <v>30815</v>
      </c>
    </row>
    <row r="161" spans="55:59" x14ac:dyDescent="0.3">
      <c r="BC161" t="s">
        <v>153</v>
      </c>
      <c r="BD161" t="str" cm="1">
        <f t="array" ref="BD161">IFERROR(INDEX(_xlfn._xlws.SORT(_xlfn._xlws.FILTER(SimpleDashData88[QCNM Name],IF($D$4&lt;&gt;"",SimpleDashData88[QCNM Name]=$D$4,IF($B$4="All Regions",1,SimpleDashData88[Region]=$B$4))*IF($A$4="All Sections",1,SimpleDashData88[Section]=$A$4))),ROWS($BD$153:BD161)),"")</f>
        <v>QCNM Bahawalpur EMH</v>
      </c>
      <c r="BF161" t="s">
        <v>18</v>
      </c>
      <c r="BG161" cm="1">
        <f t="array" ref="BG161">SUMPRODUCT((IF($D$4&lt;&gt;"",1,IF($B$4="All Regions",1,SimpleDashData88[Region]=$B$4)))*(IF($D$4&lt;&gt;"",SimpleDashData88[QCNM Name]=$D$4,IF($G$4="All Clinics",1,SimpleDashData88[QCNM Name]=$G$4)))*(IF($A$4="All Sections",1,SimpleDashData88[Section]=$A$4))*SimpleDashData88[Misc])</f>
        <v>86817</v>
      </c>
    </row>
    <row r="162" spans="55:59" x14ac:dyDescent="0.3">
      <c r="BC162" t="s">
        <v>152</v>
      </c>
      <c r="BD162" t="str" cm="1">
        <f t="array" ref="BD162">IFERROR(INDEX(_xlfn._xlws.SORT(_xlfn._xlws.FILTER(SimpleDashData88[QCNM Name],IF($D$4&lt;&gt;"",SimpleDashData88[QCNM Name]=$D$4,IF($B$4="All Regions",1,SimpleDashData88[Region]=$B$4))*IF($A$4="All Sections",1,SimpleDashData88[Section]=$A$4))),ROWS($BD$153:BD162)),"")</f>
        <v>QCNM Bahawalpur, Borstal Jail</v>
      </c>
    </row>
    <row r="163" spans="55:59" x14ac:dyDescent="0.3">
      <c r="BC163" t="s">
        <v>65</v>
      </c>
      <c r="BD163" t="str" cm="1">
        <f t="array" ref="BD163">IFERROR(INDEX(_xlfn._xlws.SORT(_xlfn._xlws.FILTER(SimpleDashData88[QCNM Name],IF($D$4&lt;&gt;"",SimpleDashData88[QCNM Name]=$D$4,IF($B$4="All Regions",1,SimpleDashData88[Region]=$B$4))*IF($A$4="All Sections",1,SimpleDashData88[Section]=$A$4))),ROWS($BD$153:BD163)),"")</f>
        <v>QCNM Bahawalpur, Central Jail</v>
      </c>
    </row>
    <row r="164" spans="55:59" x14ac:dyDescent="0.3">
      <c r="BC164" t="s">
        <v>48</v>
      </c>
      <c r="BD164" t="str" cm="1">
        <f t="array" ref="BD164">IFERROR(INDEX(_xlfn._xlws.SORT(_xlfn._xlws.FILTER(SimpleDashData88[QCNM Name],IF($D$4&lt;&gt;"",SimpleDashData88[QCNM Name]=$D$4,IF($B$4="All Regions",1,SimpleDashData88[Region]=$B$4))*IF($A$4="All Sections",1,SimpleDashData88[Section]=$A$4))),ROWS($BD$153:BD164)),"")</f>
        <v>QCNM Bannu, Central Prison</v>
      </c>
    </row>
    <row r="165" spans="55:59" x14ac:dyDescent="0.3">
      <c r="BC165" t="s">
        <v>155</v>
      </c>
      <c r="BD165" t="str" cm="1">
        <f t="array" ref="BD165">IFERROR(INDEX(_xlfn._xlws.SORT(_xlfn._xlws.FILTER(SimpleDashData88[QCNM Name],IF($D$4&lt;&gt;"",SimpleDashData88[QCNM Name]=$D$4,IF($B$4="All Regions",1,SimpleDashData88[Region]=$B$4))*IF($A$4="All Sections",1,SimpleDashData88[Section]=$A$4))),ROWS($BD$153:BD165)),"")</f>
        <v>QCNM Bannu, USTB University</v>
      </c>
    </row>
    <row r="166" spans="55:59" x14ac:dyDescent="0.3">
      <c r="BC166" t="s">
        <v>96</v>
      </c>
      <c r="BD166" t="str" cm="1">
        <f t="array" ref="BD166">IFERROR(INDEX(_xlfn._xlws.SORT(_xlfn._xlws.FILTER(SimpleDashData88[QCNM Name],IF($D$4&lt;&gt;"",SimpleDashData88[QCNM Name]=$D$4,IF($B$4="All Regions",1,SimpleDashData88[Region]=$B$4))*IF($A$4="All Sections",1,SimpleDashData88[Section]=$A$4))),ROWS($BD$153:BD166)),"")</f>
        <v>QCNM Bhakkar, District Jail</v>
      </c>
    </row>
    <row r="167" spans="55:59" x14ac:dyDescent="0.3">
      <c r="BC167" t="s">
        <v>134</v>
      </c>
      <c r="BD167" t="str" cm="1">
        <f t="array" ref="BD167">IFERROR(INDEX(_xlfn._xlws.SORT(_xlfn._xlws.FILTER(SimpleDashData88[QCNM Name],IF($D$4&lt;&gt;"",SimpleDashData88[QCNM Name]=$D$4,IF($B$4="All Regions",1,SimpleDashData88[Region]=$B$4))*IF($A$4="All Sections",1,SimpleDashData88[Section]=$A$4))),ROWS($BD$153:BD167)),"")</f>
        <v>QCNM Buner Central Prison</v>
      </c>
    </row>
    <row r="168" spans="55:59" x14ac:dyDescent="0.3">
      <c r="BC168" t="s">
        <v>196</v>
      </c>
      <c r="BD168" t="str" cm="1">
        <f t="array" ref="BD168">IFERROR(INDEX(_xlfn._xlws.SORT(_xlfn._xlws.FILTER(SimpleDashData88[QCNM Name],IF($D$4&lt;&gt;"",SimpleDashData88[QCNM Name]=$D$4,IF($B$4="All Regions",1,SimpleDashData88[Region]=$B$4))*IF($A$4="All Sections",1,SimpleDashData88[Section]=$A$4))),ROWS($BD$153:BD168)),"")</f>
        <v>QCNM Burhan, Doke Mughalan</v>
      </c>
    </row>
    <row r="169" spans="55:59" x14ac:dyDescent="0.3">
      <c r="BC169" t="s">
        <v>193</v>
      </c>
      <c r="BD169" t="str" cm="1">
        <f t="array" ref="BD169">IFERROR(INDEX(_xlfn._xlws.SORT(_xlfn._xlws.FILTER(SimpleDashData88[QCNM Name],IF($D$4&lt;&gt;"",SimpleDashData88[QCNM Name]=$D$4,IF($B$4="All Regions",1,SimpleDashData88[Region]=$B$4))*IF($A$4="All Sections",1,SimpleDashData88[Section]=$A$4))),ROWS($BD$153:BD169)),"")</f>
        <v>QCNM Central Jail Mach</v>
      </c>
    </row>
    <row r="170" spans="55:59" x14ac:dyDescent="0.3">
      <c r="BC170" t="s">
        <v>94</v>
      </c>
      <c r="BD170" t="str" cm="1">
        <f t="array" ref="BD170">IFERROR(INDEX(_xlfn._xlws.SORT(_xlfn._xlws.FILTER(SimpleDashData88[QCNM Name],IF($D$4&lt;&gt;"",SimpleDashData88[QCNM Name]=$D$4,IF($B$4="All Regions",1,SimpleDashData88[Region]=$B$4))*IF($A$4="All Sections",1,SimpleDashData88[Section]=$A$4))),ROWS($BD$153:BD170)),"")</f>
        <v>QCNM Central Jail Zohb</v>
      </c>
    </row>
    <row r="171" spans="55:59" x14ac:dyDescent="0.3">
      <c r="BC171" t="s">
        <v>86</v>
      </c>
      <c r="BD171" t="str" cm="1">
        <f t="array" ref="BD171">IFERROR(INDEX(_xlfn._xlws.SORT(_xlfn._xlws.FILTER(SimpleDashData88[QCNM Name],IF($D$4&lt;&gt;"",SimpleDashData88[QCNM Name]=$D$4,IF($B$4="All Regions",1,SimpleDashData88[Region]=$B$4))*IF($A$4="All Sections",1,SimpleDashData88[Section]=$A$4))),ROWS($BD$153:BD171)),"")</f>
        <v>QCNM Charsadda, Sub Jail</v>
      </c>
    </row>
    <row r="172" spans="55:59" x14ac:dyDescent="0.3">
      <c r="BC172" t="s">
        <v>97</v>
      </c>
      <c r="BD172" t="str" cm="1">
        <f t="array" ref="BD172">IFERROR(INDEX(_xlfn._xlws.SORT(_xlfn._xlws.FILTER(SimpleDashData88[QCNM Name],IF($D$4&lt;&gt;"",SimpleDashData88[QCNM Name]=$D$4,IF($B$4="All Regions",1,SimpleDashData88[Region]=$B$4))*IF($A$4="All Sections",1,SimpleDashData88[Section]=$A$4))),ROWS($BD$153:BD172)),"")</f>
        <v>QCNM Chillas District Jail</v>
      </c>
    </row>
    <row r="173" spans="55:59" x14ac:dyDescent="0.3">
      <c r="BC173" t="s">
        <v>156</v>
      </c>
      <c r="BD173" t="str" cm="1">
        <f t="array" ref="BD173">IFERROR(INDEX(_xlfn._xlws.SORT(_xlfn._xlws.FILTER(SimpleDashData88[QCNM Name],IF($D$4&lt;&gt;"",SimpleDashData88[QCNM Name]=$D$4,IF($B$4="All Regions",1,SimpleDashData88[Region]=$B$4))*IF($A$4="All Sections",1,SimpleDashData88[Section]=$A$4))),ROWS($BD$153:BD173)),"")</f>
        <v>QCNM Chitral District Jail</v>
      </c>
    </row>
    <row r="174" spans="55:59" x14ac:dyDescent="0.3">
      <c r="BC174" t="s">
        <v>66</v>
      </c>
      <c r="BD174" t="str" cm="1">
        <f t="array" ref="BD174">IFERROR(INDEX(_xlfn._xlws.SORT(_xlfn._xlws.FILTER(SimpleDashData88[QCNM Name],IF($D$4&lt;&gt;"",SimpleDashData88[QCNM Name]=$D$4,IF($B$4="All Regions",1,SimpleDashData88[Region]=$B$4))*IF($A$4="All Sections",1,SimpleDashData88[Section]=$A$4))),ROWS($BD$153:BD174)),"")</f>
        <v>QCNM D.G Khan, Central Jail</v>
      </c>
    </row>
    <row r="175" spans="55:59" x14ac:dyDescent="0.3">
      <c r="BC175" t="s">
        <v>182</v>
      </c>
      <c r="BD175" t="str" cm="1">
        <f t="array" ref="BD175">IFERROR(INDEX(_xlfn._xlws.SORT(_xlfn._xlws.FILTER(SimpleDashData88[QCNM Name],IF($D$4&lt;&gt;"",SimpleDashData88[QCNM Name]=$D$4,IF($B$4="All Regions",1,SimpleDashData88[Region]=$B$4))*IF($A$4="All Sections",1,SimpleDashData88[Section]=$A$4))),ROWS($BD$153:BD175)),"")</f>
        <v>QCNM D.I Khan, Central Jail</v>
      </c>
    </row>
    <row r="176" spans="55:59" x14ac:dyDescent="0.3">
      <c r="BC176" t="s">
        <v>47</v>
      </c>
      <c r="BD176" t="str" cm="1">
        <f t="array" ref="BD176">IFERROR(INDEX(_xlfn._xlws.SORT(_xlfn._xlws.FILTER(SimpleDashData88[QCNM Name],IF($D$4&lt;&gt;"",SimpleDashData88[QCNM Name]=$D$4,IF($B$4="All Regions",1,SimpleDashData88[Region]=$B$4))*IF($A$4="All Sections",1,SimpleDashData88[Section]=$A$4))),ROWS($BD$153:BD176)),"")</f>
        <v>QCNM Faisalabad, Borstal Jail</v>
      </c>
    </row>
    <row r="177" spans="55:56" x14ac:dyDescent="0.3">
      <c r="BC177" t="s">
        <v>121</v>
      </c>
      <c r="BD177" t="str" cm="1">
        <f t="array" ref="BD177">IFERROR(INDEX(_xlfn._xlws.SORT(_xlfn._xlws.FILTER(SimpleDashData88[QCNM Name],IF($D$4&lt;&gt;"",SimpleDashData88[QCNM Name]=$D$4,IF($B$4="All Regions",1,SimpleDashData88[Region]=$B$4))*IF($A$4="All Sections",1,SimpleDashData88[Section]=$A$4))),ROWS($BD$153:BD177)),"")</f>
        <v>QCNM Faisalabad, Central Jail</v>
      </c>
    </row>
    <row r="178" spans="55:56" x14ac:dyDescent="0.3">
      <c r="BC178" t="s">
        <v>119</v>
      </c>
      <c r="BD178" t="str" cm="1">
        <f t="array" ref="BD178">IFERROR(INDEX(_xlfn._xlws.SORT(_xlfn._xlws.FILTER(SimpleDashData88[QCNM Name],IF($D$4&lt;&gt;"",SimpleDashData88[QCNM Name]=$D$4,IF($B$4="All Regions",1,SimpleDashData88[Region]=$B$4))*IF($A$4="All Sections",1,SimpleDashData88[Section]=$A$4))),ROWS($BD$153:BD178)),"")</f>
        <v>QCNM Faisalabad, District Jail</v>
      </c>
    </row>
    <row r="179" spans="55:56" x14ac:dyDescent="0.3">
      <c r="BC179" t="s">
        <v>120</v>
      </c>
      <c r="BD179" t="str" cm="1">
        <f t="array" ref="BD179">IFERROR(INDEX(_xlfn._xlws.SORT(_xlfn._xlws.FILTER(SimpleDashData88[QCNM Name],IF($D$4&lt;&gt;"",SimpleDashData88[QCNM Name]=$D$4,IF($B$4="All Regions",1,SimpleDashData88[Region]=$B$4))*IF($A$4="All Sections",1,SimpleDashData88[Section]=$A$4))),ROWS($BD$153:BD179)),"")</f>
        <v>QCNM Faisalabad, GCU (New Campus)</v>
      </c>
    </row>
    <row r="180" spans="55:56" x14ac:dyDescent="0.3">
      <c r="BC180" t="s">
        <v>109</v>
      </c>
      <c r="BD180" t="str" cm="1">
        <f t="array" ref="BD180">IFERROR(INDEX(_xlfn._xlws.SORT(_xlfn._xlws.FILTER(SimpleDashData88[QCNM Name],IF($D$4&lt;&gt;"",SimpleDashData88[QCNM Name]=$D$4,IF($B$4="All Regions",1,SimpleDashData88[Region]=$B$4))*IF($A$4="All Sections",1,SimpleDashData88[Section]=$A$4))),ROWS($BD$153:BD180)),"")</f>
        <v>QCNM Faisalabad, GCU (Old Campus)</v>
      </c>
    </row>
    <row r="181" spans="55:56" x14ac:dyDescent="0.3">
      <c r="BC181" t="s">
        <v>110</v>
      </c>
      <c r="BD181" t="str" cm="1">
        <f t="array" ref="BD181">IFERROR(INDEX(_xlfn._xlws.SORT(_xlfn._xlws.FILTER(SimpleDashData88[QCNM Name],IF($D$4&lt;&gt;"",SimpleDashData88[QCNM Name]=$D$4,IF($B$4="All Regions",1,SimpleDashData88[Region]=$B$4))*IF($A$4="All Sections",1,SimpleDashData88[Section]=$A$4))),ROWS($BD$153:BD181)),"")</f>
        <v>QCNM Faisalabad, Women District Jail</v>
      </c>
    </row>
    <row r="182" spans="55:56" x14ac:dyDescent="0.3">
      <c r="BC182" t="s">
        <v>132</v>
      </c>
      <c r="BD182" t="str" cm="1">
        <f t="array" ref="BD182">IFERROR(INDEX(_xlfn._xlws.SORT(_xlfn._xlws.FILTER(SimpleDashData88[QCNM Name],IF($D$4&lt;&gt;"",SimpleDashData88[QCNM Name]=$D$4,IF($B$4="All Regions",1,SimpleDashData88[Region]=$B$4))*IF($A$4="All Sections",1,SimpleDashData88[Section]=$A$4))),ROWS($BD$153:BD182)),"")</f>
        <v>QCNM FUUAST ( Abdul Haq Campus)</v>
      </c>
    </row>
    <row r="183" spans="55:56" x14ac:dyDescent="0.3">
      <c r="BC183" t="s">
        <v>69</v>
      </c>
      <c r="BD183" t="str" cm="1">
        <f t="array" ref="BD183">IFERROR(INDEX(_xlfn._xlws.SORT(_xlfn._xlws.FILTER(SimpleDashData88[QCNM Name],IF($D$4&lt;&gt;"",SimpleDashData88[QCNM Name]=$D$4,IF($B$4="All Regions",1,SimpleDashData88[Region]=$B$4))*IF($A$4="All Sections",1,SimpleDashData88[Section]=$A$4))),ROWS($BD$153:BD183)),"")</f>
        <v>QCNM FUUAST Islamabad</v>
      </c>
    </row>
    <row r="184" spans="55:56" x14ac:dyDescent="0.3">
      <c r="BC184" t="s">
        <v>114</v>
      </c>
      <c r="BD184" t="str" cm="1">
        <f t="array" ref="BD184">IFERROR(INDEX(_xlfn._xlws.SORT(_xlfn._xlws.FILTER(SimpleDashData88[QCNM Name],IF($D$4&lt;&gt;"",SimpleDashData88[QCNM Name]=$D$4,IF($B$4="All Regions",1,SimpleDashData88[Region]=$B$4))*IF($A$4="All Sections",1,SimpleDashData88[Section]=$A$4))),ROWS($BD$153:BD184)),"")</f>
        <v>QCNM Ghizer, District Jail</v>
      </c>
    </row>
    <row r="185" spans="55:56" x14ac:dyDescent="0.3">
      <c r="BC185" t="s">
        <v>115</v>
      </c>
      <c r="BD185" t="str" cm="1">
        <f t="array" ref="BD185">IFERROR(INDEX(_xlfn._xlws.SORT(_xlfn._xlws.FILTER(SimpleDashData88[QCNM Name],IF($D$4&lt;&gt;"",SimpleDashData88[QCNM Name]=$D$4,IF($B$4="All Regions",1,SimpleDashData88[Region]=$B$4))*IF($A$4="All Sections",1,SimpleDashData88[Section]=$A$4))),ROWS($BD$153:BD185)),"")</f>
        <v>QCNM Gift University Gujranwala</v>
      </c>
    </row>
    <row r="186" spans="55:56" x14ac:dyDescent="0.3">
      <c r="BC186" t="s">
        <v>67</v>
      </c>
      <c r="BD186" t="str" cm="1">
        <f t="array" ref="BD186">IFERROR(INDEX(_xlfn._xlws.SORT(_xlfn._xlws.FILTER(SimpleDashData88[QCNM Name],IF($D$4&lt;&gt;"",SimpleDashData88[QCNM Name]=$D$4,IF($B$4="All Regions",1,SimpleDashData88[Region]=$B$4))*IF($A$4="All Sections",1,SimpleDashData88[Section]=$A$4))),ROWS($BD$153:BD186)),"")</f>
        <v>QCNM Gift University Gujranwala (Women Campus)</v>
      </c>
    </row>
    <row r="187" spans="55:56" x14ac:dyDescent="0.3">
      <c r="BC187" t="s">
        <v>122</v>
      </c>
      <c r="BD187" t="str" cm="1">
        <f t="array" ref="BD187">IFERROR(INDEX(_xlfn._xlws.SORT(_xlfn._xlws.FILTER(SimpleDashData88[QCNM Name],IF($D$4&lt;&gt;"",SimpleDashData88[QCNM Name]=$D$4,IF($B$4="All Regions",1,SimpleDashData88[Region]=$B$4))*IF($A$4="All Sections",1,SimpleDashData88[Section]=$A$4))),ROWS($BD$153:BD187)),"")</f>
        <v>QCNM Gilgit, Central Jail</v>
      </c>
    </row>
    <row r="188" spans="55:56" x14ac:dyDescent="0.3">
      <c r="BC188" t="s">
        <v>133</v>
      </c>
      <c r="BD188" t="str" cm="1">
        <f t="array" ref="BD188">IFERROR(INDEX(_xlfn._xlws.SORT(_xlfn._xlws.FILTER(SimpleDashData88[QCNM Name],IF($D$4&lt;&gt;"",SimpleDashData88[QCNM Name]=$D$4,IF($B$4="All Regions",1,SimpleDashData88[Region]=$B$4))*IF($A$4="All Sections",1,SimpleDashData88[Section]=$A$4))),ROWS($BD$153:BD188)),"")</f>
        <v>QCNM Gujranwala, Central Jail</v>
      </c>
    </row>
    <row r="189" spans="55:56" x14ac:dyDescent="0.3">
      <c r="BC189" t="s">
        <v>208</v>
      </c>
      <c r="BD189" t="str" cm="1">
        <f t="array" ref="BD189">IFERROR(INDEX(_xlfn._xlws.SORT(_xlfn._xlws.FILTER(SimpleDashData88[QCNM Name],IF($D$4&lt;&gt;"",SimpleDashData88[QCNM Name]=$D$4,IF($B$4="All Regions",1,SimpleDashData88[Region]=$B$4))*IF($A$4="All Sections",1,SimpleDashData88[Section]=$A$4))),ROWS($BD$153:BD189)),"")</f>
        <v>QCNM Gujrat, District Jail</v>
      </c>
    </row>
    <row r="190" spans="55:56" x14ac:dyDescent="0.3">
      <c r="BC190" t="s">
        <v>111</v>
      </c>
      <c r="BD190" t="str" cm="1">
        <f t="array" ref="BD190">IFERROR(INDEX(_xlfn._xlws.SORT(_xlfn._xlws.FILTER(SimpleDashData88[QCNM Name],IF($D$4&lt;&gt;"",SimpleDashData88[QCNM Name]=$D$4,IF($B$4="All Regions",1,SimpleDashData88[Region]=$B$4))*IF($A$4="All Sections",1,SimpleDashData88[Section]=$A$4))),ROWS($BD$153:BD190)),"")</f>
        <v xml:space="preserve">QCNM Gujrat, HK Sardar Ali </v>
      </c>
    </row>
    <row r="191" spans="55:56" x14ac:dyDescent="0.3">
      <c r="BC191" t="s">
        <v>144</v>
      </c>
      <c r="BD191" t="str" cm="1">
        <f t="array" ref="BD191">IFERROR(INDEX(_xlfn._xlws.SORT(_xlfn._xlws.FILTER(SimpleDashData88[QCNM Name],IF($D$4&lt;&gt;"",SimpleDashData88[QCNM Name]=$D$4,IF($B$4="All Regions",1,SimpleDashData88[Region]=$B$4))*IF($A$4="All Sections",1,SimpleDashData88[Section]=$A$4))),ROWS($BD$153:BD191)),"")</f>
        <v>QCNM Hadi Free Hospital</v>
      </c>
    </row>
    <row r="192" spans="55:56" x14ac:dyDescent="0.3">
      <c r="BC192" t="s">
        <v>91</v>
      </c>
      <c r="BD192" t="str" cm="1">
        <f t="array" ref="BD192">IFERROR(INDEX(_xlfn._xlws.SORT(_xlfn._xlws.FILTER(SimpleDashData88[QCNM Name],IF($D$4&lt;&gt;"",SimpleDashData88[QCNM Name]=$D$4,IF($B$4="All Regions",1,SimpleDashData88[Region]=$B$4))*IF($A$4="All Sections",1,SimpleDashData88[Section]=$A$4))),ROWS($BD$153:BD192)),"")</f>
        <v>QCNM Hafizabad, Dist Jail</v>
      </c>
    </row>
    <row r="193" spans="55:56" x14ac:dyDescent="0.3">
      <c r="BC193" t="s">
        <v>72</v>
      </c>
      <c r="BD193" t="str" cm="1">
        <f t="array" ref="BD193">IFERROR(INDEX(_xlfn._xlws.SORT(_xlfn._xlws.FILTER(SimpleDashData88[QCNM Name],IF($D$4&lt;&gt;"",SimpleDashData88[QCNM Name]=$D$4,IF($B$4="All Regions",1,SimpleDashData88[Region]=$B$4))*IF($A$4="All Sections",1,SimpleDashData88[Section]=$A$4))),ROWS($BD$153:BD193)),"")</f>
        <v>QCNM Hangu, District Jail</v>
      </c>
    </row>
    <row r="194" spans="55:56" x14ac:dyDescent="0.3">
      <c r="BC194" t="s">
        <v>32</v>
      </c>
      <c r="BD194" t="str" cm="1">
        <f t="array" ref="BD194">IFERROR(INDEX(_xlfn._xlws.SORT(_xlfn._xlws.FILTER(SimpleDashData88[QCNM Name],IF($D$4&lt;&gt;"",SimpleDashData88[QCNM Name]=$D$4,IF($B$4="All Regions",1,SimpleDashData88[Region]=$B$4))*IF($A$4="All Sections",1,SimpleDashData88[Section]=$A$4))),ROWS($BD$153:BD194)),"")</f>
        <v>QCNM Haripur, Central Jail</v>
      </c>
    </row>
    <row r="195" spans="55:56" x14ac:dyDescent="0.3">
      <c r="BC195" t="s">
        <v>187</v>
      </c>
      <c r="BD195" t="str" cm="1">
        <f t="array" ref="BD195">IFERROR(INDEX(_xlfn._xlws.SORT(_xlfn._xlws.FILTER(SimpleDashData88[QCNM Name],IF($D$4&lt;&gt;"",SimpleDashData88[QCNM Name]=$D$4,IF($B$4="All Regions",1,SimpleDashData88[Region]=$B$4))*IF($A$4="All Sections",1,SimpleDashData88[Section]=$A$4))),ROWS($BD$153:BD195)),"")</f>
        <v>QCNM Hattar</v>
      </c>
    </row>
    <row r="196" spans="55:56" x14ac:dyDescent="0.3">
      <c r="BC196" t="s">
        <v>41</v>
      </c>
      <c r="BD196" t="str" cm="1">
        <f t="array" ref="BD196">IFERROR(INDEX(_xlfn._xlws.SORT(_xlfn._xlws.FILTER(SimpleDashData88[QCNM Name],IF($D$4&lt;&gt;"",SimpleDashData88[QCNM Name]=$D$4,IF($B$4="All Regions",1,SimpleDashData88[Region]=$B$4))*IF($A$4="All Sections",1,SimpleDashData88[Section]=$A$4))),ROWS($BD$153:BD196)),"")</f>
        <v>QCNM High Security Prison Mianwali</v>
      </c>
    </row>
    <row r="197" spans="55:56" x14ac:dyDescent="0.3">
      <c r="BC197" t="s">
        <v>143</v>
      </c>
      <c r="BD197" t="str" cm="1">
        <f t="array" ref="BD197">IFERROR(INDEX(_xlfn._xlws.SORT(_xlfn._xlws.FILTER(SimpleDashData88[QCNM Name],IF($D$4&lt;&gt;"",SimpleDashData88[QCNM Name]=$D$4,IF($B$4="All Regions",1,SimpleDashData88[Region]=$B$4))*IF($A$4="All Sections",1,SimpleDashData88[Section]=$A$4))),ROWS($BD$153:BD197)),"")</f>
        <v>QCNM Hyderabad, Central Prison</v>
      </c>
    </row>
    <row r="198" spans="55:56" x14ac:dyDescent="0.3">
      <c r="BC198" t="s">
        <v>123</v>
      </c>
      <c r="BD198" t="str" cm="1">
        <f t="array" ref="BD198">IFERROR(INDEX(_xlfn._xlws.SORT(_xlfn._xlws.FILTER(SimpleDashData88[QCNM Name],IF($D$4&lt;&gt;"",SimpleDashData88[QCNM Name]=$D$4,IF($B$4="All Regions",1,SimpleDashData88[Region]=$B$4))*IF($A$4="All Sections",1,SimpleDashData88[Section]=$A$4))),ROWS($BD$153:BD198)),"")</f>
        <v>QCNM Islamabad, Police line</v>
      </c>
    </row>
    <row r="199" spans="55:56" x14ac:dyDescent="0.3">
      <c r="BC199" t="s">
        <v>190</v>
      </c>
      <c r="BD199" t="str" cm="1">
        <f t="array" ref="BD199">IFERROR(INDEX(_xlfn._xlws.SORT(_xlfn._xlws.FILTER(SimpleDashData88[QCNM Name],IF($D$4&lt;&gt;"",SimpleDashData88[QCNM Name]=$D$4,IF($B$4="All Regions",1,SimpleDashData88[Region]=$B$4))*IF($A$4="All Sections",1,SimpleDashData88[Section]=$A$4))),ROWS($BD$153:BD199)),"")</f>
        <v>QCNM Jehlum, District Jail</v>
      </c>
    </row>
    <row r="200" spans="55:56" x14ac:dyDescent="0.3">
      <c r="BC200" t="s">
        <v>74</v>
      </c>
      <c r="BD200" t="str" cm="1">
        <f t="array" ref="BD200">IFERROR(INDEX(_xlfn._xlws.SORT(_xlfn._xlws.FILTER(SimpleDashData88[QCNM Name],IF($D$4&lt;&gt;"",SimpleDashData88[QCNM Name]=$D$4,IF($B$4="All Regions",1,SimpleDashData88[Region]=$B$4))*IF($A$4="All Sections",1,SimpleDashData88[Section]=$A$4))),ROWS($BD$153:BD200)),"")</f>
        <v>QCNM Jhang, District Jail</v>
      </c>
    </row>
    <row r="201" spans="55:56" x14ac:dyDescent="0.3">
      <c r="BC201" t="s">
        <v>124</v>
      </c>
      <c r="BD201" t="str" cm="1">
        <f t="array" ref="BD201">IFERROR(INDEX(_xlfn._xlws.SORT(_xlfn._xlws.FILTER(SimpleDashData88[QCNM Name],IF($D$4&lt;&gt;"",SimpleDashData88[QCNM Name]=$D$4,IF($B$4="All Regions",1,SimpleDashData88[Region]=$B$4))*IF($A$4="All Sections",1,SimpleDashData88[Section]=$A$4))),ROWS($BD$153:BD201)),"")</f>
        <v>QCNM Karachi, Central Prison</v>
      </c>
    </row>
    <row r="202" spans="55:56" x14ac:dyDescent="0.3">
      <c r="BC202" t="s">
        <v>197</v>
      </c>
      <c r="BD202" t="str" cm="1">
        <f t="array" ref="BD202">IFERROR(INDEX(_xlfn._xlws.SORT(_xlfn._xlws.FILTER(SimpleDashData88[QCNM Name],IF($D$4&lt;&gt;"",SimpleDashData88[QCNM Name]=$D$4,IF($B$4="All Regions",1,SimpleDashData88[Region]=$B$4))*IF($A$4="All Sections",1,SimpleDashData88[Section]=$A$4))),ROWS($BD$153:BD202)),"")</f>
        <v>QCNM Karak, Central Jail</v>
      </c>
    </row>
    <row r="203" spans="55:56" x14ac:dyDescent="0.3">
      <c r="BC203" t="s">
        <v>157</v>
      </c>
      <c r="BD203" t="str" cm="1">
        <f t="array" ref="BD203">IFERROR(INDEX(_xlfn._xlws.SORT(_xlfn._xlws.FILTER(SimpleDashData88[QCNM Name],IF($D$4&lt;&gt;"",SimpleDashData88[QCNM Name]=$D$4,IF($B$4="All Regions",1,SimpleDashData88[Region]=$B$4))*IF($A$4="All Sections",1,SimpleDashData88[Section]=$A$4))),ROWS($BD$153:BD203)),"")</f>
        <v>QCNM Kasur, District Jail</v>
      </c>
    </row>
    <row r="204" spans="55:56" x14ac:dyDescent="0.3">
      <c r="BC204" t="s">
        <v>178</v>
      </c>
      <c r="BD204" t="str" cm="1">
        <f t="array" ref="BD204">IFERROR(INDEX(_xlfn._xlws.SORT(_xlfn._xlws.FILTER(SimpleDashData88[QCNM Name],IF($D$4&lt;&gt;"",SimpleDashData88[QCNM Name]=$D$4,IF($B$4="All Regions",1,SimpleDashData88[Region]=$B$4))*IF($A$4="All Sections",1,SimpleDashData88[Section]=$A$4))),ROWS($BD$153:BD204)),"")</f>
        <v>QCNM Khairpur, Central Jail</v>
      </c>
    </row>
    <row r="205" spans="55:56" x14ac:dyDescent="0.3">
      <c r="BC205" t="s">
        <v>198</v>
      </c>
      <c r="BD205" t="str" cm="1">
        <f t="array" ref="BD205">IFERROR(INDEX(_xlfn._xlws.SORT(_xlfn._xlws.FILTER(SimpleDashData88[QCNM Name],IF($D$4&lt;&gt;"",SimpleDashData88[QCNM Name]=$D$4,IF($B$4="All Regions",1,SimpleDashData88[Region]=$B$4))*IF($A$4="All Sections",1,SimpleDashData88[Section]=$A$4))),ROWS($BD$153:BD205)),"")</f>
        <v>QCNM Khanewal, District Jail</v>
      </c>
    </row>
    <row r="206" spans="55:56" x14ac:dyDescent="0.3">
      <c r="BC206" t="s">
        <v>112</v>
      </c>
      <c r="BD206" t="str" cm="1">
        <f t="array" ref="BD206">IFERROR(INDEX(_xlfn._xlws.SORT(_xlfn._xlws.FILTER(SimpleDashData88[QCNM Name],IF($D$4&lt;&gt;"",SimpleDashData88[QCNM Name]=$D$4,IF($B$4="All Regions",1,SimpleDashData88[Region]=$B$4))*IF($A$4="All Sections",1,SimpleDashData88[Section]=$A$4))),ROWS($BD$153:BD206)),"")</f>
        <v>QCNM Khuzdar(BUET) University</v>
      </c>
    </row>
    <row r="207" spans="55:56" x14ac:dyDescent="0.3">
      <c r="BC207" t="s">
        <v>73</v>
      </c>
      <c r="BD207" t="str" cm="1">
        <f t="array" ref="BD207">IFERROR(INDEX(_xlfn._xlws.SORT(_xlfn._xlws.FILTER(SimpleDashData88[QCNM Name],IF($D$4&lt;&gt;"",SimpleDashData88[QCNM Name]=$D$4,IF($B$4="All Regions",1,SimpleDashData88[Region]=$B$4))*IF($A$4="All Sections",1,SimpleDashData88[Section]=$A$4))),ROWS($BD$153:BD207)),"")</f>
        <v>QCNM Khuzdar, Central Jail</v>
      </c>
    </row>
    <row r="208" spans="55:56" x14ac:dyDescent="0.3">
      <c r="BC208" t="s">
        <v>202</v>
      </c>
      <c r="BD208" t="str" cm="1">
        <f t="array" ref="BD208">IFERROR(INDEX(_xlfn._xlws.SORT(_xlfn._xlws.FILTER(SimpleDashData88[QCNM Name],IF($D$4&lt;&gt;"",SimpleDashData88[QCNM Name]=$D$4,IF($B$4="All Regions",1,SimpleDashData88[Region]=$B$4))*IF($A$4="All Sections",1,SimpleDashData88[Section]=$A$4))),ROWS($BD$153:BD208)),"")</f>
        <v>QCNM Kisan Centre</v>
      </c>
    </row>
    <row r="209" spans="55:56" x14ac:dyDescent="0.3">
      <c r="BC209" t="s">
        <v>105</v>
      </c>
      <c r="BD209" t="str" cm="1">
        <f t="array" ref="BD209">IFERROR(INDEX(_xlfn._xlws.SORT(_xlfn._xlws.FILTER(SimpleDashData88[QCNM Name],IF($D$4&lt;&gt;"",SimpleDashData88[QCNM Name]=$D$4,IF($B$4="All Regions",1,SimpleDashData88[Region]=$B$4))*IF($A$4="All Sections",1,SimpleDashData88[Section]=$A$4))),ROWS($BD$153:BD209)),"")</f>
        <v>QCNM Kohat, District Jail</v>
      </c>
    </row>
    <row r="210" spans="55:56" x14ac:dyDescent="0.3">
      <c r="BC210" t="s">
        <v>106</v>
      </c>
      <c r="BD210" t="str" cm="1">
        <f t="array" ref="BD210">IFERROR(INDEX(_xlfn._xlws.SORT(_xlfn._xlws.FILTER(SimpleDashData88[QCNM Name],IF($D$4&lt;&gt;"",SimpleDashData88[QCNM Name]=$D$4,IF($B$4="All Regions",1,SimpleDashData88[Region]=$B$4))*IF($A$4="All Sections",1,SimpleDashData88[Section]=$A$4))),ROWS($BD$153:BD210)),"")</f>
        <v>QCNM Kotli District Jail</v>
      </c>
    </row>
    <row r="211" spans="55:56" x14ac:dyDescent="0.3">
      <c r="BC211" t="s">
        <v>101</v>
      </c>
      <c r="BD211" t="str" cm="1">
        <f t="array" ref="BD211">IFERROR(INDEX(_xlfn._xlws.SORT(_xlfn._xlws.FILTER(SimpleDashData88[QCNM Name],IF($D$4&lt;&gt;"",SimpleDashData88[QCNM Name]=$D$4,IF($B$4="All Regions",1,SimpleDashData88[Region]=$B$4))*IF($A$4="All Sections",1,SimpleDashData88[Section]=$A$4))),ROWS($BD$153:BD211)),"")</f>
        <v>QCNM Lahore, Al Mustafa Trust</v>
      </c>
    </row>
    <row r="212" spans="55:56" x14ac:dyDescent="0.3">
      <c r="BC212" t="s">
        <v>125</v>
      </c>
      <c r="BD212" t="str" cm="1">
        <f t="array" ref="BD212">IFERROR(INDEX(_xlfn._xlws.SORT(_xlfn._xlws.FILTER(SimpleDashData88[QCNM Name],IF($D$4&lt;&gt;"",SimpleDashData88[QCNM Name]=$D$4,IF($B$4="All Regions",1,SimpleDashData88[Region]=$B$4))*IF($A$4="All Sections",1,SimpleDashData88[Section]=$A$4))),ROWS($BD$153:BD212)),"")</f>
        <v>QCNM Lahore, Binnat School (Model Town)</v>
      </c>
    </row>
    <row r="213" spans="55:56" x14ac:dyDescent="0.3">
      <c r="BC213" t="s">
        <v>126</v>
      </c>
      <c r="BD213" t="str" cm="1">
        <f t="array" ref="BD213">IFERROR(INDEX(_xlfn._xlws.SORT(_xlfn._xlws.FILTER(SimpleDashData88[QCNM Name],IF($D$4&lt;&gt;"",SimpleDashData88[QCNM Name]=$D$4,IF($B$4="All Regions",1,SimpleDashData88[Region]=$B$4))*IF($A$4="All Sections",1,SimpleDashData88[Section]=$A$4))),ROWS($BD$153:BD213)),"")</f>
        <v>QCNM Lahore, Chauburji</v>
      </c>
    </row>
    <row r="214" spans="55:56" x14ac:dyDescent="0.3">
      <c r="BC214" t="s">
        <v>103</v>
      </c>
      <c r="BD214" t="str" cm="1">
        <f t="array" ref="BD214">IFERROR(INDEX(_xlfn._xlws.SORT(_xlfn._xlws.FILTER(SimpleDashData88[QCNM Name],IF($D$4&lt;&gt;"",SimpleDashData88[QCNM Name]=$D$4,IF($B$4="All Regions",1,SimpleDashData88[Region]=$B$4))*IF($A$4="All Sections",1,SimpleDashData88[Section]=$A$4))),ROWS($BD$153:BD214)),"")</f>
        <v>QCNM Lahore, District (Camp) Jail</v>
      </c>
    </row>
    <row r="215" spans="55:56" x14ac:dyDescent="0.3">
      <c r="BC215" t="s">
        <v>102</v>
      </c>
      <c r="BD215" t="str" cm="1">
        <f t="array" ref="BD215">IFERROR(INDEX(_xlfn._xlws.SORT(_xlfn._xlws.FILTER(SimpleDashData88[QCNM Name],IF($D$4&lt;&gt;"",SimpleDashData88[QCNM Name]=$D$4,IF($B$4="All Regions",1,SimpleDashData88[Region]=$B$4))*IF($A$4="All Sections",1,SimpleDashData88[Section]=$A$4))),ROWS($BD$153:BD215)),"")</f>
        <v>QCNM Lahore, Kot Lakhpat Jail</v>
      </c>
    </row>
    <row r="216" spans="55:56" x14ac:dyDescent="0.3">
      <c r="BC216" t="s">
        <v>131</v>
      </c>
      <c r="BD216" t="str" cm="1">
        <f t="array" ref="BD216">IFERROR(INDEX(_xlfn._xlws.SORT(_xlfn._xlws.FILTER(SimpleDashData88[QCNM Name],IF($D$4&lt;&gt;"",SimpleDashData88[QCNM Name]=$D$4,IF($B$4="All Regions",1,SimpleDashData88[Region]=$B$4))*IF($A$4="All Sections",1,SimpleDashData88[Section]=$A$4))),ROWS($BD$153:BD216)),"")</f>
        <v>QCNM Lahore, Molvi Najjar Ashiana Housing</v>
      </c>
    </row>
    <row r="217" spans="55:56" x14ac:dyDescent="0.3">
      <c r="BC217" t="s">
        <v>82</v>
      </c>
      <c r="BD217" t="str" cm="1">
        <f t="array" ref="BD217">IFERROR(INDEX(_xlfn._xlws.SORT(_xlfn._xlws.FILTER(SimpleDashData88[QCNM Name],IF($D$4&lt;&gt;"",SimpleDashData88[QCNM Name]=$D$4,IF($B$4="All Regions",1,SimpleDashData88[Region]=$B$4))*IF($A$4="All Sections",1,SimpleDashData88[Section]=$A$4))),ROWS($BD$153:BD217)),"")</f>
        <v>QCNM Lahore, Nonarian</v>
      </c>
    </row>
    <row r="218" spans="55:56" x14ac:dyDescent="0.3">
      <c r="BC218" t="s">
        <v>189</v>
      </c>
      <c r="BD218" t="str" cm="1">
        <f t="array" ref="BD218">IFERROR(INDEX(_xlfn._xlws.SORT(_xlfn._xlws.FILTER(SimpleDashData88[QCNM Name],IF($D$4&lt;&gt;"",SimpleDashData88[QCNM Name]=$D$4,IF($B$4="All Regions",1,SimpleDashData88[Region]=$B$4))*IF($A$4="All Sections",1,SimpleDashData88[Section]=$A$4))),ROWS($BD$153:BD218)),"")</f>
        <v>QCNM Lahore, Women Central Jail</v>
      </c>
    </row>
    <row r="219" spans="55:56" x14ac:dyDescent="0.3">
      <c r="BC219" t="s">
        <v>199</v>
      </c>
      <c r="BD219" t="str" cm="1">
        <f t="array" ref="BD219">IFERROR(INDEX(_xlfn._xlws.SORT(_xlfn._xlws.FILTER(SimpleDashData88[QCNM Name],IF($D$4&lt;&gt;"",SimpleDashData88[QCNM Name]=$D$4,IF($B$4="All Regions",1,SimpleDashData88[Region]=$B$4))*IF($A$4="All Sections",1,SimpleDashData88[Section]=$A$4))),ROWS($BD$153:BD219)),"")</f>
        <v>QCNM Lakki Marwat District Jail</v>
      </c>
    </row>
    <row r="220" spans="55:56" x14ac:dyDescent="0.3">
      <c r="BC220" t="s">
        <v>177</v>
      </c>
      <c r="BD220" t="str" cm="1">
        <f t="array" ref="BD220">IFERROR(INDEX(_xlfn._xlws.SORT(_xlfn._xlws.FILTER(SimpleDashData88[QCNM Name],IF($D$4&lt;&gt;"",SimpleDashData88[QCNM Name]=$D$4,IF($B$4="All Regions",1,SimpleDashData88[Region]=$B$4))*IF($A$4="All Sections",1,SimpleDashData88[Section]=$A$4))),ROWS($BD$153:BD220)),"")</f>
        <v>QCNM Larkana, Central Prison</v>
      </c>
    </row>
    <row r="221" spans="55:56" x14ac:dyDescent="0.3">
      <c r="BC221" t="s">
        <v>158</v>
      </c>
      <c r="BD221" t="str" cm="1">
        <f t="array" ref="BD221">IFERROR(INDEX(_xlfn._xlws.SORT(_xlfn._xlws.FILTER(SimpleDashData88[QCNM Name],IF($D$4&lt;&gt;"",SimpleDashData88[QCNM Name]=$D$4,IF($B$4="All Regions",1,SimpleDashData88[Region]=$B$4))*IF($A$4="All Sections",1,SimpleDashData88[Section]=$A$4))),ROWS($BD$153:BD221)),"")</f>
        <v>QCNM Larkana, District Jail</v>
      </c>
    </row>
    <row r="222" spans="55:56" x14ac:dyDescent="0.3">
      <c r="BC222" t="s">
        <v>159</v>
      </c>
      <c r="BD222" t="str" cm="1">
        <f t="array" ref="BD222">IFERROR(INDEX(_xlfn._xlws.SORT(_xlfn._xlws.FILTER(SimpleDashData88[QCNM Name],IF($D$4&lt;&gt;"",SimpleDashData88[QCNM Name]=$D$4,IF($B$4="All Regions",1,SimpleDashData88[Region]=$B$4))*IF($A$4="All Sections",1,SimpleDashData88[Section]=$A$4))),ROWS($BD$153:BD222)),"")</f>
        <v>QCNM Lasbela (LUWAMS) University</v>
      </c>
    </row>
    <row r="223" spans="55:56" x14ac:dyDescent="0.3">
      <c r="BC223" t="s">
        <v>171</v>
      </c>
      <c r="BD223" t="str" cm="1">
        <f t="array" ref="BD223">IFERROR(INDEX(_xlfn._xlws.SORT(_xlfn._xlws.FILTER(SimpleDashData88[QCNM Name],IF($D$4&lt;&gt;"",SimpleDashData88[QCNM Name]=$D$4,IF($B$4="All Regions",1,SimpleDashData88[Region]=$B$4))*IF($A$4="All Sections",1,SimpleDashData88[Section]=$A$4))),ROWS($BD$153:BD223)),"")</f>
        <v>QCNM Layyah, District Jail</v>
      </c>
    </row>
    <row r="224" spans="55:56" x14ac:dyDescent="0.3">
      <c r="BC224" t="s">
        <v>188</v>
      </c>
      <c r="BD224" t="str" cm="1">
        <f t="array" ref="BD224">IFERROR(INDEX(_xlfn._xlws.SORT(_xlfn._xlws.FILTER(SimpleDashData88[QCNM Name],IF($D$4&lt;&gt;"",SimpleDashData88[QCNM Name]=$D$4,IF($B$4="All Regions",1,SimpleDashData88[Region]=$B$4))*IF($A$4="All Sections",1,SimpleDashData88[Section]=$A$4))),ROWS($BD$153:BD224)),"")</f>
        <v>QCNM Lodhran, District Jail</v>
      </c>
    </row>
    <row r="225" spans="55:56" x14ac:dyDescent="0.3">
      <c r="BC225" t="s">
        <v>99</v>
      </c>
      <c r="BD225" t="str" cm="1">
        <f t="array" ref="BD225">IFERROR(INDEX(_xlfn._xlws.SORT(_xlfn._xlws.FILTER(SimpleDashData88[QCNM Name],IF($D$4&lt;&gt;"",SimpleDashData88[QCNM Name]=$D$4,IF($B$4="All Regions",1,SimpleDashData88[Region]=$B$4))*IF($A$4="All Sections",1,SimpleDashData88[Section]=$A$4))),ROWS($BD$153:BD225)),"")</f>
        <v>QCNM Loralai</v>
      </c>
    </row>
    <row r="226" spans="55:56" x14ac:dyDescent="0.3">
      <c r="BC226" t="s">
        <v>146</v>
      </c>
      <c r="BD226" t="str" cm="1">
        <f t="array" ref="BD226">IFERROR(INDEX(_xlfn._xlws.SORT(_xlfn._xlws.FILTER(SimpleDashData88[QCNM Name],IF($D$4&lt;&gt;"",SimpleDashData88[QCNM Name]=$D$4,IF($B$4="All Regions",1,SimpleDashData88[Region]=$B$4))*IF($A$4="All Sections",1,SimpleDashData88[Section]=$A$4))),ROWS($BD$153:BD226)),"")</f>
        <v>QCNM Loralai, District Jail</v>
      </c>
    </row>
    <row r="227" spans="55:56" x14ac:dyDescent="0.3">
      <c r="BC227" t="s">
        <v>75</v>
      </c>
      <c r="BD227" t="str" cm="1">
        <f t="array" ref="BD227">IFERROR(INDEX(_xlfn._xlws.SORT(_xlfn._xlws.FILTER(SimpleDashData88[QCNM Name],IF($D$4&lt;&gt;"",SimpleDashData88[QCNM Name]=$D$4,IF($B$4="All Regions",1,SimpleDashData88[Region]=$B$4))*IF($A$4="All Sections",1,SimpleDashData88[Section]=$A$4))),ROWS($BD$153:BD227)),"")</f>
        <v>QCNM Mamukanjan</v>
      </c>
    </row>
    <row r="228" spans="55:56" x14ac:dyDescent="0.3">
      <c r="BC228" t="s">
        <v>76</v>
      </c>
      <c r="BD228" t="str" cm="1">
        <f t="array" ref="BD228">IFERROR(INDEX(_xlfn._xlws.SORT(_xlfn._xlws.FILTER(SimpleDashData88[QCNM Name],IF($D$4&lt;&gt;"",SimpleDashData88[QCNM Name]=$D$4,IF($B$4="All Regions",1,SimpleDashData88[Region]=$B$4))*IF($A$4="All Sections",1,SimpleDashData88[Section]=$A$4))),ROWS($BD$153:BD228)),"")</f>
        <v>QCNM Mandibhaudin, District Jail</v>
      </c>
    </row>
    <row r="229" spans="55:56" x14ac:dyDescent="0.3">
      <c r="BC229" t="s">
        <v>209</v>
      </c>
      <c r="BD229" t="str" cm="1">
        <f t="array" ref="BD229">IFERROR(INDEX(_xlfn._xlws.SORT(_xlfn._xlws.FILTER(SimpleDashData88[QCNM Name],IF($D$4&lt;&gt;"",SimpleDashData88[QCNM Name]=$D$4,IF($B$4="All Regions",1,SimpleDashData88[Region]=$B$4))*IF($A$4="All Sections",1,SimpleDashData88[Section]=$A$4))),ROWS($BD$153:BD229)),"")</f>
        <v>QCNM Mansehra, District Jail</v>
      </c>
    </row>
    <row r="230" spans="55:56" x14ac:dyDescent="0.3">
      <c r="BC230" t="s">
        <v>147</v>
      </c>
      <c r="BD230" t="str" cm="1">
        <f t="array" ref="BD230">IFERROR(INDEX(_xlfn._xlws.SORT(_xlfn._xlws.FILTER(SimpleDashData88[QCNM Name],IF($D$4&lt;&gt;"",SimpleDashData88[QCNM Name]=$D$4,IF($B$4="All Regions",1,SimpleDashData88[Region]=$B$4))*IF($A$4="All Sections",1,SimpleDashData88[Section]=$A$4))),ROWS($BD$153:BD230)),"")</f>
        <v>QCNM Mardan, Central Jail</v>
      </c>
    </row>
    <row r="231" spans="55:56" x14ac:dyDescent="0.3">
      <c r="BC231" t="s">
        <v>138</v>
      </c>
      <c r="BD231" t="str" cm="1">
        <f t="array" ref="BD231">IFERROR(INDEX(_xlfn._xlws.SORT(_xlfn._xlws.FILTER(SimpleDashData88[QCNM Name],IF($D$4&lt;&gt;"",SimpleDashData88[QCNM Name]=$D$4,IF($B$4="All Regions",1,SimpleDashData88[Region]=$B$4))*IF($A$4="All Sections",1,SimpleDashData88[Section]=$A$4))),ROWS($BD$153:BD231)),"")</f>
        <v>QCNM Mianwali, Central Jail</v>
      </c>
    </row>
    <row r="232" spans="55:56" x14ac:dyDescent="0.3">
      <c r="BC232" t="s">
        <v>201</v>
      </c>
      <c r="BD232" t="str" cm="1">
        <f t="array" ref="BD232">IFERROR(INDEX(_xlfn._xlws.SORT(_xlfn._xlws.FILTER(SimpleDashData88[QCNM Name],IF($D$4&lt;&gt;"",SimpleDashData88[QCNM Name]=$D$4,IF($B$4="All Regions",1,SimpleDashData88[Region]=$B$4))*IF($A$4="All Sections",1,SimpleDashData88[Section]=$A$4))),ROWS($BD$153:BD232)),"")</f>
        <v>QCNM Minchinabad Jamia</v>
      </c>
    </row>
    <row r="233" spans="55:56" x14ac:dyDescent="0.3">
      <c r="BC233" t="s">
        <v>195</v>
      </c>
      <c r="BD233" t="str" cm="1">
        <f t="array" ref="BD233">IFERROR(INDEX(_xlfn._xlws.SORT(_xlfn._xlws.FILTER(SimpleDashData88[QCNM Name],IF($D$4&lt;&gt;"",SimpleDashData88[QCNM Name]=$D$4,IF($B$4="All Regions",1,SimpleDashData88[Region]=$B$4))*IF($A$4="All Sections",1,SimpleDashData88[Section]=$A$4))),ROWS($BD$153:BD233)),"")</f>
        <v>QCNM Mirpur Central Jail</v>
      </c>
    </row>
    <row r="234" spans="55:56" x14ac:dyDescent="0.3">
      <c r="BC234" t="s">
        <v>160</v>
      </c>
      <c r="BD234" t="str" cm="1">
        <f t="array" ref="BD234">IFERROR(INDEX(_xlfn._xlws.SORT(_xlfn._xlws.FILTER(SimpleDashData88[QCNM Name],IF($D$4&lt;&gt;"",SimpleDashData88[QCNM Name]=$D$4,IF($B$4="All Regions",1,SimpleDashData88[Region]=$B$4))*IF($A$4="All Sections",1,SimpleDashData88[Section]=$A$4))),ROWS($BD$153:BD234)),"")</f>
        <v>QCNM Mirpur khas CJ Jail</v>
      </c>
    </row>
    <row r="235" spans="55:56" x14ac:dyDescent="0.3">
      <c r="BC235" t="s">
        <v>161</v>
      </c>
      <c r="BD235" t="str" cm="1">
        <f t="array" ref="BD235">IFERROR(INDEX(_xlfn._xlws.SORT(_xlfn._xlws.FILTER(SimpleDashData88[QCNM Name],IF($D$4&lt;&gt;"",SimpleDashData88[QCNM Name]=$D$4,IF($B$4="All Regions",1,SimpleDashData88[Region]=$B$4))*IF($A$4="All Sections",1,SimpleDashData88[Section]=$A$4))),ROWS($BD$153:BD235)),"")</f>
        <v>QCNM Multan, Central Jail</v>
      </c>
    </row>
    <row r="236" spans="55:56" x14ac:dyDescent="0.3">
      <c r="BC236" t="s">
        <v>108</v>
      </c>
      <c r="BD236" t="str" cm="1">
        <f t="array" ref="BD236">IFERROR(INDEX(_xlfn._xlws.SORT(_xlfn._xlws.FILTER(SimpleDashData88[QCNM Name],IF($D$4&lt;&gt;"",SimpleDashData88[QCNM Name]=$D$4,IF($B$4="All Regions",1,SimpleDashData88[Region]=$B$4))*IF($A$4="All Sections",1,SimpleDashData88[Section]=$A$4))),ROWS($BD$153:BD236)),"")</f>
        <v>QCNM Multan, District Jail</v>
      </c>
    </row>
    <row r="237" spans="55:56" x14ac:dyDescent="0.3">
      <c r="BC237" t="s">
        <v>200</v>
      </c>
      <c r="BD237" t="str" cm="1">
        <f t="array" ref="BD237">IFERROR(INDEX(_xlfn._xlws.SORT(_xlfn._xlws.FILTER(SimpleDashData88[QCNM Name],IF($D$4&lt;&gt;"",SimpleDashData88[QCNM Name]=$D$4,IF($B$4="All Regions",1,SimpleDashData88[Region]=$B$4))*IF($A$4="All Sections",1,SimpleDashData88[Section]=$A$4))),ROWS($BD$153:BD237)),"")</f>
        <v>QCNM Muridke, Disp</v>
      </c>
    </row>
    <row r="238" spans="55:56" x14ac:dyDescent="0.3">
      <c r="BC238" t="s">
        <v>162</v>
      </c>
      <c r="BD238" t="str" cm="1">
        <f t="array" ref="BD238">IFERROR(INDEX(_xlfn._xlws.SORT(_xlfn._xlws.FILTER(SimpleDashData88[QCNM Name],IF($D$4&lt;&gt;"",SimpleDashData88[QCNM Name]=$D$4,IF($B$4="All Regions",1,SimpleDashData88[Region]=$B$4))*IF($A$4="All Sections",1,SimpleDashData88[Section]=$A$4))),ROWS($BD$153:BD238)),"")</f>
        <v>QCNM Muzaffarabad Central Jail</v>
      </c>
    </row>
    <row r="239" spans="55:56" x14ac:dyDescent="0.3">
      <c r="BC239" t="s">
        <v>127</v>
      </c>
      <c r="BD239" t="str" cm="1">
        <f t="array" ref="BD239">IFERROR(INDEX(_xlfn._xlws.SORT(_xlfn._xlws.FILTER(SimpleDashData88[QCNM Name],IF($D$4&lt;&gt;"",SimpleDashData88[QCNM Name]=$D$4,IF($B$4="All Regions",1,SimpleDashData88[Region]=$B$4))*IF($A$4="All Sections",1,SimpleDashData88[Section]=$A$4))),ROWS($BD$153:BD239)),"")</f>
        <v>QCNM Muzaffargarh, District Jail</v>
      </c>
    </row>
    <row r="240" spans="55:56" x14ac:dyDescent="0.3">
      <c r="BC240" t="s">
        <v>93</v>
      </c>
      <c r="BD240" t="str" cm="1">
        <f t="array" ref="BD240">IFERROR(INDEX(_xlfn._xlws.SORT(_xlfn._xlws.FILTER(SimpleDashData88[QCNM Name],IF($D$4&lt;&gt;"",SimpleDashData88[QCNM Name]=$D$4,IF($B$4="All Regions",1,SimpleDashData88[Region]=$B$4))*IF($A$4="All Sections",1,SimpleDashData88[Section]=$A$4))),ROWS($BD$153:BD240)),"")</f>
        <v>QCNM Narowal, Disst Jail</v>
      </c>
    </row>
    <row r="241" spans="55:56" x14ac:dyDescent="0.3">
      <c r="BC241" t="s">
        <v>164</v>
      </c>
      <c r="BD241" t="str" cm="1">
        <f t="array" ref="BD241">IFERROR(INDEX(_xlfn._xlws.SORT(_xlfn._xlws.FILTER(SimpleDashData88[QCNM Name],IF($D$4&lt;&gt;"",SimpleDashData88[QCNM Name]=$D$4,IF($B$4="All Regions",1,SimpleDashData88[Region]=$B$4))*IF($A$4="All Sections",1,SimpleDashData88[Section]=$A$4))),ROWS($BD$153:BD241)),"")</f>
        <v>QCNM Nowshera, Sub Jail</v>
      </c>
    </row>
    <row r="242" spans="55:56" x14ac:dyDescent="0.3">
      <c r="BC242" t="s">
        <v>55</v>
      </c>
      <c r="BD242" t="str" cm="1">
        <f t="array" ref="BD242">IFERROR(INDEX(_xlfn._xlws.SORT(_xlfn._xlws.FILTER(SimpleDashData88[QCNM Name],IF($D$4&lt;&gt;"",SimpleDashData88[QCNM Name]=$D$4,IF($B$4="All Regions",1,SimpleDashData88[Region]=$B$4))*IF($A$4="All Sections",1,SimpleDashData88[Section]=$A$4))),ROWS($BD$153:BD242)),"")</f>
        <v>QCNM Okara, District Jail</v>
      </c>
    </row>
    <row r="243" spans="55:56" x14ac:dyDescent="0.3">
      <c r="BC243" t="s">
        <v>44</v>
      </c>
      <c r="BD243" t="str" cm="1">
        <f t="array" ref="BD243">IFERROR(INDEX(_xlfn._xlws.SORT(_xlfn._xlws.FILTER(SimpleDashData88[QCNM Name],IF($D$4&lt;&gt;"",SimpleDashData88[QCNM Name]=$D$4,IF($B$4="All Regions",1,SimpleDashData88[Region]=$B$4))*IF($A$4="All Sections",1,SimpleDashData88[Section]=$A$4))),ROWS($BD$153:BD243)),"")</f>
        <v>QCNM Pak Pattan, District Jail</v>
      </c>
    </row>
    <row r="244" spans="55:56" x14ac:dyDescent="0.3">
      <c r="BC244" t="s">
        <v>165</v>
      </c>
      <c r="BD244" t="str" cm="1">
        <f t="array" ref="BD244">IFERROR(INDEX(_xlfn._xlws.SORT(_xlfn._xlws.FILTER(SimpleDashData88[QCNM Name],IF($D$4&lt;&gt;"",SimpleDashData88[QCNM Name]=$D$4,IF($B$4="All Regions",1,SimpleDashData88[Region]=$B$4))*IF($A$4="All Sections",1,SimpleDashData88[Section]=$A$4))),ROWS($BD$153:BD244)),"")</f>
        <v>QCNM Peshawar, Central Prison</v>
      </c>
    </row>
    <row r="245" spans="55:56" x14ac:dyDescent="0.3">
      <c r="BC245" t="s">
        <v>77</v>
      </c>
      <c r="BD245" t="str" cm="1">
        <f t="array" ref="BD245">IFERROR(INDEX(_xlfn._xlws.SORT(_xlfn._xlws.FILTER(SimpleDashData88[QCNM Name],IF($D$4&lt;&gt;"",SimpleDashData88[QCNM Name]=$D$4,IF($B$4="All Regions",1,SimpleDashData88[Region]=$B$4))*IF($A$4="All Sections",1,SimpleDashData88[Section]=$A$4))),ROWS($BD$153:BD245)),"")</f>
        <v>QCNM PHQ Gilgit</v>
      </c>
    </row>
    <row r="246" spans="55:56" x14ac:dyDescent="0.3">
      <c r="BC246" t="s">
        <v>210</v>
      </c>
      <c r="BD246" t="str" cm="1">
        <f t="array" ref="BD246">IFERROR(INDEX(_xlfn._xlws.SORT(_xlfn._xlws.FILTER(SimpleDashData88[QCNM Name],IF($D$4&lt;&gt;"",SimpleDashData88[QCNM Name]=$D$4,IF($B$4="All Regions",1,SimpleDashData88[Region]=$B$4))*IF($A$4="All Sections",1,SimpleDashData88[Section]=$A$4))),ROWS($BD$153:BD246)),"")</f>
        <v>QCNM PTC Gilgit</v>
      </c>
    </row>
    <row r="247" spans="55:56" x14ac:dyDescent="0.3">
      <c r="BC247" t="s">
        <v>191</v>
      </c>
      <c r="BD247" t="str" cm="1">
        <f t="array" ref="BD247">IFERROR(INDEX(_xlfn._xlws.SORT(_xlfn._xlws.FILTER(SimpleDashData88[QCNM Name],IF($D$4&lt;&gt;"",SimpleDashData88[QCNM Name]=$D$4,IF($B$4="All Regions",1,SimpleDashData88[Region]=$B$4))*IF($A$4="All Sections",1,SimpleDashData88[Section]=$A$4))),ROWS($BD$153:BD247)),"")</f>
        <v xml:space="preserve">QCNM QCNM Lums </v>
      </c>
    </row>
    <row r="248" spans="55:56" x14ac:dyDescent="0.3">
      <c r="BC248" t="s">
        <v>139</v>
      </c>
      <c r="BD248" t="str" cm="1">
        <f t="array" ref="BD248">IFERROR(INDEX(_xlfn._xlws.SORT(_xlfn._xlws.FILTER(SimpleDashData88[QCNM Name],IF($D$4&lt;&gt;"",SimpleDashData88[QCNM Name]=$D$4,IF($B$4="All Regions",1,SimpleDashData88[Region]=$B$4))*IF($A$4="All Sections",1,SimpleDashData88[Section]=$A$4))),ROWS($BD$153:BD248)),"")</f>
        <v>QCNM Quetta, District Jail</v>
      </c>
    </row>
    <row r="249" spans="55:56" x14ac:dyDescent="0.3">
      <c r="BC249" t="s">
        <v>186</v>
      </c>
      <c r="BD249" t="str" cm="1">
        <f t="array" ref="BD249">IFERROR(INDEX(_xlfn._xlws.SORT(_xlfn._xlws.FILTER(SimpleDashData88[QCNM Name],IF($D$4&lt;&gt;"",SimpleDashData88[QCNM Name]=$D$4,IF($B$4="All Regions",1,SimpleDashData88[Region]=$B$4))*IF($A$4="All Sections",1,SimpleDashData88[Section]=$A$4))),ROWS($BD$153:BD249)),"")</f>
        <v>QCNM Rahim Yar Khan, District Jail</v>
      </c>
    </row>
    <row r="250" spans="55:56" x14ac:dyDescent="0.3">
      <c r="BC250" t="s">
        <v>54</v>
      </c>
      <c r="BD250" t="str" cm="1">
        <f t="array" ref="BD250">IFERROR(INDEX(_xlfn._xlws.SORT(_xlfn._xlws.FILTER(SimpleDashData88[QCNM Name],IF($D$4&lt;&gt;"",SimpleDashData88[QCNM Name]=$D$4,IF($B$4="All Regions",1,SimpleDashData88[Region]=$B$4))*IF($A$4="All Sections",1,SimpleDashData88[Section]=$A$4))),ROWS($BD$153:BD250)),"")</f>
        <v>QCNM RAHMA Hospital Janpur</v>
      </c>
    </row>
    <row r="251" spans="55:56" x14ac:dyDescent="0.3">
      <c r="BC251" t="s">
        <v>56</v>
      </c>
      <c r="BD251" t="str" cm="1">
        <f t="array" ref="BD251">IFERROR(INDEX(_xlfn._xlws.SORT(_xlfn._xlws.FILTER(SimpleDashData88[QCNM Name],IF($D$4&lt;&gt;"",SimpleDashData88[QCNM Name]=$D$4,IF($B$4="All Regions",1,SimpleDashData88[Region]=$B$4))*IF($A$4="All Sections",1,SimpleDashData88[Section]=$A$4))),ROWS($BD$153:BD251)),"")</f>
        <v>QCNM Rajanpur, Distrit jail</v>
      </c>
    </row>
    <row r="252" spans="55:56" x14ac:dyDescent="0.3">
      <c r="BC252" t="s">
        <v>167</v>
      </c>
      <c r="BD252" t="str" cm="1">
        <f t="array" ref="BD252">IFERROR(INDEX(_xlfn._xlws.SORT(_xlfn._xlws.FILTER(SimpleDashData88[QCNM Name],IF($D$4&lt;&gt;"",SimpleDashData88[QCNM Name]=$D$4,IF($B$4="All Regions",1,SimpleDashData88[Region]=$B$4))*IF($A$4="All Sections",1,SimpleDashData88[Section]=$A$4))),ROWS($BD$153:BD252)),"")</f>
        <v>QCNM Rawalakot District Jail</v>
      </c>
    </row>
    <row r="253" spans="55:56" x14ac:dyDescent="0.3">
      <c r="BC253" t="s">
        <v>166</v>
      </c>
      <c r="BD253" t="str" cm="1">
        <f t="array" ref="BD253">IFERROR(INDEX(_xlfn._xlws.SORT(_xlfn._xlws.FILTER(SimpleDashData88[QCNM Name],IF($D$4&lt;&gt;"",SimpleDashData88[QCNM Name]=$D$4,IF($B$4="All Regions",1,SimpleDashData88[Region]=$B$4))*IF($A$4="All Sections",1,SimpleDashData88[Section]=$A$4))),ROWS($BD$153:BD253)),"")</f>
        <v>QCNM Rawalakot, University of Poonch</v>
      </c>
    </row>
    <row r="254" spans="55:56" x14ac:dyDescent="0.3">
      <c r="BC254" t="s">
        <v>203</v>
      </c>
      <c r="BD254" t="str" cm="1">
        <f t="array" ref="BD254">IFERROR(INDEX(_xlfn._xlws.SORT(_xlfn._xlws.FILTER(SimpleDashData88[QCNM Name],IF($D$4&lt;&gt;"",SimpleDashData88[QCNM Name]=$D$4,IF($B$4="All Regions",1,SimpleDashData88[Region]=$B$4))*IF($A$4="All Sections",1,SimpleDashData88[Section]=$A$4))),ROWS($BD$153:BD254)),"")</f>
        <v>QCNM Rawalpindi Adayala Jail</v>
      </c>
    </row>
    <row r="255" spans="55:56" x14ac:dyDescent="0.3">
      <c r="BC255" t="s">
        <v>183</v>
      </c>
      <c r="BD255" t="str" cm="1">
        <f t="array" ref="BD255">IFERROR(INDEX(_xlfn._xlws.SORT(_xlfn._xlws.FILTER(SimpleDashData88[QCNM Name],IF($D$4&lt;&gt;"",SimpleDashData88[QCNM Name]=$D$4,IF($B$4="All Regions",1,SimpleDashData88[Region]=$B$4))*IF($A$4="All Sections",1,SimpleDashData88[Section]=$A$4))),ROWS($BD$153:BD255)),"")</f>
        <v>QCNM RHC Washbood</v>
      </c>
    </row>
    <row r="256" spans="55:56" x14ac:dyDescent="0.3">
      <c r="BC256" t="s">
        <v>148</v>
      </c>
      <c r="BD256" t="str" cm="1">
        <f t="array" ref="BD256">IFERROR(INDEX(_xlfn._xlws.SORT(_xlfn._xlws.FILTER(SimpleDashData88[QCNM Name],IF($D$4&lt;&gt;"",SimpleDashData88[QCNM Name]=$D$4,IF($B$4="All Regions",1,SimpleDashData88[Region]=$B$4))*IF($A$4="All Sections",1,SimpleDashData88[Section]=$A$4))),ROWS($BD$153:BD256)),"")</f>
        <v>QCNM RHQ Chillas</v>
      </c>
    </row>
    <row r="257" spans="55:56" x14ac:dyDescent="0.3">
      <c r="BC257" t="s">
        <v>57</v>
      </c>
      <c r="BD257" t="str" cm="1">
        <f t="array" ref="BD257">IFERROR(INDEX(_xlfn._xlws.SORT(_xlfn._xlws.FILTER(SimpleDashData88[QCNM Name],IF($D$4&lt;&gt;"",SimpleDashData88[QCNM Name]=$D$4,IF($B$4="All Regions",1,SimpleDashData88[Region]=$B$4))*IF($A$4="All Sections",1,SimpleDashData88[Section]=$A$4))),ROWS($BD$153:BD257)),"")</f>
        <v>QCNM RHQ- Hospital Skardu</v>
      </c>
    </row>
    <row r="258" spans="55:56" x14ac:dyDescent="0.3">
      <c r="BC258" t="s">
        <v>92</v>
      </c>
      <c r="BD258" t="str" cm="1">
        <f t="array" ref="BD258">IFERROR(INDEX(_xlfn._xlws.SORT(_xlfn._xlws.FILTER(SimpleDashData88[QCNM Name],IF($D$4&lt;&gt;"",SimpleDashData88[QCNM Name]=$D$4,IF($B$4="All Regions",1,SimpleDashData88[Region]=$B$4))*IF($A$4="All Sections",1,SimpleDashData88[Section]=$A$4))),ROWS($BD$153:BD258)),"")</f>
        <v>QCNM Sadda, Sub Jail</v>
      </c>
    </row>
    <row r="259" spans="55:56" x14ac:dyDescent="0.3">
      <c r="BC259" t="s">
        <v>168</v>
      </c>
      <c r="BD259" t="str" cm="1">
        <f t="array" ref="BD259">IFERROR(INDEX(_xlfn._xlws.SORT(_xlfn._xlws.FILTER(SimpleDashData88[QCNM Name],IF($D$4&lt;&gt;"",SimpleDashData88[QCNM Name]=$D$4,IF($B$4="All Regions",1,SimpleDashData88[Region]=$B$4))*IF($A$4="All Sections",1,SimpleDashData88[Section]=$A$4))),ROWS($BD$153:BD259)),"")</f>
        <v>QCNM Sahiwal, Central Jail</v>
      </c>
    </row>
    <row r="260" spans="55:56" x14ac:dyDescent="0.3">
      <c r="BC260" t="s">
        <v>170</v>
      </c>
      <c r="BD260" t="str" cm="1">
        <f t="array" ref="BD260">IFERROR(INDEX(_xlfn._xlws.SORT(_xlfn._xlws.FILTER(SimpleDashData88[QCNM Name],IF($D$4&lt;&gt;"",SimpleDashData88[QCNM Name]=$D$4,IF($B$4="All Regions",1,SimpleDashData88[Region]=$B$4))*IF($A$4="All Sections",1,SimpleDashData88[Section]=$A$4))),ROWS($BD$153:BD260)),"")</f>
        <v>QCNM Sahiwal, High Security Prison</v>
      </c>
    </row>
    <row r="261" spans="55:56" x14ac:dyDescent="0.3">
      <c r="BC261" t="s">
        <v>176</v>
      </c>
      <c r="BD261" t="str" cm="1">
        <f t="array" ref="BD261">IFERROR(INDEX(_xlfn._xlws.SORT(_xlfn._xlws.FILTER(SimpleDashData88[QCNM Name],IF($D$4&lt;&gt;"",SimpleDashData88[QCNM Name]=$D$4,IF($B$4="All Regions",1,SimpleDashData88[Region]=$B$4))*IF($A$4="All Sections",1,SimpleDashData88[Section]=$A$4))),ROWS($BD$153:BD261)),"")</f>
        <v>QCNM Sardar Bahdur Khan University</v>
      </c>
    </row>
    <row r="262" spans="55:56" x14ac:dyDescent="0.3">
      <c r="BC262" t="s">
        <v>149</v>
      </c>
      <c r="BD262" t="str" cm="1">
        <f t="array" ref="BD262">IFERROR(INDEX(_xlfn._xlws.SORT(_xlfn._xlws.FILTER(SimpleDashData88[QCNM Name],IF($D$4&lt;&gt;"",SimpleDashData88[QCNM Name]=$D$4,IF($B$4="All Regions",1,SimpleDashData88[Region]=$B$4))*IF($A$4="All Sections",1,SimpleDashData88[Section]=$A$4))),ROWS($BD$153:BD262)),"")</f>
        <v>QCNM Sargodha, District Jail</v>
      </c>
    </row>
    <row r="263" spans="55:56" x14ac:dyDescent="0.3">
      <c r="BC263" t="s">
        <v>150</v>
      </c>
      <c r="BD263" t="str" cm="1">
        <f t="array" ref="BD263">IFERROR(INDEX(_xlfn._xlws.SORT(_xlfn._xlws.FILTER(SimpleDashData88[QCNM Name],IF($D$4&lt;&gt;"",SimpleDashData88[QCNM Name]=$D$4,IF($B$4="All Regions",1,SimpleDashData88[Region]=$B$4))*IF($A$4="All Sections",1,SimpleDashData88[Section]=$A$4))),ROWS($BD$153:BD263)),"")</f>
        <v>QCNM Shahpur, Dist Jail</v>
      </c>
    </row>
    <row r="264" spans="55:56" x14ac:dyDescent="0.3">
      <c r="BC264" t="s">
        <v>128</v>
      </c>
      <c r="BD264" t="str" cm="1">
        <f t="array" ref="BD264">IFERROR(INDEX(_xlfn._xlws.SORT(_xlfn._xlws.FILTER(SimpleDashData88[QCNM Name],IF($D$4&lt;&gt;"",SimpleDashData88[QCNM Name]=$D$4,IF($B$4="All Regions",1,SimpleDashData88[Region]=$B$4))*IF($A$4="All Sections",1,SimpleDashData88[Section]=$A$4))),ROWS($BD$153:BD264)),"")</f>
        <v>QCNM Sheikhupura, District Jail</v>
      </c>
    </row>
    <row r="265" spans="55:56" x14ac:dyDescent="0.3">
      <c r="BC265" t="s">
        <v>129</v>
      </c>
      <c r="BD265" t="str" cm="1">
        <f t="array" ref="BD265">IFERROR(INDEX(_xlfn._xlws.SORT(_xlfn._xlws.FILTER(SimpleDashData88[QCNM Name],IF($D$4&lt;&gt;"",SimpleDashData88[QCNM Name]=$D$4,IF($B$4="All Regions",1,SimpleDashData88[Region]=$B$4))*IF($A$4="All Sections",1,SimpleDashData88[Section]=$A$4))),ROWS($BD$153:BD265)),"")</f>
        <v>QCNM Sialkot, District Jail</v>
      </c>
    </row>
    <row r="266" spans="55:56" x14ac:dyDescent="0.3">
      <c r="BC266" t="s">
        <v>85</v>
      </c>
      <c r="BD266" t="str" cm="1">
        <f t="array" ref="BD266">IFERROR(INDEX(_xlfn._xlws.SORT(_xlfn._xlws.FILTER(SimpleDashData88[QCNM Name],IF($D$4&lt;&gt;"",SimpleDashData88[QCNM Name]=$D$4,IF($B$4="All Regions",1,SimpleDashData88[Region]=$B$4))*IF($A$4="All Sections",1,SimpleDashData88[Section]=$A$4))),ROWS($BD$153:BD266)),"")</f>
        <v>QCNM Skardu District Jail</v>
      </c>
    </row>
    <row r="267" spans="55:56" x14ac:dyDescent="0.3">
      <c r="BC267" t="s">
        <v>145</v>
      </c>
      <c r="BD267" t="str" cm="1">
        <f t="array" ref="BD267">IFERROR(INDEX(_xlfn._xlws.SORT(_xlfn._xlws.FILTER(SimpleDashData88[QCNM Name],IF($D$4&lt;&gt;"",SimpleDashData88[QCNM Name]=$D$4,IF($B$4="All Regions",1,SimpleDashData88[Region]=$B$4))*IF($A$4="All Sections",1,SimpleDashData88[Section]=$A$4))),ROWS($BD$153:BD267)),"")</f>
        <v>QCNM SSGT Gilgit</v>
      </c>
    </row>
    <row r="268" spans="55:56" x14ac:dyDescent="0.3">
      <c r="BC268" t="s">
        <v>98</v>
      </c>
      <c r="BD268" t="str" cm="1">
        <f t="array" ref="BD268">IFERROR(INDEX(_xlfn._xlws.SORT(_xlfn._xlws.FILTER(SimpleDashData88[QCNM Name],IF($D$4&lt;&gt;"",SimpleDashData88[QCNM Name]=$D$4,IF($B$4="All Regions",1,SimpleDashData88[Region]=$B$4))*IF($A$4="All Sections",1,SimpleDashData88[Section]=$A$4))),ROWS($BD$153:BD268)),"")</f>
        <v>QCNM Sub Jail, Chakwal</v>
      </c>
    </row>
    <row r="269" spans="55:56" x14ac:dyDescent="0.3">
      <c r="BC269" t="s">
        <v>192</v>
      </c>
      <c r="BD269" t="str" cm="1">
        <f t="array" ref="BD269">IFERROR(INDEX(_xlfn._xlws.SORT(_xlfn._xlws.FILTER(SimpleDashData88[QCNM Name],IF($D$4&lt;&gt;"",SimpleDashData88[QCNM Name]=$D$4,IF($B$4="All Regions",1,SimpleDashData88[Region]=$B$4))*IF($A$4="All Sections",1,SimpleDashData88[Section]=$A$4))),ROWS($BD$153:BD269)),"")</f>
        <v>QCNM Subjail Parachinar</v>
      </c>
    </row>
    <row r="270" spans="55:56" x14ac:dyDescent="0.3">
      <c r="BC270" t="s">
        <v>88</v>
      </c>
      <c r="BD270" t="str" cm="1">
        <f t="array" ref="BD270">IFERROR(INDEX(_xlfn._xlws.SORT(_xlfn._xlws.FILTER(SimpleDashData88[QCNM Name],IF($D$4&lt;&gt;"",SimpleDashData88[QCNM Name]=$D$4,IF($B$4="All Regions",1,SimpleDashData88[Region]=$B$4))*IF($A$4="All Sections",1,SimpleDashData88[Section]=$A$4))),ROWS($BD$153:BD270)),"")</f>
        <v>QCNM Sukkur, Central Jail</v>
      </c>
    </row>
    <row r="271" spans="55:56" x14ac:dyDescent="0.3">
      <c r="BC271" t="s">
        <v>78</v>
      </c>
      <c r="BD271" t="str" cm="1">
        <f t="array" ref="BD271">IFERROR(INDEX(_xlfn._xlws.SORT(_xlfn._xlws.FILTER(SimpleDashData88[QCNM Name],IF($D$4&lt;&gt;"",SimpleDashData88[QCNM Name]=$D$4,IF($B$4="All Regions",1,SimpleDashData88[Region]=$B$4))*IF($A$4="All Sections",1,SimpleDashData88[Section]=$A$4))),ROWS($BD$153:BD271)),"")</f>
        <v>QCNM Swabi, Sub Jail</v>
      </c>
    </row>
    <row r="272" spans="55:56" x14ac:dyDescent="0.3">
      <c r="BC272" t="s">
        <v>95</v>
      </c>
      <c r="BD272" t="str" cm="1">
        <f t="array" ref="BD272">IFERROR(INDEX(_xlfn._xlws.SORT(_xlfn._xlws.FILTER(SimpleDashData88[QCNM Name],IF($D$4&lt;&gt;"",SimpleDashData88[QCNM Name]=$D$4,IF($B$4="All Regions",1,SimpleDashData88[Region]=$B$4))*IF($A$4="All Sections",1,SimpleDashData88[Section]=$A$4))),ROWS($BD$153:BD272)),"")</f>
        <v>QCNM Swat, District Jail</v>
      </c>
    </row>
    <row r="273" spans="55:56" x14ac:dyDescent="0.3">
      <c r="BC273" t="s">
        <v>141</v>
      </c>
      <c r="BD273" t="str" cm="1">
        <f t="array" ref="BD273">IFERROR(INDEX(_xlfn._xlws.SORT(_xlfn._xlws.FILTER(SimpleDashData88[QCNM Name],IF($D$4&lt;&gt;"",SimpleDashData88[QCNM Name]=$D$4,IF($B$4="All Regions",1,SimpleDashData88[Region]=$B$4))*IF($A$4="All Sections",1,SimpleDashData88[Section]=$A$4))),ROWS($BD$153:BD273)),"")</f>
        <v>QCNM Tank, Sub Jail</v>
      </c>
    </row>
    <row r="274" spans="55:56" x14ac:dyDescent="0.3">
      <c r="BC274" t="s">
        <v>90</v>
      </c>
      <c r="BD274" t="str" cm="1">
        <f t="array" ref="BD274">IFERROR(INDEX(_xlfn._xlws.SORT(_xlfn._xlws.FILTER(SimpleDashData88[QCNM Name],IF($D$4&lt;&gt;"",SimpleDashData88[QCNM Name]=$D$4,IF($B$4="All Regions",1,SimpleDashData88[Region]=$B$4))*IF($A$4="All Sections",1,SimpleDashData88[Section]=$A$4))),ROWS($BD$153:BD274)),"")</f>
        <v>QCNM The Islamia Uni of Bahawalpur</v>
      </c>
    </row>
    <row r="275" spans="55:56" x14ac:dyDescent="0.3">
      <c r="BC275" t="s">
        <v>130</v>
      </c>
      <c r="BD275" t="str" cm="1">
        <f t="array" ref="BD275">IFERROR(INDEX(_xlfn._xlws.SORT(_xlfn._xlws.FILTER(SimpleDashData88[QCNM Name],IF($D$4&lt;&gt;"",SimpleDashData88[QCNM Name]=$D$4,IF($B$4="All Regions",1,SimpleDashData88[Region]=$B$4))*IF($A$4="All Sections",1,SimpleDashData88[Section]=$A$4))),ROWS($BD$153:BD275)),"")</f>
        <v>QCNM Timergara, District Jail</v>
      </c>
    </row>
    <row r="276" spans="55:56" x14ac:dyDescent="0.3">
      <c r="BC276" t="s">
        <v>184</v>
      </c>
      <c r="BD276" t="str" cm="1">
        <f t="array" ref="BD276">IFERROR(INDEX(_xlfn._xlws.SORT(_xlfn._xlws.FILTER(SimpleDashData88[QCNM Name],IF($D$4&lt;&gt;"",SimpleDashData88[QCNM Name]=$D$4,IF($B$4="All Regions",1,SimpleDashData88[Region]=$B$4))*IF($A$4="All Sections",1,SimpleDashData88[Section]=$A$4))),ROWS($BD$153:BD276)),"")</f>
        <v>QCNM Toba Tek singh,District Jail</v>
      </c>
    </row>
    <row r="277" spans="55:56" x14ac:dyDescent="0.3">
      <c r="BC277" t="s">
        <v>211</v>
      </c>
      <c r="BD277" t="str" cm="1">
        <f t="array" ref="BD277">IFERROR(INDEX(_xlfn._xlws.SORT(_xlfn._xlws.FILTER(SimpleDashData88[QCNM Name],IF($D$4&lt;&gt;"",SimpleDashData88[QCNM Name]=$D$4,IF($B$4="All Regions",1,SimpleDashData88[Region]=$B$4))*IF($A$4="All Sections",1,SimpleDashData88[Section]=$A$4))),ROWS($BD$153:BD277)),"")</f>
        <v>QCNM University of AJK, MZD</v>
      </c>
    </row>
    <row r="278" spans="55:56" x14ac:dyDescent="0.3">
      <c r="BC278" t="s">
        <v>174</v>
      </c>
      <c r="BD278" t="str" cm="1">
        <f t="array" ref="BD278">IFERROR(INDEX(_xlfn._xlws.SORT(_xlfn._xlws.FILTER(SimpleDashData88[QCNM Name],IF($D$4&lt;&gt;"",SimpleDashData88[QCNM Name]=$D$4,IF($B$4="All Regions",1,SimpleDashData88[Region]=$B$4))*IF($A$4="All Sections",1,SimpleDashData88[Section]=$A$4))),ROWS($BD$153:BD278)),"")</f>
        <v xml:space="preserve">QCNM University of Balochistan </v>
      </c>
    </row>
    <row r="279" spans="55:56" x14ac:dyDescent="0.3">
      <c r="BC279" t="s">
        <v>185</v>
      </c>
      <c r="BD279" t="str" cm="1">
        <f t="array" ref="BD279">IFERROR(INDEX(_xlfn._xlws.SORT(_xlfn._xlws.FILTER(SimpleDashData88[QCNM Name],IF($D$4&lt;&gt;"",SimpleDashData88[QCNM Name]=$D$4,IF($B$4="All Regions",1,SimpleDashData88[Region]=$B$4))*IF($A$4="All Sections",1,SimpleDashData88[Section]=$A$4))),ROWS($BD$153:BD279)),"")</f>
        <v>QCNM University of Karachi</v>
      </c>
    </row>
    <row r="280" spans="55:56" x14ac:dyDescent="0.3">
      <c r="BC280" t="s">
        <v>181</v>
      </c>
      <c r="BD280" t="str" cm="1">
        <f t="array" ref="BD280">IFERROR(INDEX(_xlfn._xlws.SORT(_xlfn._xlws.FILTER(SimpleDashData88[QCNM Name],IF($D$4&lt;&gt;"",SimpleDashData88[QCNM Name]=$D$4,IF($B$4="All Regions",1,SimpleDashData88[Region]=$B$4))*IF($A$4="All Sections",1,SimpleDashData88[Section]=$A$4))),ROWS($BD$153:BD280)),"")</f>
        <v>QCNM University of Kotli</v>
      </c>
    </row>
    <row r="281" spans="55:56" x14ac:dyDescent="0.3">
      <c r="BC281" t="s">
        <v>140</v>
      </c>
      <c r="BD281" t="str" cm="1">
        <f t="array" ref="BD281">IFERROR(INDEX(_xlfn._xlws.SORT(_xlfn._xlws.FILTER(SimpleDashData88[QCNM Name],IF($D$4&lt;&gt;"",SimpleDashData88[QCNM Name]=$D$4,IF($B$4="All Regions",1,SimpleDashData88[Region]=$B$4))*IF($A$4="All Sections",1,SimpleDashData88[Section]=$A$4))),ROWS($BD$153:BD281)),"")</f>
        <v>QCNM University of Loralai</v>
      </c>
    </row>
    <row r="282" spans="55:56" x14ac:dyDescent="0.3">
      <c r="BC282" t="s">
        <v>180</v>
      </c>
      <c r="BD282" t="str" cm="1">
        <f t="array" ref="BD282">IFERROR(INDEX(_xlfn._xlws.SORT(_xlfn._xlws.FILTER(SimpleDashData88[QCNM Name],IF($D$4&lt;&gt;"",SimpleDashData88[QCNM Name]=$D$4,IF($B$4="All Regions",1,SimpleDashData88[Region]=$B$4))*IF($A$4="All Sections",1,SimpleDashData88[Section]=$A$4))),ROWS($BD$153:BD282)),"")</f>
        <v>QCNM University of Okara</v>
      </c>
    </row>
    <row r="283" spans="55:56" x14ac:dyDescent="0.3">
      <c r="BC283" t="s">
        <v>169</v>
      </c>
      <c r="BD283" t="str" cm="1">
        <f t="array" ref="BD283">IFERROR(INDEX(_xlfn._xlws.SORT(_xlfn._xlws.FILTER(SimpleDashData88[QCNM Name],IF($D$4&lt;&gt;"",SimpleDashData88[QCNM Name]=$D$4,IF($B$4="All Regions",1,SimpleDashData88[Region]=$B$4))*IF($A$4="All Sections",1,SimpleDashData88[Section]=$A$4))),ROWS($BD$153:BD283)),"")</f>
        <v>QCNM University of Sindh</v>
      </c>
    </row>
    <row r="284" spans="55:56" x14ac:dyDescent="0.3">
      <c r="BC284" t="s">
        <v>163</v>
      </c>
      <c r="BD284" t="str" cm="1">
        <f t="array" ref="BD284">IFERROR(INDEX(_xlfn._xlws.SORT(_xlfn._xlws.FILTER(SimpleDashData88[QCNM Name],IF($D$4&lt;&gt;"",SimpleDashData88[QCNM Name]=$D$4,IF($B$4="All Regions",1,SimpleDashData88[Region]=$B$4))*IF($A$4="All Sections",1,SimpleDashData88[Section]=$A$4))),ROWS($BD$153:BD284)),"")</f>
        <v>QCNM Vehari, District Jail</v>
      </c>
    </row>
    <row r="285" spans="55:56" x14ac:dyDescent="0.3">
      <c r="BC285" t="s">
        <v>194</v>
      </c>
      <c r="BD285" t="str" cm="1">
        <f t="array" ref="BD285">IFERROR(INDEX(_xlfn._xlws.SORT(_xlfn._xlws.FILTER(SimpleDashData88[QCNM Name],IF($D$4&lt;&gt;"",SimpleDashData88[QCNM Name]=$D$4,IF($B$4="All Regions",1,SimpleDashData88[Region]=$B$4))*IF($A$4="All Sections",1,SimpleDashData88[Section]=$A$4))),ROWS($BD$153:BD285)),"")</f>
        <v>QCNM Woman Jail, Multan</v>
      </c>
    </row>
    <row r="286" spans="55:56" x14ac:dyDescent="0.3">
      <c r="BC286" t="s">
        <v>173</v>
      </c>
      <c r="BD286" t="str" cm="1">
        <f t="array" ref="BD286">IFERROR(INDEX(_xlfn._xlws.SORT(_xlfn._xlws.FILTER(SimpleDashData88[QCNM Name],IF($D$4&lt;&gt;"",SimpleDashData88[QCNM Name]=$D$4,IF($B$4="All Regions",1,SimpleDashData88[Region]=$B$4))*IF($A$4="All Sections",1,SimpleDashData88[Section]=$A$4))),ROWS($BD$153:BD286)),"")</f>
        <v>QCNM Women Jail Karachi</v>
      </c>
    </row>
    <row r="287" spans="55:56" x14ac:dyDescent="0.3">
      <c r="BC287" t="s">
        <v>116</v>
      </c>
      <c r="BD287" t="str" cm="1">
        <f t="array" ref="BD287">IFERROR(INDEX(_xlfn._xlws.SORT(_xlfn._xlws.FILTER(SimpleDashData88[QCNM Name],IF($D$4&lt;&gt;"",SimpleDashData88[QCNM Name]=$D$4,IF($B$4="All Regions",1,SimpleDashData88[Region]=$B$4))*IF($A$4="All Sections",1,SimpleDashData88[Section]=$A$4))),ROWS($BD$153:BD287)),"")</f>
        <v>QCNM, Fedral Urdu University</v>
      </c>
    </row>
    <row r="288" spans="55:56" x14ac:dyDescent="0.3">
      <c r="BD288" t="str" cm="1">
        <f t="array" ref="BD288">IFERROR(INDEX(_xlfn._xlws.SORT(_xlfn._xlws.FILTER(SimpleDashData88[QCNM Name],IF($D$4&lt;&gt;"",SimpleDashData88[QCNM Name]=$D$4,IF($B$4="All Regions",1,SimpleDashData88[Region]=$B$4))*IF($A$4="All Sections",1,SimpleDashData88[Section]=$A$4))),ROWS($BD$153:BD288)),"")</f>
        <v>QCNM, ZCD Hospital Toba tek Singh</v>
      </c>
    </row>
    <row r="289" spans="56:56" x14ac:dyDescent="0.3">
      <c r="BD289" t="str" cm="1">
        <f t="array" ref="BD289">IFERROR(INDEX(_xlfn._xlws.SORT(_xlfn._xlws.FILTER(SimpleDashData88[QCNM Name],IF($D$4&lt;&gt;"",SimpleDashData88[QCNM Name]=$D$4,IF($B$4="All Regions",1,SimpleDashData88[Region]=$B$4))*IF($A$4="All Sections",1,SimpleDashData88[Section]=$A$4))),ROWS($BD$153:BD289)),"")</f>
        <v/>
      </c>
    </row>
    <row r="290" spans="56:56" x14ac:dyDescent="0.3">
      <c r="BD290" t="str" cm="1">
        <f t="array" ref="BD290">IFERROR(INDEX(_xlfn._xlws.SORT(_xlfn._xlws.FILTER(SimpleDashData88[QCNM Name],IF($D$4&lt;&gt;"",SimpleDashData88[QCNM Name]=$D$4,IF($B$4="All Regions",1,SimpleDashData88[Region]=$B$4))*IF($A$4="All Sections",1,SimpleDashData88[Section]=$A$4))),ROWS($BD$153:BD290)),"")</f>
        <v/>
      </c>
    </row>
    <row r="291" spans="56:56" x14ac:dyDescent="0.3">
      <c r="BD291" t="str" cm="1">
        <f t="array" ref="BD291">IFERROR(INDEX(_xlfn._xlws.SORT(_xlfn._xlws.FILTER(SimpleDashData88[QCNM Name],IF($D$4&lt;&gt;"",SimpleDashData88[QCNM Name]=$D$4,IF($B$4="All Regions",1,SimpleDashData88[Region]=$B$4))*IF($A$4="All Sections",1,SimpleDashData88[Section]=$A$4))),ROWS($BD$153:BD291)),"")</f>
        <v/>
      </c>
    </row>
    <row r="292" spans="56:56" x14ac:dyDescent="0.3">
      <c r="BD292" t="str" cm="1">
        <f t="array" ref="BD292">IFERROR(INDEX(_xlfn._xlws.SORT(_xlfn._xlws.FILTER(SimpleDashData88[QCNM Name],IF($D$4&lt;&gt;"",SimpleDashData88[QCNM Name]=$D$4,IF($B$4="All Regions",1,SimpleDashData88[Region]=$B$4))*IF($A$4="All Sections",1,SimpleDashData88[Section]=$A$4))),ROWS($BD$153:BD292)),"")</f>
        <v/>
      </c>
    </row>
    <row r="293" spans="56:56" x14ac:dyDescent="0.3">
      <c r="BD293" t="str" cm="1">
        <f t="array" ref="BD293">IFERROR(INDEX(_xlfn._xlws.SORT(_xlfn._xlws.FILTER(SimpleDashData88[QCNM Name],IF($D$4&lt;&gt;"",SimpleDashData88[QCNM Name]=$D$4,IF($B$4="All Regions",1,SimpleDashData88[Region]=$B$4))*IF($A$4="All Sections",1,SimpleDashData88[Section]=$A$4))),ROWS($BD$153:BD293)),"")</f>
        <v/>
      </c>
    </row>
    <row r="294" spans="56:56" x14ac:dyDescent="0.3">
      <c r="BD294" t="str" cm="1">
        <f t="array" ref="BD294">IFERROR(INDEX(_xlfn._xlws.SORT(_xlfn._xlws.FILTER(SimpleDashData88[QCNM Name],IF($D$4&lt;&gt;"",SimpleDashData88[QCNM Name]=$D$4,IF($B$4="All Regions",1,SimpleDashData88[Region]=$B$4))*IF($A$4="All Sections",1,SimpleDashData88[Section]=$A$4))),ROWS($BD$153:BD294)),"")</f>
        <v/>
      </c>
    </row>
    <row r="295" spans="56:56" x14ac:dyDescent="0.3">
      <c r="BD295" t="str" cm="1">
        <f t="array" ref="BD295">IFERROR(INDEX(_xlfn._xlws.SORT(_xlfn._xlws.FILTER(SimpleDashData88[QCNM Name],IF($D$4&lt;&gt;"",SimpleDashData88[QCNM Name]=$D$4,IF($B$4="All Regions",1,SimpleDashData88[Region]=$B$4))*IF($A$4="All Sections",1,SimpleDashData88[Section]=$A$4))),ROWS($BD$153:BD295)),"")</f>
        <v/>
      </c>
    </row>
    <row r="296" spans="56:56" x14ac:dyDescent="0.3">
      <c r="BD296" t="str" cm="1">
        <f t="array" ref="BD296">IFERROR(INDEX(_xlfn._xlws.SORT(_xlfn._xlws.FILTER(SimpleDashData88[QCNM Name],IF($D$4&lt;&gt;"",SimpleDashData88[QCNM Name]=$D$4,IF($B$4="All Regions",1,SimpleDashData88[Region]=$B$4))*IF($A$4="All Sections",1,SimpleDashData88[Section]=$A$4))),ROWS($BD$153:BD296)),"")</f>
        <v/>
      </c>
    </row>
    <row r="297" spans="56:56" x14ac:dyDescent="0.3">
      <c r="BD297" t="str" cm="1">
        <f t="array" ref="BD297">IFERROR(INDEX(_xlfn._xlws.SORT(_xlfn._xlws.FILTER(SimpleDashData88[QCNM Name],IF($D$4&lt;&gt;"",SimpleDashData88[QCNM Name]=$D$4,IF($B$4="All Regions",1,SimpleDashData88[Region]=$B$4))*IF($A$4="All Sections",1,SimpleDashData88[Section]=$A$4))),ROWS($BD$153:BD297)),"")</f>
        <v/>
      </c>
    </row>
    <row r="298" spans="56:56" x14ac:dyDescent="0.3">
      <c r="BD298" t="str" cm="1">
        <f t="array" ref="BD298">IFERROR(INDEX(_xlfn._xlws.SORT(_xlfn._xlws.FILTER(SimpleDashData88[QCNM Name],IF($D$4&lt;&gt;"",SimpleDashData88[QCNM Name]=$D$4,IF($B$4="All Regions",1,SimpleDashData88[Region]=$B$4))*IF($A$4="All Sections",1,SimpleDashData88[Section]=$A$4))),ROWS($BD$153:BD298)),"")</f>
        <v/>
      </c>
    </row>
    <row r="299" spans="56:56" x14ac:dyDescent="0.3">
      <c r="BD299" t="str" cm="1">
        <f t="array" ref="BD299">IFERROR(INDEX(_xlfn._xlws.SORT(_xlfn._xlws.FILTER(SimpleDashData88[QCNM Name],IF($D$4&lt;&gt;"",SimpleDashData88[QCNM Name]=$D$4,IF($B$4="All Regions",1,SimpleDashData88[Region]=$B$4))*IF($A$4="All Sections",1,SimpleDashData88[Section]=$A$4))),ROWS($BD$153:BD299)),"")</f>
        <v/>
      </c>
    </row>
    <row r="300" spans="56:56" x14ac:dyDescent="0.3">
      <c r="BD300" t="str" cm="1">
        <f t="array" ref="BD300">IFERROR(INDEX(_xlfn._xlws.SORT(_xlfn._xlws.FILTER(SimpleDashData88[QCNM Name],IF($D$4&lt;&gt;"",SimpleDashData88[QCNM Name]=$D$4,IF($B$4="All Regions",1,SimpleDashData88[Region]=$B$4))*IF($A$4="All Sections",1,SimpleDashData88[Section]=$A$4))),ROWS($BD$153:BD300)),"")</f>
        <v/>
      </c>
    </row>
    <row r="301" spans="56:56" x14ac:dyDescent="0.3">
      <c r="BD301" t="str" cm="1">
        <f t="array" ref="BD301">IFERROR(INDEX(_xlfn._xlws.SORT(_xlfn._xlws.FILTER(SimpleDashData88[QCNM Name],IF($D$4&lt;&gt;"",SimpleDashData88[QCNM Name]=$D$4,IF($B$4="All Regions",1,SimpleDashData88[Region]=$B$4))*IF($A$4="All Sections",1,SimpleDashData88[Section]=$A$4))),ROWS($BD$153:BD301)),"")</f>
        <v/>
      </c>
    </row>
  </sheetData>
  <mergeCells count="12">
    <mergeCell ref="P17:P19"/>
    <mergeCell ref="J23:N23"/>
    <mergeCell ref="P23:T23"/>
    <mergeCell ref="V23:X23"/>
    <mergeCell ref="A1:O1"/>
    <mergeCell ref="A2:O2"/>
    <mergeCell ref="B3:C3"/>
    <mergeCell ref="D4:E4"/>
    <mergeCell ref="G3:I3"/>
    <mergeCell ref="B4:C4"/>
    <mergeCell ref="G4:I4"/>
    <mergeCell ref="D3:E3"/>
  </mergeCells>
  <dataValidations count="6">
    <dataValidation type="list" allowBlank="1" showInputMessage="1" showErrorMessage="1" errorTitle="Select a patient rank" error="Choose Expense Rank, Total, Male, Female, or Child." sqref="L4" xr:uid="{90DBABA8-4B46-4922-9C0D-6D05FBD036DE}">
      <formula1>$AL$2:$AL$6</formula1>
    </dataValidation>
    <dataValidation type="list" allowBlank="1" showInputMessage="1" showErrorMessage="1" errorTitle="Select a budget head" error="Choose a value from the budget-head list." sqref="K4" xr:uid="{CD23BDD7-13A6-409F-B0B0-615B6F59D3B3}">
      <formula1>$AK$2:$AK$12</formula1>
    </dataValidation>
    <dataValidation type="list" allowBlank="1" showInputMessage="1" showErrorMessage="1" promptTitle="Clinic Search" prompt="Type or choose one clinic name. Clear D3 to return to the Region/Clinic menus." sqref="D4" xr:uid="{455D78B5-228C-4975-9B85-D610B262537E}">
      <formula1>$BB$2:$BB$137</formula1>
    </dataValidation>
    <dataValidation type="list" allowBlank="1" showInputMessage="1" showErrorMessage="1" sqref="G4" xr:uid="{4E99B46B-942E-4711-BC33-06D8B3637405}">
      <formula1>$BD$151:$BD$300</formula1>
    </dataValidation>
    <dataValidation type="list" allowBlank="1" showInputMessage="1" showErrorMessage="1" sqref="B4" xr:uid="{9F8D5DB3-AF92-44C6-90EA-4BA68F801C41}">
      <formula1>$BB$151:$BB$155</formula1>
    </dataValidation>
    <dataValidation type="list" allowBlank="1" showInputMessage="1" showErrorMessage="1" sqref="A4" xr:uid="{1B252C4C-4A4B-4C80-80D4-A62D4D67EE68}">
      <formula1>"All Sections,Public,Prison"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93F-5C89-46FD-AE38-F0DB4BB860D1}">
  <dimension ref="A1:CA301"/>
  <sheetViews>
    <sheetView topLeftCell="B1" zoomScale="105" zoomScaleNormal="149" workbookViewId="0">
      <selection activeCell="H10" sqref="H10"/>
    </sheetView>
  </sheetViews>
  <sheetFormatPr defaultRowHeight="14.4" x14ac:dyDescent="0.3"/>
  <cols>
    <col min="1" max="1" width="12.6640625" customWidth="1"/>
    <col min="2" max="2" width="37.5546875" customWidth="1"/>
    <col min="3" max="3" width="12.6640625" customWidth="1"/>
    <col min="4" max="4" width="12.5546875" bestFit="1" customWidth="1"/>
    <col min="5" max="5" width="6.77734375" customWidth="1"/>
    <col min="6" max="6" width="12.33203125" bestFit="1" customWidth="1"/>
    <col min="7" max="7" width="15.44140625" bestFit="1" customWidth="1"/>
    <col min="8" max="8" width="11.109375" bestFit="1" customWidth="1"/>
    <col min="9" max="9" width="11.109375" customWidth="1"/>
    <col min="10" max="10" width="13.6640625" bestFit="1" customWidth="1"/>
    <col min="11" max="12" width="16.33203125" customWidth="1"/>
    <col min="13" max="13" width="8.5546875" customWidth="1"/>
    <col min="14" max="14" width="18.5546875" bestFit="1" customWidth="1"/>
    <col min="15" max="15" width="11.33203125" customWidth="1"/>
    <col min="16" max="16" width="8.33203125" customWidth="1"/>
    <col min="17" max="17" width="13.109375" bestFit="1" customWidth="1"/>
    <col min="18" max="18" width="12.88671875" bestFit="1" customWidth="1"/>
    <col min="19" max="19" width="7.109375" bestFit="1" customWidth="1"/>
    <col min="20" max="20" width="19.33203125" customWidth="1"/>
    <col min="21" max="21" width="7.109375" bestFit="1" customWidth="1"/>
    <col min="22" max="22" width="6.77734375" bestFit="1" customWidth="1"/>
    <col min="23" max="23" width="18.6640625" customWidth="1"/>
    <col min="24" max="24" width="17.6640625" customWidth="1"/>
    <col min="25" max="25" width="7.88671875" bestFit="1" customWidth="1"/>
    <col min="26" max="26" width="12.88671875" bestFit="1" customWidth="1"/>
    <col min="27" max="27" width="7.109375" bestFit="1" customWidth="1"/>
    <col min="28" max="28" width="15.88671875" bestFit="1" customWidth="1"/>
    <col min="30" max="30" width="5.33203125" bestFit="1" customWidth="1"/>
    <col min="31" max="31" width="11.88671875" bestFit="1" customWidth="1"/>
    <col min="32" max="32" width="12.5546875" bestFit="1" customWidth="1"/>
    <col min="33" max="33" width="17" bestFit="1" customWidth="1"/>
    <col min="35" max="35" width="17.21875" bestFit="1" customWidth="1"/>
    <col min="36" max="36" width="7.5546875" bestFit="1" customWidth="1"/>
    <col min="37" max="38" width="0" hidden="1" customWidth="1"/>
    <col min="53" max="53" width="7.6640625" bestFit="1" customWidth="1"/>
    <col min="54" max="56" width="43" bestFit="1" customWidth="1"/>
    <col min="57" max="57" width="25.77734375" bestFit="1" customWidth="1"/>
    <col min="58" max="58" width="10.77734375" bestFit="1" customWidth="1"/>
    <col min="59" max="59" width="13.21875" bestFit="1" customWidth="1"/>
    <col min="60" max="60" width="12.33203125" bestFit="1" customWidth="1"/>
    <col min="61" max="61" width="9" bestFit="1" customWidth="1"/>
    <col min="62" max="63" width="9.77734375" bestFit="1" customWidth="1"/>
    <col min="64" max="64" width="9.6640625" bestFit="1" customWidth="1"/>
    <col min="65" max="65" width="8.6640625" bestFit="1" customWidth="1"/>
    <col min="66" max="66" width="11.77734375" bestFit="1" customWidth="1"/>
    <col min="67" max="67" width="9.88671875" bestFit="1" customWidth="1"/>
    <col min="68" max="68" width="7.109375" bestFit="1" customWidth="1"/>
    <col min="69" max="69" width="14.5546875" bestFit="1" customWidth="1"/>
    <col min="70" max="70" width="7.21875" bestFit="1" customWidth="1"/>
    <col min="71" max="71" width="9.44140625" bestFit="1" customWidth="1"/>
    <col min="72" max="72" width="7.6640625" bestFit="1" customWidth="1"/>
    <col min="73" max="73" width="14.5546875" bestFit="1" customWidth="1"/>
    <col min="74" max="74" width="14.33203125" bestFit="1" customWidth="1"/>
    <col min="75" max="75" width="15.33203125" bestFit="1" customWidth="1"/>
    <col min="76" max="76" width="18.5546875" bestFit="1" customWidth="1"/>
    <col min="77" max="77" width="27.33203125" bestFit="1" customWidth="1"/>
    <col min="78" max="78" width="19.77734375" bestFit="1" customWidth="1"/>
    <col min="79" max="79" width="21" bestFit="1" customWidth="1"/>
  </cols>
  <sheetData>
    <row r="1" spans="1:79" ht="23.4" x14ac:dyDescent="0.4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AK1" t="s">
        <v>1</v>
      </c>
      <c r="AL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10</v>
      </c>
      <c r="BI1" t="s">
        <v>11</v>
      </c>
      <c r="BJ1" t="s">
        <v>12</v>
      </c>
      <c r="BK1" t="s">
        <v>13</v>
      </c>
      <c r="BL1" t="s">
        <v>14</v>
      </c>
      <c r="BM1" t="s">
        <v>15</v>
      </c>
      <c r="BN1" t="s">
        <v>16</v>
      </c>
      <c r="BO1" t="s">
        <v>17</v>
      </c>
      <c r="BP1" t="s">
        <v>18</v>
      </c>
      <c r="BQ1" t="s">
        <v>19</v>
      </c>
      <c r="BR1" t="s">
        <v>20</v>
      </c>
      <c r="BS1" t="s">
        <v>21</v>
      </c>
      <c r="BT1" t="s">
        <v>22</v>
      </c>
      <c r="BU1" t="s">
        <v>23</v>
      </c>
      <c r="BV1" t="s">
        <v>24</v>
      </c>
      <c r="BW1" t="s">
        <v>25</v>
      </c>
      <c r="BX1" t="s">
        <v>26</v>
      </c>
      <c r="BY1" t="s">
        <v>27</v>
      </c>
      <c r="BZ1" t="s">
        <v>28</v>
      </c>
      <c r="CA1" t="s">
        <v>29</v>
      </c>
    </row>
    <row r="2" spans="1:79" ht="15" thickBot="1" x14ac:dyDescent="0.35">
      <c r="A2" s="70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AK2" t="s">
        <v>19</v>
      </c>
      <c r="AL2" t="s">
        <v>31</v>
      </c>
      <c r="BA2">
        <v>1</v>
      </c>
      <c r="BB2" t="s">
        <v>32</v>
      </c>
      <c r="BC2">
        <v>2010210</v>
      </c>
      <c r="BD2" t="s">
        <v>33</v>
      </c>
      <c r="BE2" t="s">
        <v>34</v>
      </c>
      <c r="BF2" t="s">
        <v>35</v>
      </c>
      <c r="BG2">
        <v>1350</v>
      </c>
      <c r="BH2">
        <v>0</v>
      </c>
      <c r="BI2">
        <v>0</v>
      </c>
      <c r="BJ2">
        <v>6650</v>
      </c>
      <c r="BK2">
        <v>0</v>
      </c>
      <c r="BL2">
        <v>0</v>
      </c>
      <c r="BM2">
        <v>0</v>
      </c>
      <c r="BN2">
        <v>490</v>
      </c>
      <c r="BO2">
        <v>1000</v>
      </c>
      <c r="BP2">
        <v>100</v>
      </c>
      <c r="BQ2">
        <f>SUM(SimpleDashData84[[#This Row],[Convayance]:[Misc]])</f>
        <v>9590</v>
      </c>
      <c r="BR2">
        <v>1074</v>
      </c>
      <c r="BS2">
        <v>676</v>
      </c>
      <c r="BT2">
        <v>342</v>
      </c>
      <c r="BU2">
        <f>SUM(SimpleDashData84[[#This Row],[Male]:[Child]])</f>
        <v>2092</v>
      </c>
      <c r="BW2">
        <f>'[1]Expense Master June-26'!W7</f>
        <v>0</v>
      </c>
      <c r="BZ2">
        <f>SimpleDashData84[[#This Row],[Total Expense]]/SimpleDashData84[[#This Row],[Total Patients]]</f>
        <v>4.584130019120459</v>
      </c>
      <c r="CA2">
        <v>0</v>
      </c>
    </row>
    <row r="3" spans="1:79" ht="25.05" customHeight="1" thickTop="1" thickBot="1" x14ac:dyDescent="0.35">
      <c r="A3" s="58" t="s">
        <v>227</v>
      </c>
      <c r="B3" s="80" t="s">
        <v>36</v>
      </c>
      <c r="C3" s="80"/>
      <c r="D3" s="84" t="s">
        <v>226</v>
      </c>
      <c r="E3" s="84"/>
      <c r="F3" s="1"/>
      <c r="G3" s="80" t="s">
        <v>37</v>
      </c>
      <c r="H3" s="80"/>
      <c r="I3" s="80"/>
      <c r="K3" s="56" t="s">
        <v>38</v>
      </c>
      <c r="L3" s="56" t="s">
        <v>39</v>
      </c>
      <c r="AK3" t="s">
        <v>9</v>
      </c>
      <c r="AL3" t="s">
        <v>40</v>
      </c>
      <c r="BA3">
        <v>2</v>
      </c>
      <c r="BB3" t="s">
        <v>41</v>
      </c>
      <c r="BC3">
        <v>2010215</v>
      </c>
      <c r="BD3" t="s">
        <v>33</v>
      </c>
      <c r="BE3" t="s">
        <v>34</v>
      </c>
      <c r="BF3" t="s">
        <v>35</v>
      </c>
      <c r="BG3">
        <v>0</v>
      </c>
      <c r="BH3">
        <v>3590</v>
      </c>
      <c r="BI3">
        <v>0</v>
      </c>
      <c r="BJ3">
        <v>2100</v>
      </c>
      <c r="BK3">
        <v>0</v>
      </c>
      <c r="BL3">
        <v>0</v>
      </c>
      <c r="BM3">
        <v>0</v>
      </c>
      <c r="BN3">
        <v>0</v>
      </c>
      <c r="BO3">
        <v>1000</v>
      </c>
      <c r="BP3">
        <v>1240</v>
      </c>
      <c r="BQ3">
        <f>SUM(SimpleDashData84[[#This Row],[Convayance]:[Misc]])</f>
        <v>7930</v>
      </c>
      <c r="BR3">
        <v>440</v>
      </c>
      <c r="BS3">
        <v>273</v>
      </c>
      <c r="BT3">
        <v>269</v>
      </c>
      <c r="BU3">
        <f>SUM(SimpleDashData84[[#This Row],[Male]:[Child]])</f>
        <v>982</v>
      </c>
      <c r="BW3">
        <f>'[1]Expense Master June-26'!W8</f>
        <v>0</v>
      </c>
      <c r="BZ3">
        <f>SimpleDashData84[[#This Row],[Total Expense]]/SimpleDashData84[[#This Row],[Total Patients]]</f>
        <v>8.0753564154786144</v>
      </c>
      <c r="CA3">
        <v>0</v>
      </c>
    </row>
    <row r="4" spans="1:79" ht="25.05" customHeight="1" thickTop="1" thickBot="1" x14ac:dyDescent="0.35">
      <c r="A4" s="59" t="s">
        <v>224</v>
      </c>
      <c r="B4" s="83" t="s">
        <v>42</v>
      </c>
      <c r="C4" s="83"/>
      <c r="D4" s="86"/>
      <c r="E4" s="87"/>
      <c r="F4" s="1"/>
      <c r="G4" s="83" t="s">
        <v>43</v>
      </c>
      <c r="H4" s="83"/>
      <c r="I4" s="83"/>
      <c r="K4" s="57" t="s">
        <v>19</v>
      </c>
      <c r="L4" s="57" t="s">
        <v>31</v>
      </c>
      <c r="AK4" t="s">
        <v>10</v>
      </c>
      <c r="AL4" t="s">
        <v>20</v>
      </c>
      <c r="BA4">
        <v>3</v>
      </c>
      <c r="BB4" t="s">
        <v>44</v>
      </c>
      <c r="BC4">
        <v>2010298</v>
      </c>
      <c r="BD4" t="s">
        <v>33</v>
      </c>
      <c r="BE4" t="s">
        <v>34</v>
      </c>
      <c r="BF4" t="s">
        <v>35</v>
      </c>
      <c r="BG4">
        <v>2000</v>
      </c>
      <c r="BH4">
        <v>4480</v>
      </c>
      <c r="BI4">
        <v>600</v>
      </c>
      <c r="BJ4">
        <v>0</v>
      </c>
      <c r="BK4">
        <v>0</v>
      </c>
      <c r="BL4">
        <v>280</v>
      </c>
      <c r="BM4">
        <v>530</v>
      </c>
      <c r="BN4">
        <v>370</v>
      </c>
      <c r="BO4">
        <v>980</v>
      </c>
      <c r="BP4">
        <v>0</v>
      </c>
      <c r="BQ4">
        <f>SUM(SimpleDashData84[[#This Row],[Convayance]:[Misc]])</f>
        <v>9240</v>
      </c>
      <c r="BR4">
        <v>520</v>
      </c>
      <c r="BS4">
        <v>89</v>
      </c>
      <c r="BT4">
        <v>111</v>
      </c>
      <c r="BU4">
        <f>SUM(SimpleDashData84[[#This Row],[Male]:[Child]])</f>
        <v>720</v>
      </c>
      <c r="BW4">
        <f>'[1]Expense Master June-26'!W9</f>
        <v>0</v>
      </c>
      <c r="BZ4">
        <f>SimpleDashData84[[#This Row],[Total Expense]]/SimpleDashData84[[#This Row],[Total Patients]]</f>
        <v>12.833333333333334</v>
      </c>
      <c r="CA4">
        <v>0</v>
      </c>
    </row>
    <row r="5" spans="1:79" ht="15" thickTop="1" x14ac:dyDescent="0.3">
      <c r="AI5" t="s">
        <v>45</v>
      </c>
      <c r="AJ5" t="s">
        <v>46</v>
      </c>
      <c r="AK5" t="s">
        <v>11</v>
      </c>
      <c r="AL5" t="s">
        <v>21</v>
      </c>
      <c r="BA5">
        <v>4</v>
      </c>
      <c r="BB5" t="s">
        <v>47</v>
      </c>
      <c r="BD5" t="s">
        <v>33</v>
      </c>
      <c r="BE5" t="s">
        <v>34</v>
      </c>
      <c r="BF5" t="s">
        <v>35</v>
      </c>
      <c r="BG5">
        <v>15430</v>
      </c>
      <c r="BH5">
        <v>3310</v>
      </c>
      <c r="BI5">
        <v>0</v>
      </c>
      <c r="BJ5">
        <v>0</v>
      </c>
      <c r="BK5">
        <v>0</v>
      </c>
      <c r="BL5">
        <v>1000</v>
      </c>
      <c r="BM5">
        <v>300</v>
      </c>
      <c r="BN5">
        <v>0</v>
      </c>
      <c r="BO5">
        <v>0</v>
      </c>
      <c r="BP5">
        <v>1000</v>
      </c>
      <c r="BQ5">
        <f>SUM(SimpleDashData84[[#This Row],[Convayance]:[Misc]])</f>
        <v>21040</v>
      </c>
      <c r="BR5">
        <v>639</v>
      </c>
      <c r="BS5">
        <v>697</v>
      </c>
      <c r="BT5">
        <v>345</v>
      </c>
      <c r="BU5">
        <f>SUM(SimpleDashData84[[#This Row],[Male]:[Child]])</f>
        <v>1681</v>
      </c>
      <c r="BW5">
        <f>'[1]Expense Master June-26'!W10</f>
        <v>0</v>
      </c>
      <c r="BZ5">
        <f>SimpleDashData84[[#This Row],[Total Expense]]/SimpleDashData84[[#This Row],[Total Patients]]</f>
        <v>12.516359309934563</v>
      </c>
      <c r="CA5">
        <v>0</v>
      </c>
    </row>
    <row r="6" spans="1:79" x14ac:dyDescent="0.3">
      <c r="AI6" t="s">
        <v>9</v>
      </c>
      <c r="AJ6" s="2">
        <f>SUMIFS(SimpleDashData84[Convayance],SimpleDashData84[Section],IF($A$4="All Sections","&lt;&gt;",$A$4))</f>
        <v>127921</v>
      </c>
      <c r="AK6" t="s">
        <v>12</v>
      </c>
      <c r="AL6" t="s">
        <v>22</v>
      </c>
      <c r="BA6">
        <v>5</v>
      </c>
      <c r="BB6" t="s">
        <v>48</v>
      </c>
      <c r="BD6" t="s">
        <v>33</v>
      </c>
      <c r="BE6" t="s">
        <v>34</v>
      </c>
      <c r="BF6" t="s">
        <v>35</v>
      </c>
      <c r="BG6">
        <v>11250</v>
      </c>
      <c r="BH6">
        <v>1500</v>
      </c>
      <c r="BI6">
        <v>0</v>
      </c>
      <c r="BJ6">
        <v>1900</v>
      </c>
      <c r="BK6">
        <v>0</v>
      </c>
      <c r="BL6">
        <v>0</v>
      </c>
      <c r="BM6">
        <v>0</v>
      </c>
      <c r="BN6">
        <v>1600</v>
      </c>
      <c r="BO6">
        <v>1000</v>
      </c>
      <c r="BP6">
        <v>0</v>
      </c>
      <c r="BQ6">
        <f>SUM(SimpleDashData84[[#This Row],[Convayance]:[Misc]])</f>
        <v>17250</v>
      </c>
      <c r="BR6">
        <v>967</v>
      </c>
      <c r="BS6">
        <v>842</v>
      </c>
      <c r="BT6">
        <v>345</v>
      </c>
      <c r="BU6">
        <f>SUM(SimpleDashData84[[#This Row],[Male]:[Child]])</f>
        <v>2154</v>
      </c>
      <c r="BW6">
        <f>'[1]Expense Master June-26'!W11</f>
        <v>0</v>
      </c>
      <c r="BZ6">
        <f>SimpleDashData84[[#This Row],[Total Expense]]/SimpleDashData84[[#This Row],[Total Patients]]</f>
        <v>8.0083565459610035</v>
      </c>
      <c r="CA6">
        <v>0</v>
      </c>
    </row>
    <row r="7" spans="1:79" x14ac:dyDescent="0.3">
      <c r="A7" s="3" t="s">
        <v>19</v>
      </c>
      <c r="B7" s="4"/>
      <c r="C7" s="3" t="s">
        <v>23</v>
      </c>
      <c r="D7" s="4"/>
      <c r="E7" s="3" t="s">
        <v>49</v>
      </c>
      <c r="F7" s="4"/>
      <c r="G7" s="3" t="s">
        <v>50</v>
      </c>
      <c r="H7" s="4"/>
      <c r="I7" s="4"/>
      <c r="J7" s="3" t="s">
        <v>51</v>
      </c>
      <c r="K7" s="4"/>
      <c r="L7" s="3" t="s">
        <v>52</v>
      </c>
      <c r="M7" s="4"/>
      <c r="N7" s="4" t="s">
        <v>53</v>
      </c>
      <c r="O7" s="4"/>
      <c r="AI7" t="s">
        <v>10</v>
      </c>
      <c r="AJ7" s="2">
        <f>SUMIFS(SimpleDashData84[Purchasing],SimpleDashData84[Section],IF($A$4="All Sections","&lt;&gt;",$A$4))</f>
        <v>119150</v>
      </c>
      <c r="AK7" t="s">
        <v>13</v>
      </c>
      <c r="BA7">
        <v>6</v>
      </c>
      <c r="BB7" t="s">
        <v>54</v>
      </c>
      <c r="BD7" t="s">
        <v>33</v>
      </c>
      <c r="BE7" t="s">
        <v>34</v>
      </c>
      <c r="BF7" t="s">
        <v>35</v>
      </c>
      <c r="BG7">
        <v>0</v>
      </c>
      <c r="BH7">
        <v>1700</v>
      </c>
      <c r="BI7">
        <v>0</v>
      </c>
      <c r="BJ7">
        <v>0</v>
      </c>
      <c r="BK7">
        <v>0</v>
      </c>
      <c r="BL7">
        <v>430</v>
      </c>
      <c r="BM7">
        <v>0</v>
      </c>
      <c r="BN7">
        <v>0</v>
      </c>
      <c r="BO7">
        <v>0</v>
      </c>
      <c r="BP7">
        <v>0</v>
      </c>
      <c r="BQ7">
        <f>SUM(SimpleDashData84[[#This Row],[Convayance]:[Misc]])</f>
        <v>2130</v>
      </c>
      <c r="BR7">
        <v>695</v>
      </c>
      <c r="BS7">
        <v>697</v>
      </c>
      <c r="BT7">
        <v>258</v>
      </c>
      <c r="BU7">
        <f>SUM(SimpleDashData84[[#This Row],[Male]:[Child]])</f>
        <v>1650</v>
      </c>
      <c r="BW7">
        <f>'[1]Expense Master June-26'!W12</f>
        <v>0</v>
      </c>
      <c r="BZ7">
        <f>SimpleDashData84[[#This Row],[Total Expense]]/SimpleDashData84[[#This Row],[Total Patients]]</f>
        <v>1.290909090909091</v>
      </c>
      <c r="CA7">
        <v>0</v>
      </c>
    </row>
    <row r="8" spans="1:79" x14ac:dyDescent="0.3">
      <c r="A8" s="5" cm="1">
        <f t="array" ref="A8">SUMPRODUCT((IF($D$4&lt;&gt;"",1,IF($B$4="All Regions",1,SimpleDashData84[Region]=$B$4)))*(IF($D$4&lt;&gt;"",SimpleDashData84[QCNM Name]=$D$4,IF($G$4="All Clinics",1,SimpleDashData84[QCNM Name]=$G$4)))*(IF($A$4="All Sections",1,SimpleDashData84[Section]=$A$4))*SimpleDashData84[Total Expense])</f>
        <v>914689</v>
      </c>
      <c r="B8" s="6"/>
      <c r="C8" s="5" cm="1">
        <f t="array" ref="C8">SUMPRODUCT((IF($D$4&lt;&gt;"",1,IF($B$4="All Regions",1,SimpleDashData84[Region]=$B$4)))*(IF($D$4&lt;&gt;"",SimpleDashData84[QCNM Name]=$D$4,IF($G$4="All Clinics",1,SimpleDashData84[QCNM Name]=$G$4)))*(IF($A$4="All Sections",1,SimpleDashData84[Section]=$A$4))*SimpleDashData84[Total Patients])</f>
        <v>210283</v>
      </c>
      <c r="D8" s="6"/>
      <c r="E8" s="5" cm="1">
        <f t="array" ref="E8">SUMPRODUCT((IF($D$4&lt;&gt;"",1,IF($B$4="All Regions",1,SimpleDashData84[Region]=$B$4)))*(IF($D$4&lt;&gt;"",SimpleDashData84[QCNM Name]=$D$4,IF($G$4="All Clinics",1,SimpleDashData84[QCNM Name]=$G$4)))*(IF($A$4="All Sections",1,SimpleDashData84[Section]=$A$4))*(SimpleDashData84[QCNM Name]&lt;&gt;""))</f>
        <v>136</v>
      </c>
      <c r="F8" s="6"/>
      <c r="G8" s="7">
        <f>IFERROR(A8/C8,0)</f>
        <v>4.349800031386275</v>
      </c>
      <c r="H8" s="6"/>
      <c r="I8" s="6"/>
      <c r="J8" s="5" cm="1">
        <f t="array" ref="J8">SUMPRODUCT((IF($D$4&lt;&gt;"",1,IF($B$4="All Regions",1,SimpleDashData84[Region]=$B$4)))*(IF($D$4&lt;&gt;"",SimpleDashData84[QCNM Name]=$D$4,IF($G$4="All Clinics",1,SimpleDashData84[QCNM Name]=$G$4)))*(IF($A$4="All Sections",1,SimpleDashData84[Section]=$A$4))*(SimpleDashData84[Section]="Public")*SimpleDashData84[Total Expense])</f>
        <v>411450</v>
      </c>
      <c r="K8" s="6"/>
      <c r="L8" s="5" cm="1">
        <f t="array" ref="L8">SUMPRODUCT((IF($D$4&lt;&gt;"",1,IF($B$4="All Regions",1,SimpleDashData84[Region]=$B$4)))*(IF($D$4&lt;&gt;"",SimpleDashData84[QCNM Name]=$D$4,IF($G$4="All Clinics",1,SimpleDashData84[QCNM Name]=$G$4)))*(IF($A$4="All Sections",1,SimpleDashData84[Section]=$A$4))*(SimpleDashData84[Section]="Prison")*SimpleDashData84[Total Expense])</f>
        <v>503239</v>
      </c>
      <c r="M8" s="8"/>
      <c r="N8" s="8" t="str">
        <f>IF($D$4&lt;&gt;"","Search: "&amp;$D$4&amp;" / "&amp;$A$4,$A$4&amp;" / "&amp;$B$4&amp;" / "&amp;$G$4)</f>
        <v>All Sections / All Regions / All Clinics</v>
      </c>
      <c r="O8" s="8"/>
      <c r="AI8" t="s">
        <v>11</v>
      </c>
      <c r="AJ8" s="2">
        <f>SUMIFS(SimpleDashData84[Freight],SimpleDashData84[Section],IF($A$4="All Sections","&lt;&gt;",$A$4))</f>
        <v>18900</v>
      </c>
      <c r="AK8" t="s">
        <v>14</v>
      </c>
      <c r="BA8">
        <v>7</v>
      </c>
      <c r="BB8" t="s">
        <v>55</v>
      </c>
      <c r="BD8" t="s">
        <v>33</v>
      </c>
      <c r="BE8" t="s">
        <v>34</v>
      </c>
      <c r="BF8" t="s">
        <v>35</v>
      </c>
      <c r="BG8">
        <v>1000</v>
      </c>
      <c r="BH8">
        <v>1200</v>
      </c>
      <c r="BI8">
        <v>0</v>
      </c>
      <c r="BJ8">
        <v>0</v>
      </c>
      <c r="BK8">
        <v>0</v>
      </c>
      <c r="BL8">
        <v>220</v>
      </c>
      <c r="BM8">
        <v>0</v>
      </c>
      <c r="BN8">
        <v>500</v>
      </c>
      <c r="BO8">
        <v>0</v>
      </c>
      <c r="BP8">
        <v>0</v>
      </c>
      <c r="BQ8">
        <f>SUM(SimpleDashData84[[#This Row],[Convayance]:[Misc]])</f>
        <v>2920</v>
      </c>
      <c r="BR8">
        <v>496</v>
      </c>
      <c r="BS8">
        <v>1214</v>
      </c>
      <c r="BT8">
        <v>329</v>
      </c>
      <c r="BU8">
        <f>SUM(SimpleDashData84[[#This Row],[Male]:[Child]])</f>
        <v>2039</v>
      </c>
      <c r="BW8">
        <f>'[1]Expense Master June-26'!W13</f>
        <v>0</v>
      </c>
      <c r="BZ8">
        <f>SimpleDashData84[[#This Row],[Total Expense]]/SimpleDashData84[[#This Row],[Total Patients]]</f>
        <v>1.4320745463462481</v>
      </c>
      <c r="CA8">
        <v>0</v>
      </c>
    </row>
    <row r="9" spans="1:79" x14ac:dyDescent="0.3">
      <c r="C9" s="9"/>
      <c r="AI9" t="s">
        <v>12</v>
      </c>
      <c r="AJ9" s="2">
        <f>SUMIFS(SimpleDashData84[Packing],SimpleDashData84[Section],IF($A$4="All Sections","&lt;&gt;",$A$4))</f>
        <v>413905</v>
      </c>
      <c r="AK9" t="s">
        <v>15</v>
      </c>
      <c r="BA9">
        <v>8</v>
      </c>
      <c r="BB9" t="s">
        <v>56</v>
      </c>
      <c r="BD9" t="s">
        <v>33</v>
      </c>
      <c r="BE9" t="s">
        <v>34</v>
      </c>
      <c r="BF9" t="s">
        <v>35</v>
      </c>
      <c r="BG9">
        <v>600</v>
      </c>
      <c r="BH9">
        <v>1400</v>
      </c>
      <c r="BI9">
        <v>0</v>
      </c>
      <c r="BJ9">
        <v>0</v>
      </c>
      <c r="BK9">
        <v>0</v>
      </c>
      <c r="BL9">
        <v>300</v>
      </c>
      <c r="BM9">
        <v>0</v>
      </c>
      <c r="BN9">
        <v>180</v>
      </c>
      <c r="BO9">
        <v>0</v>
      </c>
      <c r="BP9">
        <v>0</v>
      </c>
      <c r="BQ9">
        <f>SUM(SimpleDashData84[[#This Row],[Convayance]:[Misc]])</f>
        <v>2480</v>
      </c>
      <c r="BR9">
        <v>274</v>
      </c>
      <c r="BS9">
        <v>1601</v>
      </c>
      <c r="BT9">
        <v>145</v>
      </c>
      <c r="BU9">
        <f>SUM(SimpleDashData84[[#This Row],[Male]:[Child]])</f>
        <v>2020</v>
      </c>
      <c r="BW9">
        <f>'[1]Expense Master June-26'!W14</f>
        <v>0</v>
      </c>
      <c r="BZ9">
        <f>SimpleDashData84[[#This Row],[Total Expense]]/SimpleDashData84[[#This Row],[Total Patients]]</f>
        <v>1.2277227722772277</v>
      </c>
      <c r="CA9">
        <v>0</v>
      </c>
    </row>
    <row r="10" spans="1:79" x14ac:dyDescent="0.3">
      <c r="H10" s="62" t="b">
        <v>0</v>
      </c>
      <c r="AI10" t="s">
        <v>13</v>
      </c>
      <c r="AJ10" s="2">
        <f>SUMIFS(SimpleDashData84[Postage],SimpleDashData84[Section],IF($A$4="All Sections","&lt;&gt;",$A$4))</f>
        <v>27033</v>
      </c>
      <c r="AK10" t="s">
        <v>16</v>
      </c>
      <c r="BA10">
        <v>9</v>
      </c>
      <c r="BB10" t="s">
        <v>57</v>
      </c>
      <c r="BD10" t="s">
        <v>33</v>
      </c>
      <c r="BE10" t="s">
        <v>34</v>
      </c>
      <c r="BF10" t="s">
        <v>35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f>SUM(SimpleDashData84[[#This Row],[Convayance]:[Misc]])</f>
        <v>0</v>
      </c>
      <c r="BR10">
        <v>697</v>
      </c>
      <c r="BS10">
        <v>1093</v>
      </c>
      <c r="BT10">
        <v>330</v>
      </c>
      <c r="BU10">
        <f>SUM(SimpleDashData84[[#This Row],[Male]:[Child]])</f>
        <v>2120</v>
      </c>
      <c r="BW10">
        <f>'[1]Expense Master June-26'!W15</f>
        <v>0</v>
      </c>
      <c r="BZ10">
        <f>SimpleDashData84[[#This Row],[Total Expense]]/SimpleDashData84[[#This Row],[Total Patients]]</f>
        <v>0</v>
      </c>
      <c r="CA10">
        <v>0</v>
      </c>
    </row>
    <row r="11" spans="1:79" x14ac:dyDescent="0.3">
      <c r="A11" s="10" t="s">
        <v>58</v>
      </c>
      <c r="B11" s="10" t="s">
        <v>59</v>
      </c>
      <c r="C11" s="10" t="s">
        <v>6</v>
      </c>
      <c r="D11" s="10" t="s">
        <v>7</v>
      </c>
      <c r="E11" s="10" t="s">
        <v>8</v>
      </c>
      <c r="F11" s="10" t="str">
        <f>IF($K$4="","Total Expense",$K$4)</f>
        <v>Total Expense</v>
      </c>
      <c r="G11" s="10" t="str">
        <f>IF($L$4="Expense Rank","Total Patients",$L$4&amp;" Patients")</f>
        <v>Total Patients</v>
      </c>
      <c r="H11" s="10" t="s">
        <v>60</v>
      </c>
      <c r="I11" s="10"/>
      <c r="J11" s="11" t="s">
        <v>58</v>
      </c>
      <c r="K11" s="11" t="s">
        <v>61</v>
      </c>
      <c r="L11" s="11" t="s">
        <v>46</v>
      </c>
      <c r="N11" s="11" t="s">
        <v>8</v>
      </c>
      <c r="O11" s="11" t="s">
        <v>62</v>
      </c>
      <c r="AI11" t="s">
        <v>14</v>
      </c>
      <c r="AJ11" s="2">
        <f>SUMIFS(SimpleDashData84[Printing],SimpleDashData84[Section],IF($A$4="All Sections","&lt;&gt;",$A$4))</f>
        <v>42510</v>
      </c>
      <c r="AK11" t="s">
        <v>17</v>
      </c>
      <c r="BA11">
        <v>10</v>
      </c>
      <c r="BB11" s="12" t="s">
        <v>63</v>
      </c>
      <c r="BC11">
        <v>2010259</v>
      </c>
      <c r="BD11" t="s">
        <v>33</v>
      </c>
      <c r="BE11" t="s">
        <v>34</v>
      </c>
      <c r="BF11" t="s">
        <v>64</v>
      </c>
      <c r="BG11">
        <v>0</v>
      </c>
      <c r="BH11">
        <v>1000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f>SUM(SimpleDashData84[[#This Row],[Convayance]:[Misc]])</f>
        <v>1000</v>
      </c>
      <c r="BR11">
        <v>1056</v>
      </c>
      <c r="BS11">
        <v>0</v>
      </c>
      <c r="BT11">
        <v>51</v>
      </c>
      <c r="BU11">
        <f>SUM(SimpleDashData84[[#This Row],[Male]:[Child]])</f>
        <v>1107</v>
      </c>
      <c r="BW11">
        <f>'[1]Expense Master June-26'!W16</f>
        <v>0</v>
      </c>
      <c r="BZ11">
        <f>SimpleDashData84[[#This Row],[Total Expense]]/SimpleDashData84[[#This Row],[Total Patients]]</f>
        <v>0.90334236675700086</v>
      </c>
      <c r="CA11">
        <v>0</v>
      </c>
    </row>
    <row r="12" spans="1:79" x14ac:dyDescent="0.3">
      <c r="A12" cm="1">
        <f t="array" ref="A12:A147">IFERROR(_xlfn.SEQUENCE(ROWS(_xlfn.ANCHORARRAY(B12))),"")</f>
        <v>1</v>
      </c>
      <c r="B12" t="str" cm="1">
        <f t="array" ref="B12:B147">_xlfn.LET(_xlpm.r,IF($D$4&lt;&gt;"",1,IF($B$4="All Regions",1,SimpleDashData84[Region]=$B$4)),_xlpm.c,IF($D$4&lt;&gt;"",SimpleDashData84[QCNM Name]=$D$4,IF($G$4="All Clinics",1,SimpleDashData84[QCNM Name]=$G$4)),_xlpm.s,IF($A$4="All Sections",1,SimpleDashData84[Section]=$A$4),_xlpm.m,_xlfn.SWITCH($L$4,"Total",SimpleDashData84[Total Patients],"Male",SimpleDashData84[Male],"Female",SimpleDashData84[Female],"Child",SimpleDashData84[Child],_xlfn.SWITCH($K$4,"Convayance",SimpleDashData84[Convayance],"Purchasing",SimpleDashData84[Purchasing],"Freight",SimpleDashData84[Freight],"Packing",SimpleDashData84[Packing],"Postage",SimpleDashData84[Postage],"Printing",SimpleDashData84[Printing],"Repair",SimpleDashData84[Repair],"Stationary",SimpleDashData84[Stationary],"Utilities",SimpleDashData84[Utilities],"Misc",SimpleDashData84[Misc],SimpleDashData84[Total Expense])),IFERROR(_xlfn.SORTBY(_xlfn._xlws.FILTER(SimpleDashData84[QCNM Name],_xlpm.r*_xlpm.c*_xlpm.s),_xlfn._xlws.FILTER(_xlpm.m,_xlpm.r*_xlpm.c*_xlpm.s),-1),""))</f>
        <v>QCNM Bahawalnagar, Zainab Rafique</v>
      </c>
      <c r="C12" t="str" cm="1">
        <f t="array" ref="C12:C147">IFERROR(_xlfn.XLOOKUP(_xlfn.ANCHORARRAY(B12),SimpleDashData84[QCNM Name],SimpleDashData84[Act]),"")</f>
        <v>Trust Act</v>
      </c>
      <c r="D12" t="str" cm="1">
        <f t="array" ref="D12:D147">IFERROR(_xlfn.XLOOKUP(_xlfn.ANCHORARRAY(B12),SimpleDashData84[QCNM Name],SimpleDashData84[Region]),"")</f>
        <v>South &amp; North Punjab Region</v>
      </c>
      <c r="E12" t="str" cm="1">
        <f t="array" ref="E12:E147">IFERROR(_xlfn.XLOOKUP(_xlfn.ANCHORARRAY(B12),SimpleDashData84[QCNM Name],SimpleDashData84[Section]),"")</f>
        <v>Public</v>
      </c>
      <c r="F12" s="48" cm="1">
        <f t="array" ref="F12:F147">_xlfn.LET(_xlpm.m,_xlfn.SWITCH($K$4,"Convayance",SimpleDashData84[Convayance],"Purchasing",SimpleDashData84[Purchasing],"Freight",SimpleDashData84[Freight],"Packing",SimpleDashData84[Packing],"Postage",SimpleDashData84[Postage],"Printing",SimpleDashData84[Printing],"Repair",SimpleDashData84[Repair],"Stationary",SimpleDashData84[Stationary],"Utilities",SimpleDashData84[Utilities],"Misc",SimpleDashData84[Misc],SimpleDashData84[Total Expense]),IFERROR(_xlfn.XLOOKUP(_xlfn.ANCHORARRAY(B12),SimpleDashData84[QCNM Name],_xlpm.m),""))</f>
        <v>37385</v>
      </c>
      <c r="G12" s="2" cm="1">
        <f t="array" ref="G12:G147">_xlfn.LET(_xlpm.p,_xlfn.SWITCH($L$4,"Male",SimpleDashData84[Male],"Female",SimpleDashData84[Female],"Child",SimpleDashData84[Child],SimpleDashData84[Total Patients]),IFERROR(_xlfn.XLOOKUP(_xlfn.ANCHORARRAY(B12),SimpleDashData84[QCNM Name],_xlpm.p),""))</f>
        <v>2283</v>
      </c>
      <c r="H12" s="13" cm="1">
        <f t="array" ref="H12:H147">IFERROR(_xlfn.XLOOKUP(_xlfn.ANCHORARRAY(B12),SimpleDashData84[QCNM Name],SimpleDashData84[Expense Per Patient]),"")</f>
        <v>16.375383267630312</v>
      </c>
      <c r="I12" s="13"/>
      <c r="J12" s="14" cm="1">
        <f t="array" ref="J12:L21">_xlfn.LET(_xlpm.x,_xlfn.SORTBY($BF$152:$BG$161,$BG$152:$BG$161,-1),_xlfn.HSTACK(_xlfn.SEQUENCE(ROWS(_xlpm.x)),_xlpm.x))</f>
        <v>1</v>
      </c>
      <c r="K12" s="14" t="str">
        <v>Packing</v>
      </c>
      <c r="L12" s="15">
        <v>413905</v>
      </c>
      <c r="N12" s="14" t="s">
        <v>35</v>
      </c>
      <c r="O12" s="15" cm="1">
        <f t="array" ref="O12">SUMPRODUCT((IF($D$4&lt;&gt;"",1,IF($B$4="All Regions",1,SimpleDashData84[Region]=$B$4)))*(IF($D$4&lt;&gt;"",SimpleDashData84[QCNM Name]=$D$4,IF($G$4="All Clinics",1,SimpleDashData84[QCNM Name]=$G$4)))*(IF($A$4="All Sections",1,SimpleDashData84[Section]=$A$4))*(SimpleDashData84[Section]=N12)*SimpleDashData84[Total Expense])</f>
        <v>411450</v>
      </c>
      <c r="AI12" t="s">
        <v>15</v>
      </c>
      <c r="AJ12" s="2">
        <f>SUMIFS(SimpleDashData84[Repair],SimpleDashData84[Section],IF($A$4="All Sections","&lt;&gt;",$A$4))</f>
        <v>27670</v>
      </c>
      <c r="AK12" t="s">
        <v>18</v>
      </c>
      <c r="BA12">
        <v>11</v>
      </c>
      <c r="BB12" s="12" t="s">
        <v>65</v>
      </c>
      <c r="BC12">
        <v>2010274</v>
      </c>
      <c r="BD12" t="s">
        <v>33</v>
      </c>
      <c r="BE12" t="s">
        <v>34</v>
      </c>
      <c r="BF12" t="s">
        <v>64</v>
      </c>
      <c r="BG12">
        <v>6500</v>
      </c>
      <c r="BH12">
        <v>0</v>
      </c>
      <c r="BI12">
        <v>0</v>
      </c>
      <c r="BJ12">
        <v>500</v>
      </c>
      <c r="BK12">
        <v>0</v>
      </c>
      <c r="BL12">
        <v>200</v>
      </c>
      <c r="BM12">
        <v>0</v>
      </c>
      <c r="BN12">
        <v>0</v>
      </c>
      <c r="BO12">
        <v>0</v>
      </c>
      <c r="BP12">
        <v>0</v>
      </c>
      <c r="BQ12">
        <f>SUM(SimpleDashData84[[#This Row],[Convayance]:[Misc]])</f>
        <v>7200</v>
      </c>
      <c r="BR12">
        <v>1973</v>
      </c>
      <c r="BS12">
        <v>0</v>
      </c>
      <c r="BT12">
        <v>0</v>
      </c>
      <c r="BU12">
        <f>SUM(SimpleDashData84[[#This Row],[Male]:[Child]])</f>
        <v>1973</v>
      </c>
      <c r="BW12">
        <f>'[1]Expense Master June-26'!W17</f>
        <v>0</v>
      </c>
      <c r="BZ12">
        <f>SimpleDashData84[[#This Row],[Total Expense]]/SimpleDashData84[[#This Row],[Total Patients]]</f>
        <v>3.6492650785605676</v>
      </c>
      <c r="CA12">
        <v>0</v>
      </c>
    </row>
    <row r="13" spans="1:79" x14ac:dyDescent="0.3">
      <c r="A13">
        <v>2</v>
      </c>
      <c r="B13" t="str">
        <v>QCNM Shahpur, Dist Jail</v>
      </c>
      <c r="C13" t="str">
        <v>Trust Act</v>
      </c>
      <c r="D13" t="str">
        <v>South &amp; North Punjab Region</v>
      </c>
      <c r="E13" t="str">
        <v>Prison</v>
      </c>
      <c r="F13" s="2">
        <v>28050</v>
      </c>
      <c r="G13" s="2">
        <v>3309</v>
      </c>
      <c r="H13" s="13">
        <v>8.4768812330009062</v>
      </c>
      <c r="I13" s="13"/>
      <c r="J13" s="14">
        <v>2</v>
      </c>
      <c r="K13" s="14" t="str">
        <v>Convayance</v>
      </c>
      <c r="L13" s="15">
        <v>127921</v>
      </c>
      <c r="N13" s="14" t="s">
        <v>64</v>
      </c>
      <c r="O13" s="15" cm="1">
        <f t="array" ref="O13">SUMPRODUCT((IF($D$4&lt;&gt;"",1,IF($B$4="All Regions",1,SimpleDashData84[Region]=$B$4)))*(IF($D$4&lt;&gt;"",SimpleDashData84[QCNM Name]=$D$4,IF($G$4="All Clinics",1,SimpleDashData84[QCNM Name]=$G$4)))*(IF($A$4="All Sections",1,SimpleDashData84[Section]=$A$4))*(SimpleDashData84[Section]=N13)*SimpleDashData84[Total Expense])</f>
        <v>503239</v>
      </c>
      <c r="AI13" t="s">
        <v>16</v>
      </c>
      <c r="AJ13" s="2">
        <f>SUMIFS(SimpleDashData84[Stationary],SimpleDashData84[Section],IF($A$4="All Sections","&lt;&gt;",$A$4))</f>
        <v>34065</v>
      </c>
      <c r="BA13">
        <v>12</v>
      </c>
      <c r="BB13" s="12" t="s">
        <v>66</v>
      </c>
      <c r="BC13">
        <v>2010281</v>
      </c>
      <c r="BD13" t="s">
        <v>33</v>
      </c>
      <c r="BE13" t="s">
        <v>34</v>
      </c>
      <c r="BF13" t="s">
        <v>64</v>
      </c>
      <c r="BG13">
        <v>0</v>
      </c>
      <c r="BH13">
        <v>1000</v>
      </c>
      <c r="BI13">
        <v>0</v>
      </c>
      <c r="BJ13">
        <v>3900</v>
      </c>
      <c r="BK13">
        <v>0</v>
      </c>
      <c r="BL13">
        <v>300</v>
      </c>
      <c r="BM13">
        <v>0</v>
      </c>
      <c r="BN13">
        <v>0</v>
      </c>
      <c r="BO13">
        <v>0</v>
      </c>
      <c r="BP13">
        <v>0</v>
      </c>
      <c r="BQ13">
        <f>SUM(SimpleDashData84[[#This Row],[Convayance]:[Misc]])</f>
        <v>5200</v>
      </c>
      <c r="BR13">
        <v>1943</v>
      </c>
      <c r="BS13">
        <v>0</v>
      </c>
      <c r="BT13">
        <v>0</v>
      </c>
      <c r="BU13">
        <f>SUM(SimpleDashData84[[#This Row],[Male]:[Child]])</f>
        <v>1943</v>
      </c>
      <c r="BW13">
        <f>'[1]Expense Master June-26'!W18</f>
        <v>0</v>
      </c>
      <c r="BZ13">
        <f>SimpleDashData84[[#This Row],[Total Expense]]/SimpleDashData84[[#This Row],[Total Patients]]</f>
        <v>2.6762738033968092</v>
      </c>
      <c r="CA13">
        <v>0</v>
      </c>
    </row>
    <row r="14" spans="1:79" x14ac:dyDescent="0.3">
      <c r="A14">
        <v>3</v>
      </c>
      <c r="B14" t="str">
        <v>QCNM University of Karachi</v>
      </c>
      <c r="C14" t="str">
        <v>Trust Act</v>
      </c>
      <c r="D14" t="str">
        <v>Sindh, Balochistan &amp; AJK Region</v>
      </c>
      <c r="E14" t="str">
        <v>Public</v>
      </c>
      <c r="F14" s="2">
        <v>27328</v>
      </c>
      <c r="G14" s="2">
        <v>1661</v>
      </c>
      <c r="H14" s="13">
        <v>16.452739313666466</v>
      </c>
      <c r="I14" s="13"/>
      <c r="J14" s="14">
        <v>3</v>
      </c>
      <c r="K14" s="14" t="str">
        <v>Purchasing</v>
      </c>
      <c r="L14" s="15">
        <v>119150</v>
      </c>
      <c r="O14" s="2"/>
      <c r="AI14" t="s">
        <v>17</v>
      </c>
      <c r="AJ14" s="2">
        <f>SUMIFS(SimpleDashData84[Utilities],SimpleDashData84[Section],IF($A$4="All Sections","&lt;&gt;",$A$4))</f>
        <v>47073</v>
      </c>
      <c r="BA14">
        <v>13</v>
      </c>
      <c r="BB14" s="12" t="s">
        <v>67</v>
      </c>
      <c r="BC14">
        <v>2010262</v>
      </c>
      <c r="BD14" t="s">
        <v>68</v>
      </c>
      <c r="BE14" t="s">
        <v>34</v>
      </c>
      <c r="BF14" t="s">
        <v>64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f>SUM(SimpleDashData84[[#This Row],[Convayance]:[Misc]])</f>
        <v>0</v>
      </c>
      <c r="BR14">
        <v>1006</v>
      </c>
      <c r="BS14">
        <v>4</v>
      </c>
      <c r="BT14">
        <v>1</v>
      </c>
      <c r="BU14">
        <f>SUM(SimpleDashData84[[#This Row],[Male]:[Child]])</f>
        <v>1011</v>
      </c>
      <c r="BW14">
        <f>'[1]Expense Master June-26'!W19</f>
        <v>0</v>
      </c>
      <c r="BZ14">
        <f>SimpleDashData84[[#This Row],[Total Expense]]/SimpleDashData84[[#This Row],[Total Patients]]</f>
        <v>0</v>
      </c>
      <c r="CA14">
        <v>0</v>
      </c>
    </row>
    <row r="15" spans="1:79" x14ac:dyDescent="0.3">
      <c r="A15">
        <v>4</v>
      </c>
      <c r="B15" t="str">
        <v>QCNM Bahawalpur EMH</v>
      </c>
      <c r="C15" t="str">
        <v>Trust Act</v>
      </c>
      <c r="D15" t="str">
        <v>South &amp; North Punjab Region</v>
      </c>
      <c r="E15" t="str">
        <v>Public</v>
      </c>
      <c r="F15" s="2">
        <v>25339</v>
      </c>
      <c r="G15" s="2">
        <v>2383</v>
      </c>
      <c r="H15" s="13">
        <v>10.633235417540915</v>
      </c>
      <c r="I15" s="13"/>
      <c r="J15" s="14">
        <v>4</v>
      </c>
      <c r="K15" s="14" t="str">
        <v>Misc</v>
      </c>
      <c r="L15" s="15">
        <v>56462</v>
      </c>
      <c r="O15" s="2"/>
      <c r="AI15" t="s">
        <v>18</v>
      </c>
      <c r="AJ15" s="2">
        <f>SUMIFS(SimpleDashData84[Misc],SimpleDashData84[Section],IF($A$4="All Sections","&lt;&gt;",$A$4))</f>
        <v>56462</v>
      </c>
      <c r="BA15">
        <v>14</v>
      </c>
      <c r="BB15" s="12" t="s">
        <v>69</v>
      </c>
      <c r="BC15">
        <v>2010289</v>
      </c>
      <c r="BD15" t="s">
        <v>68</v>
      </c>
      <c r="BE15" t="s">
        <v>34</v>
      </c>
      <c r="BF15" t="s">
        <v>64</v>
      </c>
      <c r="BG15">
        <v>1200</v>
      </c>
      <c r="BH15">
        <v>0</v>
      </c>
      <c r="BI15">
        <v>0</v>
      </c>
      <c r="BJ15">
        <v>0</v>
      </c>
      <c r="BK15">
        <v>0</v>
      </c>
      <c r="BL15">
        <v>240</v>
      </c>
      <c r="BM15">
        <v>0</v>
      </c>
      <c r="BN15">
        <v>0</v>
      </c>
      <c r="BO15">
        <v>0</v>
      </c>
      <c r="BP15">
        <v>500</v>
      </c>
      <c r="BQ15">
        <f>SUM(SimpleDashData84[[#This Row],[Convayance]:[Misc]])</f>
        <v>1940</v>
      </c>
      <c r="BR15">
        <v>618</v>
      </c>
      <c r="BS15">
        <v>0</v>
      </c>
      <c r="BT15">
        <v>0</v>
      </c>
      <c r="BU15">
        <f>SUM(SimpleDashData84[[#This Row],[Male]:[Child]])</f>
        <v>618</v>
      </c>
      <c r="BW15">
        <f>'[1]Expense Master June-26'!W20</f>
        <v>0</v>
      </c>
      <c r="BZ15">
        <f>SimpleDashData84[[#This Row],[Total Expense]]/SimpleDashData84[[#This Row],[Total Patients]]</f>
        <v>3.1391585760517797</v>
      </c>
      <c r="CA15">
        <v>0</v>
      </c>
    </row>
    <row r="16" spans="1:79" x14ac:dyDescent="0.3">
      <c r="A16">
        <v>5</v>
      </c>
      <c r="B16" t="str">
        <v>QCNM Lahore, Chauburji</v>
      </c>
      <c r="C16" t="str">
        <v>Trust Act</v>
      </c>
      <c r="D16" t="str">
        <v>Central Punjab Region</v>
      </c>
      <c r="E16" t="str">
        <v>Public</v>
      </c>
      <c r="F16" s="2">
        <v>23969</v>
      </c>
      <c r="G16" s="2">
        <v>1670</v>
      </c>
      <c r="H16" s="13">
        <v>14.352694610778443</v>
      </c>
      <c r="I16" s="13"/>
      <c r="J16" s="14">
        <v>5</v>
      </c>
      <c r="K16" s="14" t="str">
        <v>Utilities</v>
      </c>
      <c r="L16" s="15">
        <v>47073</v>
      </c>
      <c r="N16" s="11" t="s">
        <v>70</v>
      </c>
      <c r="O16" s="16" t="s">
        <v>71</v>
      </c>
      <c r="P16" s="16" t="s">
        <v>40</v>
      </c>
      <c r="BA16">
        <v>15</v>
      </c>
      <c r="BB16" s="12" t="s">
        <v>72</v>
      </c>
      <c r="BC16">
        <v>2010241</v>
      </c>
      <c r="BD16" t="s">
        <v>33</v>
      </c>
      <c r="BE16" t="s">
        <v>34</v>
      </c>
      <c r="BF16" t="s">
        <v>64</v>
      </c>
      <c r="BG16">
        <v>0</v>
      </c>
      <c r="BH16">
        <v>300</v>
      </c>
      <c r="BI16">
        <v>0</v>
      </c>
      <c r="BJ16">
        <v>1850</v>
      </c>
      <c r="BK16">
        <v>0</v>
      </c>
      <c r="BL16">
        <v>0</v>
      </c>
      <c r="BM16">
        <v>0</v>
      </c>
      <c r="BN16">
        <v>250</v>
      </c>
      <c r="BO16">
        <v>0</v>
      </c>
      <c r="BP16">
        <v>0</v>
      </c>
      <c r="BQ16">
        <f>SUM(SimpleDashData84[[#This Row],[Convayance]:[Misc]])</f>
        <v>2400</v>
      </c>
      <c r="BR16">
        <v>1127</v>
      </c>
      <c r="BS16">
        <v>0</v>
      </c>
      <c r="BT16">
        <v>0</v>
      </c>
      <c r="BU16">
        <f>SUM(SimpleDashData84[[#This Row],[Male]:[Child]])</f>
        <v>1127</v>
      </c>
      <c r="BW16">
        <f>'[1]Expense Master June-26'!W21</f>
        <v>0</v>
      </c>
      <c r="BZ16">
        <f>SimpleDashData84[[#This Row],[Total Expense]]/SimpleDashData84[[#This Row],[Total Patients]]</f>
        <v>2.1295474711623781</v>
      </c>
      <c r="CA16">
        <v>0</v>
      </c>
    </row>
    <row r="17" spans="1:79" x14ac:dyDescent="0.3">
      <c r="A17">
        <v>6</v>
      </c>
      <c r="B17" t="str">
        <v>QCNM Lahore, Nonarian</v>
      </c>
      <c r="C17" t="str">
        <v>Trust Act</v>
      </c>
      <c r="D17" t="str">
        <v>Central Punjab Region</v>
      </c>
      <c r="E17" t="str">
        <v>Public</v>
      </c>
      <c r="F17" s="2">
        <v>23359</v>
      </c>
      <c r="G17" s="2">
        <v>1965</v>
      </c>
      <c r="H17" s="13">
        <v>11.887531806615776</v>
      </c>
      <c r="I17" s="13"/>
      <c r="J17" s="14">
        <v>6</v>
      </c>
      <c r="K17" s="14" t="str">
        <v>Printing</v>
      </c>
      <c r="L17" s="15">
        <v>42510</v>
      </c>
      <c r="N17" s="14" t="s">
        <v>20</v>
      </c>
      <c r="O17" s="15" cm="1">
        <f t="array" ref="O17">SUMPRODUCT((IF($D$4&lt;&gt;"",1,IF($B$4="All Regions",1,SimpleDashData84[Region]=$B$4)))*(IF($D$4&lt;&gt;"",SimpleDashData84[QCNM Name]=$D$4,IF($G$4="All Clinics",1,SimpleDashData84[QCNM Name]=$G$4)))*(IF($A$4="All Sections",1,SimpleDashData84[Section]=$A$4))*SimpleDashData84[Male])</f>
        <v>170802</v>
      </c>
      <c r="P17" s="63">
        <f>SUM(O17:O19)</f>
        <v>210283</v>
      </c>
      <c r="BA17">
        <v>16</v>
      </c>
      <c r="BB17" s="12" t="s">
        <v>73</v>
      </c>
      <c r="BC17">
        <v>2010276</v>
      </c>
      <c r="BD17" t="s">
        <v>33</v>
      </c>
      <c r="BE17" t="s">
        <v>34</v>
      </c>
      <c r="BF17" t="s">
        <v>64</v>
      </c>
      <c r="BG17">
        <v>0</v>
      </c>
      <c r="BH17">
        <v>0</v>
      </c>
      <c r="BI17">
        <v>1000</v>
      </c>
      <c r="BJ17">
        <v>0</v>
      </c>
      <c r="BK17">
        <v>0</v>
      </c>
      <c r="BL17">
        <v>450</v>
      </c>
      <c r="BM17">
        <v>0</v>
      </c>
      <c r="BN17">
        <v>780</v>
      </c>
      <c r="BO17">
        <v>0</v>
      </c>
      <c r="BP17">
        <v>0</v>
      </c>
      <c r="BQ17">
        <f>SUM(SimpleDashData84[[#This Row],[Convayance]:[Misc]])</f>
        <v>2230</v>
      </c>
      <c r="BR17">
        <v>1789</v>
      </c>
      <c r="BS17">
        <v>0</v>
      </c>
      <c r="BT17">
        <v>0</v>
      </c>
      <c r="BU17">
        <f>SUM(SimpleDashData84[[#This Row],[Male]:[Child]])</f>
        <v>1789</v>
      </c>
      <c r="BW17">
        <f>'[1]Expense Master June-26'!W22</f>
        <v>0</v>
      </c>
      <c r="BZ17">
        <f>SimpleDashData84[[#This Row],[Total Expense]]/SimpleDashData84[[#This Row],[Total Patients]]</f>
        <v>1.2465064281721632</v>
      </c>
      <c r="CA17">
        <v>0</v>
      </c>
    </row>
    <row r="18" spans="1:79" x14ac:dyDescent="0.3">
      <c r="A18">
        <v>7</v>
      </c>
      <c r="B18" t="str">
        <v>QCNM Sialkot, District Jail</v>
      </c>
      <c r="C18" t="str">
        <v>Trust Act</v>
      </c>
      <c r="D18" t="str">
        <v>Central Punjab Region</v>
      </c>
      <c r="E18" t="str">
        <v>Prison</v>
      </c>
      <c r="F18" s="2">
        <v>22280</v>
      </c>
      <c r="G18" s="2">
        <v>3633</v>
      </c>
      <c r="H18" s="13">
        <v>6.1326727222680981</v>
      </c>
      <c r="I18" s="13"/>
      <c r="J18" s="14">
        <v>7</v>
      </c>
      <c r="K18" s="14" t="str">
        <v>Stationary</v>
      </c>
      <c r="L18" s="15">
        <v>34065</v>
      </c>
      <c r="N18" s="14" t="s">
        <v>21</v>
      </c>
      <c r="O18" s="15" cm="1">
        <f t="array" ref="O18">SUMPRODUCT((IF($D$4&lt;&gt;"",1,IF($B$4="All Regions",1,SimpleDashData84[Region]=$B$4)))*(IF($D$4&lt;&gt;"",SimpleDashData84[QCNM Name]=$D$4,IF($G$4="All Clinics",1,SimpleDashData84[QCNM Name]=$G$4)))*(IF($A$4="All Sections",1,SimpleDashData84[Section]=$A$4))*SimpleDashData84[Female])</f>
        <v>26888</v>
      </c>
      <c r="P18" s="64"/>
      <c r="BA18">
        <v>17</v>
      </c>
      <c r="BB18" s="12" t="s">
        <v>74</v>
      </c>
      <c r="BC18">
        <v>2010284</v>
      </c>
      <c r="BD18" t="s">
        <v>33</v>
      </c>
      <c r="BE18" t="s">
        <v>34</v>
      </c>
      <c r="BF18" t="s">
        <v>64</v>
      </c>
      <c r="BG18">
        <v>500</v>
      </c>
      <c r="BH18">
        <v>0</v>
      </c>
      <c r="BI18">
        <v>0</v>
      </c>
      <c r="BJ18">
        <v>0</v>
      </c>
      <c r="BK18">
        <v>0</v>
      </c>
      <c r="BL18">
        <v>350</v>
      </c>
      <c r="BM18">
        <v>0</v>
      </c>
      <c r="BN18">
        <v>0</v>
      </c>
      <c r="BO18">
        <v>0</v>
      </c>
      <c r="BP18">
        <v>0</v>
      </c>
      <c r="BQ18">
        <f>SUM(SimpleDashData84[[#This Row],[Convayance]:[Misc]])</f>
        <v>850</v>
      </c>
      <c r="BR18">
        <v>1713</v>
      </c>
      <c r="BS18">
        <v>0</v>
      </c>
      <c r="BT18">
        <v>0</v>
      </c>
      <c r="BU18">
        <f>SUM(SimpleDashData84[[#This Row],[Male]:[Child]])</f>
        <v>1713</v>
      </c>
      <c r="BW18">
        <f>'[1]Expense Master June-26'!W23</f>
        <v>0</v>
      </c>
      <c r="BZ18">
        <f>SimpleDashData84[[#This Row],[Total Expense]]/SimpleDashData84[[#This Row],[Total Patients]]</f>
        <v>0.49620548744892001</v>
      </c>
      <c r="CA18">
        <v>0</v>
      </c>
    </row>
    <row r="19" spans="1:79" x14ac:dyDescent="0.3">
      <c r="A19">
        <v>8</v>
      </c>
      <c r="B19" t="str">
        <v>QCNM FUUAST Islamabad</v>
      </c>
      <c r="C19" t="str">
        <v>Trust Act</v>
      </c>
      <c r="D19" t="str">
        <v>Capital Region</v>
      </c>
      <c r="E19" t="str">
        <v>Public</v>
      </c>
      <c r="F19" s="2">
        <v>21040</v>
      </c>
      <c r="G19" s="2">
        <v>1681</v>
      </c>
      <c r="H19" s="13">
        <v>12.516359309934563</v>
      </c>
      <c r="I19" s="13"/>
      <c r="J19" s="14">
        <v>8</v>
      </c>
      <c r="K19" s="14" t="str">
        <v>Repair</v>
      </c>
      <c r="L19" s="15">
        <v>27670</v>
      </c>
      <c r="N19" s="14" t="s">
        <v>22</v>
      </c>
      <c r="O19" s="15" cm="1">
        <f t="array" ref="O19">SUMPRODUCT((IF($D$4&lt;&gt;"",1,IF($B$4="All Regions",1,SimpleDashData84[Region]=$B$4)))*(IF($D$4&lt;&gt;"",SimpleDashData84[QCNM Name]=$D$4,IF($G$4="All Clinics",1,SimpleDashData84[QCNM Name]=$G$4)))*(IF($A$4="All Sections",1,SimpleDashData84[Section]=$A$4))*SimpleDashData84[Child])</f>
        <v>12593</v>
      </c>
      <c r="P19" s="64"/>
      <c r="BA19">
        <v>18</v>
      </c>
      <c r="BB19" s="12" t="s">
        <v>75</v>
      </c>
      <c r="BC19">
        <v>2010260</v>
      </c>
      <c r="BD19" t="s">
        <v>33</v>
      </c>
      <c r="BE19" t="s">
        <v>34</v>
      </c>
      <c r="BF19" t="s">
        <v>64</v>
      </c>
      <c r="BG19">
        <v>0</v>
      </c>
      <c r="BH19">
        <v>0</v>
      </c>
      <c r="BI19">
        <v>500</v>
      </c>
      <c r="BJ19">
        <v>4700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f>SUM(SimpleDashData84[[#This Row],[Convayance]:[Misc]])</f>
        <v>5200</v>
      </c>
      <c r="BR19">
        <v>1283</v>
      </c>
      <c r="BS19">
        <v>0</v>
      </c>
      <c r="BT19">
        <v>0</v>
      </c>
      <c r="BU19">
        <f>SUM(SimpleDashData84[[#This Row],[Male]:[Child]])</f>
        <v>1283</v>
      </c>
      <c r="BW19">
        <f>'[1]Expense Master June-26'!W24</f>
        <v>0</v>
      </c>
      <c r="BZ19">
        <f>SimpleDashData84[[#This Row],[Total Expense]]/SimpleDashData84[[#This Row],[Total Patients]]</f>
        <v>4.0530007794232272</v>
      </c>
      <c r="CA19">
        <v>0</v>
      </c>
    </row>
    <row r="20" spans="1:79" x14ac:dyDescent="0.3">
      <c r="A20">
        <v>9</v>
      </c>
      <c r="B20" t="str">
        <v>QCNM Bannu, USTB University</v>
      </c>
      <c r="C20" t="str">
        <v>Trust Act</v>
      </c>
      <c r="D20" t="str">
        <v>Capital Region</v>
      </c>
      <c r="E20" t="str">
        <v>Public</v>
      </c>
      <c r="F20" s="2">
        <v>17250</v>
      </c>
      <c r="G20" s="2">
        <v>2154</v>
      </c>
      <c r="H20" s="13">
        <v>8.0083565459610035</v>
      </c>
      <c r="I20" s="13"/>
      <c r="J20" s="14">
        <v>9</v>
      </c>
      <c r="K20" s="14" t="str">
        <v>Postage</v>
      </c>
      <c r="L20" s="15">
        <v>27033</v>
      </c>
      <c r="BA20">
        <v>19</v>
      </c>
      <c r="BB20" s="12" t="s">
        <v>76</v>
      </c>
      <c r="BC20">
        <v>2010266</v>
      </c>
      <c r="BD20" t="s">
        <v>33</v>
      </c>
      <c r="BE20" t="s">
        <v>34</v>
      </c>
      <c r="BF20" t="s">
        <v>64</v>
      </c>
      <c r="BG20">
        <v>0</v>
      </c>
      <c r="BH20">
        <v>1000</v>
      </c>
      <c r="BI20">
        <v>0</v>
      </c>
      <c r="BJ20">
        <v>6700</v>
      </c>
      <c r="BK20">
        <v>0</v>
      </c>
      <c r="BL20">
        <v>300</v>
      </c>
      <c r="BM20">
        <v>0</v>
      </c>
      <c r="BN20">
        <v>0</v>
      </c>
      <c r="BO20">
        <v>0</v>
      </c>
      <c r="BP20">
        <v>0</v>
      </c>
      <c r="BQ20">
        <f>SUM(SimpleDashData84[[#This Row],[Convayance]:[Misc]])</f>
        <v>8000</v>
      </c>
      <c r="BR20">
        <v>2114</v>
      </c>
      <c r="BS20">
        <v>138</v>
      </c>
      <c r="BT20">
        <v>0</v>
      </c>
      <c r="BU20">
        <f>SUM(SimpleDashData84[[#This Row],[Male]:[Child]])</f>
        <v>2252</v>
      </c>
      <c r="BW20">
        <f>'[1]Expense Master June-26'!W25</f>
        <v>0</v>
      </c>
      <c r="BZ20">
        <f>SimpleDashData84[[#This Row],[Total Expense]]/SimpleDashData84[[#This Row],[Total Patients]]</f>
        <v>3.5523978685612789</v>
      </c>
      <c r="CA20">
        <v>0</v>
      </c>
    </row>
    <row r="21" spans="1:79" x14ac:dyDescent="0.3">
      <c r="A21">
        <v>10</v>
      </c>
      <c r="B21" t="str">
        <v>QCNM Bahawalnagar, District Jail</v>
      </c>
      <c r="C21" t="str">
        <v>Trust Act</v>
      </c>
      <c r="D21" t="str">
        <v>South &amp; North Punjab Region</v>
      </c>
      <c r="E21" t="str">
        <v>Prison</v>
      </c>
      <c r="F21" s="2">
        <v>17190</v>
      </c>
      <c r="G21" s="2">
        <v>2102</v>
      </c>
      <c r="H21" s="13">
        <v>8.177925784966698</v>
      </c>
      <c r="I21" s="13"/>
      <c r="J21" s="14">
        <v>10</v>
      </c>
      <c r="K21" s="14" t="str">
        <v>Freight</v>
      </c>
      <c r="L21" s="15">
        <v>18900</v>
      </c>
      <c r="BA21">
        <v>20</v>
      </c>
      <c r="BB21" s="12" t="s">
        <v>77</v>
      </c>
      <c r="BC21">
        <v>2010267</v>
      </c>
      <c r="BD21" t="s">
        <v>33</v>
      </c>
      <c r="BE21" t="s">
        <v>34</v>
      </c>
      <c r="BF21" t="s">
        <v>64</v>
      </c>
      <c r="BG21">
        <v>600</v>
      </c>
      <c r="BH21">
        <v>1000</v>
      </c>
      <c r="BI21">
        <v>0</v>
      </c>
      <c r="BJ21">
        <v>6030</v>
      </c>
      <c r="BK21">
        <v>0</v>
      </c>
      <c r="BL21">
        <v>90</v>
      </c>
      <c r="BM21">
        <v>0</v>
      </c>
      <c r="BN21">
        <v>690</v>
      </c>
      <c r="BO21">
        <v>0</v>
      </c>
      <c r="BP21">
        <v>0</v>
      </c>
      <c r="BQ21">
        <f>SUM(SimpleDashData84[[#This Row],[Convayance]:[Misc]])</f>
        <v>8410</v>
      </c>
      <c r="BR21">
        <v>3001</v>
      </c>
      <c r="BS21">
        <v>0</v>
      </c>
      <c r="BT21">
        <v>0</v>
      </c>
      <c r="BU21">
        <f>SUM(SimpleDashData84[[#This Row],[Male]:[Child]])</f>
        <v>3001</v>
      </c>
      <c r="BW21">
        <f>'[1]Expense Master June-26'!W26</f>
        <v>0</v>
      </c>
      <c r="BZ21">
        <f>SimpleDashData84[[#This Row],[Total Expense]]/SimpleDashData84[[#This Row],[Total Patients]]</f>
        <v>2.8023992002665779</v>
      </c>
      <c r="CA21">
        <v>0</v>
      </c>
    </row>
    <row r="22" spans="1:79" x14ac:dyDescent="0.3">
      <c r="A22">
        <v>11</v>
      </c>
      <c r="B22" t="str">
        <v>QCNM Mamukanjan</v>
      </c>
      <c r="C22" t="str">
        <v>Trust Act</v>
      </c>
      <c r="D22" t="str">
        <v>Central Punjab Region</v>
      </c>
      <c r="E22" t="str">
        <v>Public</v>
      </c>
      <c r="F22" s="2">
        <v>16420</v>
      </c>
      <c r="G22" s="2">
        <v>1383</v>
      </c>
      <c r="H22" s="13">
        <v>11.872740419378163</v>
      </c>
      <c r="I22" s="13"/>
      <c r="L22" s="17">
        <f>SUM(L12:L21)</f>
        <v>914689</v>
      </c>
      <c r="BA22">
        <v>21</v>
      </c>
      <c r="BB22" s="12" t="s">
        <v>78</v>
      </c>
      <c r="BC22">
        <v>2010293</v>
      </c>
      <c r="BD22" t="s">
        <v>33</v>
      </c>
      <c r="BE22" t="s">
        <v>34</v>
      </c>
      <c r="BF22" t="s">
        <v>64</v>
      </c>
      <c r="BG22">
        <v>500</v>
      </c>
      <c r="BH22">
        <v>0</v>
      </c>
      <c r="BI22">
        <v>0</v>
      </c>
      <c r="BJ22">
        <v>2950</v>
      </c>
      <c r="BK22">
        <v>0</v>
      </c>
      <c r="BL22">
        <v>450</v>
      </c>
      <c r="BM22">
        <v>0</v>
      </c>
      <c r="BN22">
        <v>0</v>
      </c>
      <c r="BO22">
        <v>0</v>
      </c>
      <c r="BP22">
        <v>0</v>
      </c>
      <c r="BQ22">
        <f>SUM(SimpleDashData84[[#This Row],[Convayance]:[Misc]])</f>
        <v>3900</v>
      </c>
      <c r="BR22">
        <v>1497</v>
      </c>
      <c r="BS22">
        <v>95</v>
      </c>
      <c r="BT22">
        <v>18</v>
      </c>
      <c r="BU22">
        <f>SUM(SimpleDashData84[[#This Row],[Male]:[Child]])</f>
        <v>1610</v>
      </c>
      <c r="BW22">
        <f>'[1]Expense Master June-26'!W27</f>
        <v>0</v>
      </c>
      <c r="BZ22">
        <f>SimpleDashData84[[#This Row],[Total Expense]]/SimpleDashData84[[#This Row],[Total Patients]]</f>
        <v>2.4223602484472049</v>
      </c>
      <c r="CA22">
        <v>0</v>
      </c>
    </row>
    <row r="23" spans="1:79" x14ac:dyDescent="0.3">
      <c r="A23">
        <v>12</v>
      </c>
      <c r="B23" t="str">
        <v>QCNM Gujrat, District Jail</v>
      </c>
      <c r="C23" t="str">
        <v>Trust Act</v>
      </c>
      <c r="D23" t="str">
        <v>Central Punjab Region</v>
      </c>
      <c r="E23" t="str">
        <v>Prison</v>
      </c>
      <c r="F23" s="2">
        <v>16190</v>
      </c>
      <c r="G23" s="2">
        <v>2883</v>
      </c>
      <c r="H23" s="13">
        <v>5.6156781130766564</v>
      </c>
      <c r="I23" s="13"/>
      <c r="J23" s="65" t="s">
        <v>79</v>
      </c>
      <c r="K23" s="65"/>
      <c r="L23" s="65"/>
      <c r="M23" s="65"/>
      <c r="N23" s="65"/>
      <c r="P23" s="65" t="s">
        <v>80</v>
      </c>
      <c r="Q23" s="65"/>
      <c r="R23" s="65"/>
      <c r="S23" s="65"/>
      <c r="T23" s="65"/>
      <c r="V23" s="66" t="s">
        <v>81</v>
      </c>
      <c r="W23" s="67"/>
      <c r="X23" s="68"/>
      <c r="BA23">
        <v>22</v>
      </c>
      <c r="BB23" s="12" t="s">
        <v>82</v>
      </c>
      <c r="BC23">
        <v>2010297</v>
      </c>
      <c r="BD23" t="s">
        <v>33</v>
      </c>
      <c r="BE23" t="s">
        <v>34</v>
      </c>
      <c r="BF23" t="s">
        <v>64</v>
      </c>
      <c r="BG23">
        <v>0</v>
      </c>
      <c r="BH23">
        <v>0</v>
      </c>
      <c r="BI23">
        <v>0</v>
      </c>
      <c r="BJ23">
        <v>1350</v>
      </c>
      <c r="BK23">
        <v>0</v>
      </c>
      <c r="BL23">
        <v>0</v>
      </c>
      <c r="BM23">
        <v>0</v>
      </c>
      <c r="BN23">
        <v>110</v>
      </c>
      <c r="BO23">
        <v>0</v>
      </c>
      <c r="BP23">
        <v>500</v>
      </c>
      <c r="BQ23">
        <f>SUM(SimpleDashData84[[#This Row],[Convayance]:[Misc]])</f>
        <v>1960</v>
      </c>
      <c r="BR23">
        <v>1471</v>
      </c>
      <c r="BS23">
        <v>0</v>
      </c>
      <c r="BT23">
        <v>0</v>
      </c>
      <c r="BU23">
        <f>SUM(SimpleDashData84[[#This Row],[Male]:[Child]])</f>
        <v>1471</v>
      </c>
      <c r="BW23">
        <f>'[1]Expense Master June-26'!W28</f>
        <v>0</v>
      </c>
      <c r="BZ23">
        <f>SimpleDashData84[[#This Row],[Total Expense]]/SimpleDashData84[[#This Row],[Total Patients]]</f>
        <v>1.3324269204622705</v>
      </c>
      <c r="CA23">
        <v>0</v>
      </c>
    </row>
    <row r="24" spans="1:79" x14ac:dyDescent="0.3">
      <c r="A24">
        <v>13</v>
      </c>
      <c r="B24" t="str">
        <v>QCNM Larkana, District Jail</v>
      </c>
      <c r="C24" t="str">
        <v>Trust Act</v>
      </c>
      <c r="D24" t="str">
        <v>Sindh, Balochistan &amp; AJK Region</v>
      </c>
      <c r="E24" t="str">
        <v>Prison</v>
      </c>
      <c r="F24" s="2">
        <v>16150</v>
      </c>
      <c r="G24" s="2">
        <v>1332</v>
      </c>
      <c r="H24" s="13">
        <v>12.124624624624625</v>
      </c>
      <c r="I24" s="13"/>
      <c r="J24" s="18" t="s">
        <v>58</v>
      </c>
      <c r="K24" s="18" t="s">
        <v>7</v>
      </c>
      <c r="L24" s="18" t="s">
        <v>23</v>
      </c>
      <c r="M24" s="18" t="s">
        <v>49</v>
      </c>
      <c r="N24" s="18" t="s">
        <v>83</v>
      </c>
      <c r="P24" s="18" t="s">
        <v>58</v>
      </c>
      <c r="Q24" s="18" t="s">
        <v>7</v>
      </c>
      <c r="R24" s="18" t="s">
        <v>19</v>
      </c>
      <c r="S24" s="18" t="s">
        <v>49</v>
      </c>
      <c r="T24" s="18" t="s">
        <v>50</v>
      </c>
      <c r="V24" s="18" t="s">
        <v>58</v>
      </c>
      <c r="W24" s="18" t="s">
        <v>84</v>
      </c>
      <c r="X24" s="18" t="s">
        <v>19</v>
      </c>
      <c r="BA24">
        <v>23</v>
      </c>
      <c r="BB24" s="12" t="s">
        <v>85</v>
      </c>
      <c r="BC24">
        <v>2010401</v>
      </c>
      <c r="BD24" t="s">
        <v>68</v>
      </c>
      <c r="BE24" t="s">
        <v>34</v>
      </c>
      <c r="BF24" t="s">
        <v>64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320</v>
      </c>
      <c r="BM24">
        <v>0</v>
      </c>
      <c r="BN24">
        <v>0</v>
      </c>
      <c r="BO24">
        <v>500</v>
      </c>
      <c r="BP24">
        <v>0</v>
      </c>
      <c r="BQ24">
        <f>SUM(SimpleDashData84[[#This Row],[Convayance]:[Misc]])</f>
        <v>820</v>
      </c>
      <c r="BR24">
        <v>684</v>
      </c>
      <c r="BS24">
        <v>8</v>
      </c>
      <c r="BT24">
        <v>0</v>
      </c>
      <c r="BU24">
        <f>SUM(SimpleDashData84[[#This Row],[Male]:[Child]])</f>
        <v>692</v>
      </c>
      <c r="BW24">
        <f>'[1]Expense Master June-26'!W29</f>
        <v>0</v>
      </c>
      <c r="BZ24">
        <f>SimpleDashData84[[#This Row],[Total Expense]]/SimpleDashData84[[#This Row],[Total Patients]]</f>
        <v>1.1849710982658959</v>
      </c>
      <c r="CA24">
        <v>0</v>
      </c>
    </row>
    <row r="25" spans="1:79" ht="27.6" x14ac:dyDescent="0.3">
      <c r="A25">
        <v>14</v>
      </c>
      <c r="B25" t="str">
        <v>QCNM Sheikhupura, District Jail</v>
      </c>
      <c r="C25" t="str">
        <v>Trust Act</v>
      </c>
      <c r="D25" t="str">
        <v>Central Punjab Region</v>
      </c>
      <c r="E25" t="str">
        <v>Prison</v>
      </c>
      <c r="F25" s="2">
        <v>15510</v>
      </c>
      <c r="G25" s="2">
        <v>3010</v>
      </c>
      <c r="H25" s="13">
        <v>5.1528239202657806</v>
      </c>
      <c r="I25" s="13"/>
      <c r="J25" s="19" cm="1">
        <f t="array" ref="J25:J28">_xlfn.SEQUENCE(ROWS(_xlfn.ANCHORARRAY(K25)))</f>
        <v>1</v>
      </c>
      <c r="K25" s="20" t="str" cm="1">
        <f t="array" ref="K25:K28">_xlfn.LET(_xlpm.z,IF($A$4="All Sections","&lt;&gt;",$A$4),_xlpm.u,_xlfn.UNIQUE(_xlfn._xlws.FILTER(SimpleDashData84[Region],IF($A$4="All Sections",SimpleDashData84[Section]&lt;&gt;"",SimpleDashData84[Section]=$A$4))),_xlfn.SORTBY(_xlpm.u,SUMIFS(SimpleDashData84[Total Patients],SimpleDashData84[Region],_xlpm.u,SimpleDashData84[Section],_xlpm.z),-1))</f>
        <v>South &amp; North Punjab Region</v>
      </c>
      <c r="L25" s="21" cm="1">
        <f t="array" ref="L25:L28">SUMIFS(SimpleDashData84[Total Patients],SimpleDashData84[Region],_xlfn.ANCHORARRAY(K25),SimpleDashData84[Section],IF($A$4="All Sections","&lt;&gt;",$A$4))</f>
        <v>69399</v>
      </c>
      <c r="M25" s="21" cm="1">
        <f t="array" ref="M25:M28">COUNTIFS(SimpleDashData84[Region],_xlfn.ANCHORARRAY(K25),SimpleDashData84[Section],IF($A$4="All Sections","&lt;&gt;",$A$4))</f>
        <v>36</v>
      </c>
      <c r="N25" s="22" cm="1">
        <f t="array" ref="N25:N28">_xlfn.ANCHORARRAY(L25)/_xlfn.ANCHORARRAY(M25)</f>
        <v>1927.75</v>
      </c>
      <c r="P25" s="19" cm="1">
        <f t="array" ref="P25:P28">_xlfn.SEQUENCE(ROWS(_xlfn.ANCHORARRAY(Q25)))</f>
        <v>1</v>
      </c>
      <c r="Q25" s="20" t="str" cm="1">
        <f t="array" ref="Q25:Q28">_xlfn.LET(_xlpm.z,IF($A$4="All Sections","&lt;&gt;",$A$4),_xlpm.u,_xlfn.UNIQUE(_xlfn._xlws.FILTER(SimpleDashData84[Region],IF($A$4="All Sections",SimpleDashData84[Section]&lt;&gt;"",SimpleDashData84[Section]=$A$4))),_xlfn.SORTBY(_xlpm.u,SUMIFS(SimpleDashData84[Total Expense],SimpleDashData84[Region],_xlpm.u,SimpleDashData84[Section],_xlpm.z),-1))</f>
        <v>South &amp; North Punjab Region</v>
      </c>
      <c r="R25" s="21" cm="1">
        <f t="array" ref="R25:R28">SUMIFS(SimpleDashData84[Total Expense],SimpleDashData84[Region],_xlfn.ANCHORARRAY(Q25),SimpleDashData84[Section],IF($A$4="All Sections","&lt;&gt;",$A$4))</f>
        <v>298262</v>
      </c>
      <c r="S25" s="21" cm="1">
        <f t="array" ref="S25:S28">COUNTIFS(SimpleDashData84[Region],_xlfn.ANCHORARRAY(Q25),SimpleDashData84[Section],IF($A$4="All Sections","&lt;&gt;",$A$4))</f>
        <v>36</v>
      </c>
      <c r="T25" s="23" cm="1">
        <f t="array" ref="T25:T28">IFERROR(_xlfn.ANCHORARRAY(R25)/SUMIFS(SimpleDashData84[Total Patients],SimpleDashData84[Region],_xlfn.ANCHORARRAY(Q25),SimpleDashData84[Section],IF($A$4="All Sections","&lt;&gt;",$A$4)),0)</f>
        <v>4.2977852706811337</v>
      </c>
      <c r="V25" s="19">
        <v>1</v>
      </c>
      <c r="W25" s="20" t="s">
        <v>33</v>
      </c>
      <c r="X25" s="21"/>
      <c r="BA25">
        <v>24</v>
      </c>
      <c r="BB25" s="12" t="s">
        <v>86</v>
      </c>
      <c r="BC25">
        <v>2010299</v>
      </c>
      <c r="BD25" t="s">
        <v>68</v>
      </c>
      <c r="BE25" t="s">
        <v>34</v>
      </c>
      <c r="BF25" t="s">
        <v>64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420</v>
      </c>
      <c r="BM25">
        <v>0</v>
      </c>
      <c r="BN25">
        <v>0</v>
      </c>
      <c r="BO25">
        <v>500</v>
      </c>
      <c r="BP25">
        <v>0</v>
      </c>
      <c r="BQ25">
        <f>SUM(SimpleDashData84[[#This Row],[Convayance]:[Misc]])</f>
        <v>920</v>
      </c>
      <c r="BR25">
        <v>705</v>
      </c>
      <c r="BS25">
        <v>0</v>
      </c>
      <c r="BT25">
        <v>0</v>
      </c>
      <c r="BU25">
        <f>SUM(SimpleDashData84[[#This Row],[Male]:[Child]])</f>
        <v>705</v>
      </c>
      <c r="BW25">
        <f>'[1]Expense Master June-26'!W30</f>
        <v>0</v>
      </c>
      <c r="BZ25">
        <f>SimpleDashData84[[#This Row],[Total Expense]]/SimpleDashData84[[#This Row],[Total Patients]]</f>
        <v>1.3049645390070923</v>
      </c>
      <c r="CA25">
        <v>0</v>
      </c>
    </row>
    <row r="26" spans="1:79" ht="27.6" x14ac:dyDescent="0.3">
      <c r="A26">
        <v>15</v>
      </c>
      <c r="B26" t="str">
        <v>QCNM Lahore, Molvi Najjar Ashiana Housing</v>
      </c>
      <c r="C26" t="str">
        <v>Trust Act</v>
      </c>
      <c r="D26" t="str">
        <v>Central Punjab Region</v>
      </c>
      <c r="E26" t="str">
        <v>Public</v>
      </c>
      <c r="F26" s="2">
        <v>15204</v>
      </c>
      <c r="G26" s="2">
        <v>1192</v>
      </c>
      <c r="H26" s="13">
        <v>12.75503355704698</v>
      </c>
      <c r="I26" s="13"/>
      <c r="J26" s="19">
        <v>2</v>
      </c>
      <c r="K26" s="20" t="str">
        <v>Central Punjab Region</v>
      </c>
      <c r="L26" s="21">
        <v>52118</v>
      </c>
      <c r="M26" s="21">
        <v>34</v>
      </c>
      <c r="N26" s="22">
        <v>1532.8823529411766</v>
      </c>
      <c r="P26" s="19">
        <v>2</v>
      </c>
      <c r="Q26" s="20" t="str">
        <v>Central Punjab Region</v>
      </c>
      <c r="R26" s="21">
        <v>278397</v>
      </c>
      <c r="S26" s="21">
        <v>34</v>
      </c>
      <c r="T26" s="23">
        <v>5.3416669864538164</v>
      </c>
      <c r="V26" s="19">
        <v>2</v>
      </c>
      <c r="W26" s="20" t="s">
        <v>87</v>
      </c>
      <c r="X26" s="21"/>
      <c r="BA26">
        <v>25</v>
      </c>
      <c r="BB26" s="12" t="s">
        <v>88</v>
      </c>
      <c r="BC26">
        <v>2010295</v>
      </c>
      <c r="BD26" t="s">
        <v>33</v>
      </c>
      <c r="BE26" t="s">
        <v>34</v>
      </c>
      <c r="BF26" t="s">
        <v>64</v>
      </c>
      <c r="BG26">
        <v>0</v>
      </c>
      <c r="BH26">
        <v>0</v>
      </c>
      <c r="BI26">
        <v>0</v>
      </c>
      <c r="BJ26">
        <v>1700</v>
      </c>
      <c r="BK26">
        <v>0</v>
      </c>
      <c r="BL26">
        <v>550</v>
      </c>
      <c r="BM26">
        <v>1800</v>
      </c>
      <c r="BN26">
        <v>420</v>
      </c>
      <c r="BO26">
        <v>990</v>
      </c>
      <c r="BP26">
        <v>500</v>
      </c>
      <c r="BQ26">
        <f>SUM(SimpleDashData84[[#This Row],[Convayance]:[Misc]])</f>
        <v>5960</v>
      </c>
      <c r="BR26">
        <v>1114</v>
      </c>
      <c r="BS26">
        <v>0</v>
      </c>
      <c r="BT26">
        <v>0</v>
      </c>
      <c r="BU26">
        <f>SUM(SimpleDashData84[[#This Row],[Male]:[Child]])</f>
        <v>1114</v>
      </c>
      <c r="BW26">
        <f>'[1]Expense Master June-26'!W31</f>
        <v>0</v>
      </c>
      <c r="BZ26">
        <f>SimpleDashData84[[#This Row],[Total Expense]]/SimpleDashData84[[#This Row],[Total Patients]]</f>
        <v>5.3500897666068221</v>
      </c>
      <c r="CA26">
        <v>0</v>
      </c>
    </row>
    <row r="27" spans="1:79" ht="41.4" x14ac:dyDescent="0.3">
      <c r="A27">
        <v>16</v>
      </c>
      <c r="B27" t="str">
        <v>QCNM Gujranwala, Central Jail</v>
      </c>
      <c r="C27" t="str">
        <v>Trust Act</v>
      </c>
      <c r="D27" t="str">
        <v>Central Punjab Region</v>
      </c>
      <c r="E27" t="str">
        <v>Prison</v>
      </c>
      <c r="F27" s="2">
        <v>15200</v>
      </c>
      <c r="G27" s="2">
        <v>4111</v>
      </c>
      <c r="H27" s="13">
        <v>3.6973972269520798</v>
      </c>
      <c r="I27" s="13"/>
      <c r="J27" s="19">
        <v>3</v>
      </c>
      <c r="K27" s="20" t="str">
        <v>Capital Region</v>
      </c>
      <c r="L27" s="21">
        <v>50783</v>
      </c>
      <c r="M27" s="21">
        <v>34</v>
      </c>
      <c r="N27" s="22">
        <v>1493.6176470588234</v>
      </c>
      <c r="P27" s="19">
        <v>3</v>
      </c>
      <c r="Q27" s="20" t="str">
        <v>Sindh, Balochistan &amp; AJK Region</v>
      </c>
      <c r="R27" s="21">
        <v>176785</v>
      </c>
      <c r="S27" s="21">
        <v>32</v>
      </c>
      <c r="T27" s="23">
        <v>4.6543190374641288</v>
      </c>
      <c r="V27" s="19">
        <v>3</v>
      </c>
      <c r="W27" s="20" t="s">
        <v>89</v>
      </c>
      <c r="X27" s="21"/>
      <c r="BA27">
        <v>26</v>
      </c>
      <c r="BB27" s="12" t="s">
        <v>90</v>
      </c>
      <c r="BC27">
        <v>2010294</v>
      </c>
      <c r="BD27" t="s">
        <v>33</v>
      </c>
      <c r="BE27" t="s">
        <v>34</v>
      </c>
      <c r="BF27" t="s">
        <v>64</v>
      </c>
      <c r="BG27">
        <v>0</v>
      </c>
      <c r="BH27">
        <v>500</v>
      </c>
      <c r="BI27">
        <v>0</v>
      </c>
      <c r="BJ27">
        <v>1250</v>
      </c>
      <c r="BK27">
        <v>0</v>
      </c>
      <c r="BL27">
        <v>600</v>
      </c>
      <c r="BM27">
        <v>0</v>
      </c>
      <c r="BN27">
        <v>0</v>
      </c>
      <c r="BO27">
        <v>0</v>
      </c>
      <c r="BP27">
        <v>0</v>
      </c>
      <c r="BQ27">
        <f>SUM(SimpleDashData84[[#This Row],[Convayance]:[Misc]])</f>
        <v>2350</v>
      </c>
      <c r="BR27">
        <v>1326</v>
      </c>
      <c r="BS27">
        <v>0</v>
      </c>
      <c r="BT27">
        <v>0</v>
      </c>
      <c r="BU27">
        <f>SUM(SimpleDashData84[[#This Row],[Male]:[Child]])</f>
        <v>1326</v>
      </c>
      <c r="BW27">
        <f>'[1]Expense Master June-26'!W32</f>
        <v>0</v>
      </c>
      <c r="BZ27">
        <f>SimpleDashData84[[#This Row],[Total Expense]]/SimpleDashData84[[#This Row],[Total Patients]]</f>
        <v>1.7722473604826545</v>
      </c>
      <c r="CA27">
        <v>0</v>
      </c>
    </row>
    <row r="28" spans="1:79" ht="27.6" x14ac:dyDescent="0.3">
      <c r="A28">
        <v>17</v>
      </c>
      <c r="B28" t="str">
        <v>QCNM FUUAST ( Abdul Haq Campus)</v>
      </c>
      <c r="C28" t="str">
        <v>Trust Act</v>
      </c>
      <c r="D28" t="str">
        <v>Sindh, Balochistan &amp; AJK Region</v>
      </c>
      <c r="E28" t="str">
        <v>Public</v>
      </c>
      <c r="F28" s="2">
        <v>14931</v>
      </c>
      <c r="G28" s="2">
        <v>1213</v>
      </c>
      <c r="H28" s="13">
        <v>12.309150865622424</v>
      </c>
      <c r="I28" s="13"/>
      <c r="J28" s="19">
        <v>4</v>
      </c>
      <c r="K28" s="20" t="str">
        <v>Sindh, Balochistan &amp; AJK Region</v>
      </c>
      <c r="L28" s="21">
        <v>37983</v>
      </c>
      <c r="M28" s="21">
        <v>32</v>
      </c>
      <c r="N28" s="22">
        <v>1186.96875</v>
      </c>
      <c r="P28" s="19">
        <v>4</v>
      </c>
      <c r="Q28" s="20" t="str">
        <v>Capital Region</v>
      </c>
      <c r="R28" s="21">
        <v>161245</v>
      </c>
      <c r="S28" s="21">
        <v>34</v>
      </c>
      <c r="T28" s="23">
        <v>3.1751767323710691</v>
      </c>
      <c r="V28" s="19"/>
      <c r="W28" s="24" t="s">
        <v>40</v>
      </c>
      <c r="X28" s="25">
        <f>SUM(X25:X27)</f>
        <v>0</v>
      </c>
      <c r="BA28">
        <v>27</v>
      </c>
      <c r="BB28" s="12" t="s">
        <v>91</v>
      </c>
      <c r="BC28">
        <v>2010409</v>
      </c>
      <c r="BD28" t="s">
        <v>33</v>
      </c>
      <c r="BE28" t="s">
        <v>34</v>
      </c>
      <c r="BF28" t="s">
        <v>64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f>SUM(SimpleDashData84[[#This Row],[Convayance]:[Misc]])</f>
        <v>0</v>
      </c>
      <c r="BR28">
        <v>1288</v>
      </c>
      <c r="BS28">
        <v>0</v>
      </c>
      <c r="BT28">
        <v>0</v>
      </c>
      <c r="BU28">
        <f>SUM(SimpleDashData84[[#This Row],[Male]:[Child]])</f>
        <v>1288</v>
      </c>
      <c r="BW28">
        <f>'[1]Expense Master June-26'!W33</f>
        <v>0</v>
      </c>
      <c r="BZ28">
        <f>SimpleDashData84[[#This Row],[Total Expense]]/SimpleDashData84[[#This Row],[Total Patients]]</f>
        <v>0</v>
      </c>
      <c r="CA28">
        <v>0</v>
      </c>
    </row>
    <row r="29" spans="1:79" x14ac:dyDescent="0.3">
      <c r="A29">
        <v>18</v>
      </c>
      <c r="B29" t="str">
        <v>QCNM Lahore, District (Camp) Jail</v>
      </c>
      <c r="C29" t="str">
        <v>Trust Act</v>
      </c>
      <c r="D29" t="str">
        <v>Central Punjab Region</v>
      </c>
      <c r="E29" t="str">
        <v>Prison</v>
      </c>
      <c r="F29" s="2">
        <v>14310</v>
      </c>
      <c r="G29" s="2">
        <v>3040</v>
      </c>
      <c r="H29" s="13">
        <v>4.7072368421052628</v>
      </c>
      <c r="I29" s="13"/>
      <c r="L29" s="26">
        <f>SUM(_xlfn.ANCHORARRAY(L25))</f>
        <v>210283</v>
      </c>
      <c r="M29" s="2">
        <f>SUM(_xlfn.ANCHORARRAY(M25))</f>
        <v>136</v>
      </c>
      <c r="N29" s="2">
        <f>SUM(_xlfn.ANCHORARRAY(N25))</f>
        <v>6141.21875</v>
      </c>
      <c r="R29" s="26">
        <f>SUM(_xlfn.ANCHORARRAY(R25))</f>
        <v>914689</v>
      </c>
      <c r="S29" s="2">
        <f>SUM(_xlfn.ANCHORARRAY(S25))</f>
        <v>136</v>
      </c>
      <c r="T29" s="2"/>
      <c r="BA29">
        <v>28</v>
      </c>
      <c r="BB29" s="12" t="s">
        <v>92</v>
      </c>
      <c r="BC29">
        <v>2010405</v>
      </c>
      <c r="BD29" t="s">
        <v>33</v>
      </c>
      <c r="BE29" t="s">
        <v>34</v>
      </c>
      <c r="BF29" t="s">
        <v>64</v>
      </c>
      <c r="BG29">
        <v>0</v>
      </c>
      <c r="BH29">
        <v>500</v>
      </c>
      <c r="BI29">
        <v>750</v>
      </c>
      <c r="BJ29">
        <v>7000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f>SUM(SimpleDashData84[[#This Row],[Convayance]:[Misc]])</f>
        <v>8250</v>
      </c>
      <c r="BR29">
        <v>2318</v>
      </c>
      <c r="BS29">
        <v>0</v>
      </c>
      <c r="BT29">
        <v>0</v>
      </c>
      <c r="BU29">
        <f>SUM(SimpleDashData84[[#This Row],[Male]:[Child]])</f>
        <v>2318</v>
      </c>
      <c r="BW29">
        <f>'[1]Expense Master June-26'!W34</f>
        <v>0</v>
      </c>
      <c r="BZ29">
        <f>SimpleDashData84[[#This Row],[Total Expense]]/SimpleDashData84[[#This Row],[Total Patients]]</f>
        <v>3.5591026747195857</v>
      </c>
      <c r="CA29">
        <v>0</v>
      </c>
    </row>
    <row r="30" spans="1:79" x14ac:dyDescent="0.3">
      <c r="A30">
        <v>19</v>
      </c>
      <c r="B30" t="str">
        <v>QCNM Rawalpindi Adayala Jail</v>
      </c>
      <c r="C30" t="str">
        <v>Trust Act</v>
      </c>
      <c r="D30" t="str">
        <v>South &amp; North Punjab Region</v>
      </c>
      <c r="E30" t="str">
        <v>Prison</v>
      </c>
      <c r="F30" s="2">
        <v>13020</v>
      </c>
      <c r="G30" s="2">
        <v>2277</v>
      </c>
      <c r="H30" s="13">
        <v>5.7180500658761533</v>
      </c>
      <c r="I30" s="13"/>
      <c r="BA30">
        <v>29</v>
      </c>
      <c r="BB30" s="12" t="s">
        <v>93</v>
      </c>
      <c r="BC30">
        <v>2010403</v>
      </c>
      <c r="BD30" t="s">
        <v>33</v>
      </c>
      <c r="BE30" t="s">
        <v>34</v>
      </c>
      <c r="BF30" t="s">
        <v>64</v>
      </c>
      <c r="BG30">
        <v>0</v>
      </c>
      <c r="BH30">
        <v>0</v>
      </c>
      <c r="BI30">
        <v>0</v>
      </c>
      <c r="BJ30">
        <v>5500</v>
      </c>
      <c r="BK30">
        <v>0</v>
      </c>
      <c r="BL30">
        <v>375</v>
      </c>
      <c r="BM30">
        <v>0</v>
      </c>
      <c r="BN30">
        <v>0</v>
      </c>
      <c r="BO30">
        <v>0</v>
      </c>
      <c r="BP30">
        <v>0</v>
      </c>
      <c r="BQ30">
        <f>SUM(SimpleDashData84[[#This Row],[Convayance]:[Misc]])</f>
        <v>5875</v>
      </c>
      <c r="BR30">
        <v>1346</v>
      </c>
      <c r="BS30">
        <v>0</v>
      </c>
      <c r="BT30">
        <v>51</v>
      </c>
      <c r="BU30">
        <f>SUM(SimpleDashData84[[#This Row],[Male]:[Child]])</f>
        <v>1397</v>
      </c>
      <c r="BW30">
        <f>'[1]Expense Master June-26'!W35</f>
        <v>0</v>
      </c>
      <c r="BZ30">
        <f>SimpleDashData84[[#This Row],[Total Expense]]/SimpleDashData84[[#This Row],[Total Patients]]</f>
        <v>4.2054402290622761</v>
      </c>
      <c r="CA30">
        <v>0</v>
      </c>
    </row>
    <row r="31" spans="1:79" x14ac:dyDescent="0.3">
      <c r="A31">
        <v>20</v>
      </c>
      <c r="B31" t="str">
        <v>QCNM Lahore, Kot Lakhpat Jail</v>
      </c>
      <c r="C31" t="str">
        <v>Trust Act</v>
      </c>
      <c r="D31" t="str">
        <v>Central Punjab Region</v>
      </c>
      <c r="E31" t="str">
        <v>Prison</v>
      </c>
      <c r="F31" s="2">
        <v>12920</v>
      </c>
      <c r="G31" s="2">
        <v>2522</v>
      </c>
      <c r="H31" s="13">
        <v>5.122918318794607</v>
      </c>
      <c r="I31" s="13"/>
      <c r="BA31">
        <v>30</v>
      </c>
      <c r="BB31" s="12" t="s">
        <v>94</v>
      </c>
      <c r="BC31">
        <v>2010404</v>
      </c>
      <c r="BD31" t="s">
        <v>33</v>
      </c>
      <c r="BE31" t="s">
        <v>34</v>
      </c>
      <c r="BF31" t="s">
        <v>64</v>
      </c>
      <c r="BG31">
        <v>0</v>
      </c>
      <c r="BH31">
        <v>500</v>
      </c>
      <c r="BI31">
        <v>0</v>
      </c>
      <c r="BJ31">
        <v>9000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f>SUM(SimpleDashData84[[#This Row],[Convayance]:[Misc]])</f>
        <v>9500</v>
      </c>
      <c r="BR31">
        <v>1321</v>
      </c>
      <c r="BS31">
        <v>0</v>
      </c>
      <c r="BT31">
        <v>0</v>
      </c>
      <c r="BU31">
        <f>SUM(SimpleDashData84[[#This Row],[Male]:[Child]])</f>
        <v>1321</v>
      </c>
      <c r="BW31">
        <f>'[1]Expense Master June-26'!W36</f>
        <v>0</v>
      </c>
      <c r="BZ31">
        <f>SimpleDashData84[[#This Row],[Total Expense]]/SimpleDashData84[[#This Row],[Total Patients]]</f>
        <v>7.1915215745647236</v>
      </c>
      <c r="CA31">
        <v>0</v>
      </c>
    </row>
    <row r="32" spans="1:79" x14ac:dyDescent="0.3">
      <c r="A32">
        <v>21</v>
      </c>
      <c r="B32" t="str">
        <v>Lahore, QCNM Saggian</v>
      </c>
      <c r="C32" t="str">
        <v>Trust Act</v>
      </c>
      <c r="D32" t="str">
        <v>Central Punjab Region</v>
      </c>
      <c r="E32" t="str">
        <v>Public</v>
      </c>
      <c r="F32" s="2">
        <v>12810</v>
      </c>
      <c r="G32" s="2">
        <v>1109</v>
      </c>
      <c r="H32" s="13">
        <v>11.550946798917945</v>
      </c>
      <c r="I32" s="13"/>
      <c r="BA32">
        <v>31</v>
      </c>
      <c r="BB32" s="12" t="s">
        <v>95</v>
      </c>
      <c r="BC32">
        <v>2010406</v>
      </c>
      <c r="BD32" t="s">
        <v>33</v>
      </c>
      <c r="BE32" t="s">
        <v>34</v>
      </c>
      <c r="BF32" t="s">
        <v>64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500</v>
      </c>
      <c r="BQ32">
        <f>SUM(SimpleDashData84[[#This Row],[Convayance]:[Misc]])</f>
        <v>500</v>
      </c>
      <c r="BR32">
        <v>868</v>
      </c>
      <c r="BS32">
        <v>0</v>
      </c>
      <c r="BT32">
        <v>0</v>
      </c>
      <c r="BU32">
        <f>SUM(SimpleDashData84[[#This Row],[Male]:[Child]])</f>
        <v>868</v>
      </c>
      <c r="BW32">
        <f>'[1]Expense Master June-26'!W37</f>
        <v>0</v>
      </c>
      <c r="BZ32">
        <f>SimpleDashData84[[#This Row],[Total Expense]]/SimpleDashData84[[#This Row],[Total Patients]]</f>
        <v>0.57603686635944695</v>
      </c>
      <c r="CA32">
        <v>0</v>
      </c>
    </row>
    <row r="33" spans="1:79" x14ac:dyDescent="0.3">
      <c r="A33">
        <v>22</v>
      </c>
      <c r="B33" t="str">
        <v>QCNM Hafizabad, Dist Jail</v>
      </c>
      <c r="C33" t="str">
        <v>Trust Act</v>
      </c>
      <c r="D33" t="str">
        <v>South &amp; North Punjab Region</v>
      </c>
      <c r="E33" t="str">
        <v>Prison</v>
      </c>
      <c r="F33" s="2">
        <v>11600</v>
      </c>
      <c r="G33" s="2">
        <v>3208</v>
      </c>
      <c r="H33" s="13">
        <v>3.6159600997506236</v>
      </c>
      <c r="I33" s="13"/>
      <c r="BA33">
        <v>32</v>
      </c>
      <c r="BB33" s="12" t="s">
        <v>96</v>
      </c>
      <c r="BC33">
        <v>2010407</v>
      </c>
      <c r="BD33" t="s">
        <v>33</v>
      </c>
      <c r="BE33" t="s">
        <v>34</v>
      </c>
      <c r="BF33" t="s">
        <v>64</v>
      </c>
      <c r="BG33">
        <v>0</v>
      </c>
      <c r="BH33">
        <v>0</v>
      </c>
      <c r="BI33">
        <v>0</v>
      </c>
      <c r="BJ33">
        <v>4000</v>
      </c>
      <c r="BK33">
        <v>0</v>
      </c>
      <c r="BL33">
        <v>0</v>
      </c>
      <c r="BM33">
        <v>0</v>
      </c>
      <c r="BN33">
        <v>0</v>
      </c>
      <c r="BO33">
        <v>500</v>
      </c>
      <c r="BP33">
        <v>0</v>
      </c>
      <c r="BQ33">
        <f>SUM(SimpleDashData84[[#This Row],[Convayance]:[Misc]])</f>
        <v>4500</v>
      </c>
      <c r="BR33">
        <v>1190</v>
      </c>
      <c r="BS33">
        <v>48</v>
      </c>
      <c r="BT33">
        <v>29</v>
      </c>
      <c r="BU33">
        <f>SUM(SimpleDashData84[[#This Row],[Male]:[Child]])</f>
        <v>1267</v>
      </c>
      <c r="BW33">
        <f>'[1]Expense Master June-26'!W38</f>
        <v>0</v>
      </c>
      <c r="BZ33">
        <f>SimpleDashData84[[#This Row],[Total Expense]]/SimpleDashData84[[#This Row],[Total Patients]]</f>
        <v>3.5516969218626677</v>
      </c>
      <c r="CA33">
        <v>0</v>
      </c>
    </row>
    <row r="34" spans="1:79" x14ac:dyDescent="0.3">
      <c r="A34">
        <v>23</v>
      </c>
      <c r="B34" t="str">
        <v>QCNM Lodhran, District Jail</v>
      </c>
      <c r="C34" t="str">
        <v>Trust Act</v>
      </c>
      <c r="D34" t="str">
        <v>South &amp; North Punjab Region</v>
      </c>
      <c r="E34" t="str">
        <v>Prison</v>
      </c>
      <c r="F34" s="2">
        <v>10990</v>
      </c>
      <c r="G34" s="2">
        <v>2560</v>
      </c>
      <c r="H34" s="13">
        <v>4.29296875</v>
      </c>
      <c r="I34" s="13"/>
      <c r="BA34">
        <v>33</v>
      </c>
      <c r="BB34" s="12" t="s">
        <v>97</v>
      </c>
      <c r="BC34">
        <v>2010408</v>
      </c>
      <c r="BD34" t="s">
        <v>33</v>
      </c>
      <c r="BE34" t="s">
        <v>34</v>
      </c>
      <c r="BF34" t="s">
        <v>64</v>
      </c>
      <c r="BG34">
        <v>0</v>
      </c>
      <c r="BH34">
        <v>0</v>
      </c>
      <c r="BI34">
        <v>0</v>
      </c>
      <c r="BJ34">
        <v>400</v>
      </c>
      <c r="BK34">
        <v>0</v>
      </c>
      <c r="BL34">
        <v>300</v>
      </c>
      <c r="BM34">
        <v>0</v>
      </c>
      <c r="BN34">
        <v>0</v>
      </c>
      <c r="BO34">
        <v>500</v>
      </c>
      <c r="BP34">
        <v>0</v>
      </c>
      <c r="BQ34">
        <f>SUM(SimpleDashData84[[#This Row],[Convayance]:[Misc]])</f>
        <v>1200</v>
      </c>
      <c r="BR34">
        <v>1486</v>
      </c>
      <c r="BS34">
        <v>0</v>
      </c>
      <c r="BT34">
        <v>0</v>
      </c>
      <c r="BU34">
        <f>SUM(SimpleDashData84[[#This Row],[Male]:[Child]])</f>
        <v>1486</v>
      </c>
      <c r="BW34">
        <f>'[1]Expense Master June-26'!W39</f>
        <v>0</v>
      </c>
      <c r="BZ34">
        <f>SimpleDashData84[[#This Row],[Total Expense]]/SimpleDashData84[[#This Row],[Total Patients]]</f>
        <v>0.80753701211305517</v>
      </c>
      <c r="CA34">
        <v>0</v>
      </c>
    </row>
    <row r="35" spans="1:79" x14ac:dyDescent="0.3">
      <c r="A35">
        <v>24</v>
      </c>
      <c r="B35" t="str">
        <v xml:space="preserve">QCNM University of Balochistan </v>
      </c>
      <c r="C35" t="str">
        <v>Trust Act</v>
      </c>
      <c r="D35" t="str">
        <v>Sindh, Balochistan &amp; AJK Region</v>
      </c>
      <c r="E35" t="str">
        <v>Public</v>
      </c>
      <c r="F35" s="2">
        <v>10600</v>
      </c>
      <c r="G35" s="2">
        <v>1761</v>
      </c>
      <c r="H35" s="13">
        <v>6.019307211811471</v>
      </c>
      <c r="I35" s="13"/>
      <c r="BA35">
        <v>34</v>
      </c>
      <c r="BB35" s="12" t="s">
        <v>98</v>
      </c>
      <c r="BD35" t="s">
        <v>33</v>
      </c>
      <c r="BE35" t="s">
        <v>34</v>
      </c>
      <c r="BF35" t="s">
        <v>64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500</v>
      </c>
      <c r="BP35">
        <v>0</v>
      </c>
      <c r="BQ35">
        <f>SUM(SimpleDashData84[[#This Row],[Convayance]:[Misc]])</f>
        <v>500</v>
      </c>
      <c r="BR35">
        <v>645</v>
      </c>
      <c r="BS35">
        <v>0</v>
      </c>
      <c r="BT35">
        <v>0</v>
      </c>
      <c r="BU35">
        <f>SUM(SimpleDashData84[[#This Row],[Male]:[Child]])</f>
        <v>645</v>
      </c>
      <c r="BW35">
        <f>'[1]Expense Master June-26'!W40</f>
        <v>0</v>
      </c>
      <c r="BZ35">
        <f>SimpleDashData84[[#This Row],[Total Expense]]/SimpleDashData84[[#This Row],[Total Patients]]</f>
        <v>0.77519379844961245</v>
      </c>
      <c r="CA35">
        <v>0</v>
      </c>
    </row>
    <row r="36" spans="1:79" x14ac:dyDescent="0.3">
      <c r="A36">
        <v>25</v>
      </c>
      <c r="B36" t="str">
        <v>QCNM Mandibhaudin, District Jail</v>
      </c>
      <c r="C36" t="str">
        <v>Trust Act</v>
      </c>
      <c r="D36" t="str">
        <v>South &amp; North Punjab Region</v>
      </c>
      <c r="E36" t="str">
        <v>Prison</v>
      </c>
      <c r="F36" s="2">
        <v>10470</v>
      </c>
      <c r="G36" s="2">
        <v>2017</v>
      </c>
      <c r="H36" s="13">
        <v>5.1908775409023304</v>
      </c>
      <c r="I36" s="13"/>
      <c r="BA36">
        <v>35</v>
      </c>
      <c r="BB36" s="27" t="s">
        <v>99</v>
      </c>
      <c r="BC36">
        <v>2010252</v>
      </c>
      <c r="BD36" t="s">
        <v>33</v>
      </c>
      <c r="BE36" t="s">
        <v>100</v>
      </c>
      <c r="BF36" t="s">
        <v>35</v>
      </c>
      <c r="BG36">
        <v>5400</v>
      </c>
      <c r="BH36">
        <v>1000</v>
      </c>
      <c r="BI36">
        <v>0</v>
      </c>
      <c r="BJ36">
        <v>7000</v>
      </c>
      <c r="BK36">
        <v>0</v>
      </c>
      <c r="BL36">
        <v>300</v>
      </c>
      <c r="BM36">
        <v>0</v>
      </c>
      <c r="BN36">
        <v>0</v>
      </c>
      <c r="BO36">
        <v>0</v>
      </c>
      <c r="BP36">
        <v>2720</v>
      </c>
      <c r="BQ36">
        <f>SUM(SimpleDashData84[[#This Row],[Convayance]:[Misc]])</f>
        <v>16420</v>
      </c>
      <c r="BR36">
        <v>448</v>
      </c>
      <c r="BS36">
        <v>636</v>
      </c>
      <c r="BT36">
        <v>299</v>
      </c>
      <c r="BU36">
        <f>SUM(SimpleDashData84[[#This Row],[Male]:[Child]])</f>
        <v>1383</v>
      </c>
      <c r="BW36">
        <f>'[1]Expense Master June-26'!W41</f>
        <v>68.92</v>
      </c>
      <c r="BZ36">
        <f>SimpleDashData84[[#This Row],[Total Expense]]/SimpleDashData84[[#This Row],[Total Patients]]</f>
        <v>11.872740419378163</v>
      </c>
      <c r="CA36">
        <v>0</v>
      </c>
    </row>
    <row r="37" spans="1:79" x14ac:dyDescent="0.3">
      <c r="A37">
        <v>26</v>
      </c>
      <c r="B37" t="str">
        <v>QCNM Sargodha, District Jail</v>
      </c>
      <c r="C37" t="str">
        <v>Trust Act</v>
      </c>
      <c r="D37" t="str">
        <v>South &amp; North Punjab Region</v>
      </c>
      <c r="E37" t="str">
        <v>Prison</v>
      </c>
      <c r="F37" s="2">
        <v>10270</v>
      </c>
      <c r="G37" s="2">
        <v>1873</v>
      </c>
      <c r="H37" s="13">
        <v>5.4831820608649222</v>
      </c>
      <c r="I37" s="13"/>
      <c r="BA37">
        <v>36</v>
      </c>
      <c r="BB37" s="27" t="s">
        <v>101</v>
      </c>
      <c r="BC37">
        <v>2010202</v>
      </c>
      <c r="BD37" t="s">
        <v>33</v>
      </c>
      <c r="BE37" t="s">
        <v>100</v>
      </c>
      <c r="BF37" t="s">
        <v>35</v>
      </c>
      <c r="BG37">
        <v>450</v>
      </c>
      <c r="BH37">
        <v>400</v>
      </c>
      <c r="BI37">
        <v>740</v>
      </c>
      <c r="BJ37">
        <v>12900</v>
      </c>
      <c r="BK37">
        <v>0</v>
      </c>
      <c r="BL37">
        <v>170</v>
      </c>
      <c r="BM37">
        <v>8600</v>
      </c>
      <c r="BN37">
        <v>0</v>
      </c>
      <c r="BO37">
        <v>0</v>
      </c>
      <c r="BP37">
        <v>709</v>
      </c>
      <c r="BQ37">
        <f>SUM(SimpleDashData84[[#This Row],[Convayance]:[Misc]])</f>
        <v>23969</v>
      </c>
      <c r="BR37">
        <v>1083</v>
      </c>
      <c r="BS37">
        <v>455</v>
      </c>
      <c r="BT37">
        <v>132</v>
      </c>
      <c r="BU37">
        <f>SUM(SimpleDashData84[[#This Row],[Male]:[Child]])</f>
        <v>1670</v>
      </c>
      <c r="BW37">
        <f>'[1]Expense Master June-26'!W42</f>
        <v>83.96</v>
      </c>
      <c r="BZ37">
        <f>SimpleDashData84[[#This Row],[Total Expense]]/SimpleDashData84[[#This Row],[Total Patients]]</f>
        <v>14.352694610778443</v>
      </c>
      <c r="CA37">
        <v>0</v>
      </c>
    </row>
    <row r="38" spans="1:79" x14ac:dyDescent="0.3">
      <c r="A38">
        <v>27</v>
      </c>
      <c r="B38" t="str">
        <v>QCNM RHC Washbood</v>
      </c>
      <c r="C38" t="str">
        <v>U/S 42</v>
      </c>
      <c r="D38" t="str">
        <v>Sindh, Balochistan &amp; AJK Region</v>
      </c>
      <c r="E38" t="str">
        <v>Public</v>
      </c>
      <c r="F38" s="2">
        <v>9650</v>
      </c>
      <c r="G38" s="2">
        <v>1921</v>
      </c>
      <c r="H38" s="13">
        <v>5.0234252993232689</v>
      </c>
      <c r="I38" s="13"/>
      <c r="BA38">
        <v>37</v>
      </c>
      <c r="BB38" s="27" t="s">
        <v>102</v>
      </c>
      <c r="BC38">
        <v>2010203</v>
      </c>
      <c r="BD38" t="s">
        <v>33</v>
      </c>
      <c r="BE38" t="s">
        <v>100</v>
      </c>
      <c r="BF38" t="s">
        <v>35</v>
      </c>
      <c r="BG38">
        <v>500</v>
      </c>
      <c r="BH38">
        <v>0</v>
      </c>
      <c r="BI38">
        <v>550</v>
      </c>
      <c r="BJ38">
        <v>18800</v>
      </c>
      <c r="BK38">
        <v>0</v>
      </c>
      <c r="BL38">
        <v>110</v>
      </c>
      <c r="BM38">
        <v>1190</v>
      </c>
      <c r="BN38">
        <v>370</v>
      </c>
      <c r="BO38">
        <v>0</v>
      </c>
      <c r="BP38">
        <v>1839</v>
      </c>
      <c r="BQ38">
        <f>SUM(SimpleDashData84[[#This Row],[Convayance]:[Misc]])</f>
        <v>23359</v>
      </c>
      <c r="BR38">
        <v>983</v>
      </c>
      <c r="BS38">
        <v>751</v>
      </c>
      <c r="BT38">
        <v>231</v>
      </c>
      <c r="BU38">
        <f>SUM(SimpleDashData84[[#This Row],[Male]:[Child]])</f>
        <v>1965</v>
      </c>
      <c r="BW38">
        <f>'[1]Expense Master June-26'!W43</f>
        <v>96.36</v>
      </c>
      <c r="BZ38">
        <f>SimpleDashData84[[#This Row],[Total Expense]]/SimpleDashData84[[#This Row],[Total Patients]]</f>
        <v>11.887531806615776</v>
      </c>
      <c r="CA38">
        <v>0</v>
      </c>
    </row>
    <row r="39" spans="1:79" x14ac:dyDescent="0.3">
      <c r="A39">
        <v>28</v>
      </c>
      <c r="B39" t="str">
        <v>QCNM Hattar</v>
      </c>
      <c r="C39" t="str">
        <v>Trust Act</v>
      </c>
      <c r="D39" t="str">
        <v>Capital Region</v>
      </c>
      <c r="E39" t="str">
        <v>Public</v>
      </c>
      <c r="F39" s="2">
        <v>9590</v>
      </c>
      <c r="G39" s="2">
        <v>2092</v>
      </c>
      <c r="H39" s="13">
        <v>4.584130019120459</v>
      </c>
      <c r="I39" s="13"/>
      <c r="BA39">
        <v>38</v>
      </c>
      <c r="BB39" s="27" t="s">
        <v>103</v>
      </c>
      <c r="BC39">
        <v>2010244</v>
      </c>
      <c r="BD39" t="s">
        <v>33</v>
      </c>
      <c r="BE39" t="s">
        <v>100</v>
      </c>
      <c r="BF39" t="s">
        <v>35</v>
      </c>
      <c r="BG39">
        <v>755</v>
      </c>
      <c r="BH39">
        <v>1000</v>
      </c>
      <c r="BI39">
        <v>0</v>
      </c>
      <c r="BJ39">
        <v>7700</v>
      </c>
      <c r="BK39">
        <v>0</v>
      </c>
      <c r="BL39">
        <v>1210</v>
      </c>
      <c r="BM39">
        <v>0</v>
      </c>
      <c r="BN39">
        <v>0</v>
      </c>
      <c r="BO39">
        <v>3039</v>
      </c>
      <c r="BP39">
        <v>1500</v>
      </c>
      <c r="BQ39">
        <f>SUM(SimpleDashData84[[#This Row],[Convayance]:[Misc]])</f>
        <v>15204</v>
      </c>
      <c r="BR39">
        <v>467</v>
      </c>
      <c r="BS39">
        <v>525</v>
      </c>
      <c r="BT39">
        <v>200</v>
      </c>
      <c r="BU39">
        <f>SUM(SimpleDashData84[[#This Row],[Male]:[Child]])</f>
        <v>1192</v>
      </c>
      <c r="BW39">
        <f>'[1]Expense Master June-26'!W44</f>
        <v>61.44</v>
      </c>
      <c r="BZ39">
        <f>SimpleDashData84[[#This Row],[Total Expense]]/SimpleDashData84[[#This Row],[Total Patients]]</f>
        <v>12.75503355704698</v>
      </c>
      <c r="CA39">
        <v>0</v>
      </c>
    </row>
    <row r="40" spans="1:79" x14ac:dyDescent="0.3">
      <c r="A40">
        <v>29</v>
      </c>
      <c r="B40" t="str">
        <v>QCNM Faisalabad, Central Jail</v>
      </c>
      <c r="C40" t="str">
        <v>Trust Act</v>
      </c>
      <c r="D40" t="str">
        <v>Central Punjab Region</v>
      </c>
      <c r="E40" t="str">
        <v>Prison</v>
      </c>
      <c r="F40" s="2">
        <v>9560</v>
      </c>
      <c r="G40" s="2">
        <v>2753</v>
      </c>
      <c r="H40" s="13">
        <v>3.4725753723211041</v>
      </c>
      <c r="I40" s="13"/>
      <c r="BA40">
        <v>39</v>
      </c>
      <c r="BB40" s="27" t="s">
        <v>104</v>
      </c>
      <c r="BC40">
        <v>2010269</v>
      </c>
      <c r="BD40" t="s">
        <v>33</v>
      </c>
      <c r="BE40" t="s">
        <v>100</v>
      </c>
      <c r="BF40" t="s">
        <v>35</v>
      </c>
      <c r="BG40">
        <v>1000</v>
      </c>
      <c r="BH40">
        <v>1000</v>
      </c>
      <c r="BI40">
        <v>1760</v>
      </c>
      <c r="BJ40">
        <v>2640</v>
      </c>
      <c r="BK40">
        <v>0</v>
      </c>
      <c r="BL40">
        <v>0</v>
      </c>
      <c r="BM40">
        <v>0</v>
      </c>
      <c r="BN40">
        <v>350</v>
      </c>
      <c r="BO40">
        <v>1660</v>
      </c>
      <c r="BP40">
        <v>4400</v>
      </c>
      <c r="BQ40">
        <f>SUM(SimpleDashData84[[#This Row],[Convayance]:[Misc]])</f>
        <v>12810</v>
      </c>
      <c r="BR40">
        <v>465</v>
      </c>
      <c r="BS40">
        <v>296</v>
      </c>
      <c r="BT40">
        <v>348</v>
      </c>
      <c r="BU40">
        <f>SUM(SimpleDashData84[[#This Row],[Male]:[Child]])</f>
        <v>1109</v>
      </c>
      <c r="BW40">
        <f>'[1]Expense Master June-26'!W45</f>
        <v>54.56</v>
      </c>
      <c r="BZ40">
        <f>SimpleDashData84[[#This Row],[Total Expense]]/SimpleDashData84[[#This Row],[Total Patients]]</f>
        <v>11.550946798917945</v>
      </c>
      <c r="CA40">
        <v>0</v>
      </c>
    </row>
    <row r="41" spans="1:79" x14ac:dyDescent="0.3">
      <c r="A41">
        <v>30</v>
      </c>
      <c r="B41" t="str">
        <v>QCNM Charsadda, Sub Jail</v>
      </c>
      <c r="C41" t="str">
        <v>Trust Act</v>
      </c>
      <c r="D41" t="str">
        <v>Capital Region</v>
      </c>
      <c r="E41" t="str">
        <v>Prison</v>
      </c>
      <c r="F41" s="2">
        <v>9500</v>
      </c>
      <c r="G41" s="2">
        <v>1321</v>
      </c>
      <c r="H41" s="13">
        <v>7.1915215745647236</v>
      </c>
      <c r="I41" s="13"/>
      <c r="BA41">
        <v>40</v>
      </c>
      <c r="BB41" s="27" t="s">
        <v>105</v>
      </c>
      <c r="BC41">
        <v>2010263</v>
      </c>
      <c r="BD41" t="s">
        <v>33</v>
      </c>
      <c r="BE41" t="s">
        <v>100</v>
      </c>
      <c r="BF41" t="s">
        <v>35</v>
      </c>
      <c r="BG41">
        <v>450</v>
      </c>
      <c r="BH41">
        <v>1000</v>
      </c>
      <c r="BI41">
        <v>0</v>
      </c>
      <c r="BJ41">
        <v>2480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f>SUM(SimpleDashData84[[#This Row],[Convayance]:[Misc]])</f>
        <v>3930</v>
      </c>
      <c r="BR41">
        <v>149</v>
      </c>
      <c r="BS41">
        <v>183</v>
      </c>
      <c r="BT41">
        <v>53</v>
      </c>
      <c r="BU41">
        <f>SUM(SimpleDashData84[[#This Row],[Male]:[Child]])</f>
        <v>385</v>
      </c>
      <c r="BW41">
        <f>'[1]Expense Master June-26'!W46</f>
        <v>28.96</v>
      </c>
      <c r="BZ41">
        <f>SimpleDashData84[[#This Row],[Total Expense]]/SimpleDashData84[[#This Row],[Total Patients]]</f>
        <v>10.207792207792208</v>
      </c>
      <c r="CA41">
        <v>0</v>
      </c>
    </row>
    <row r="42" spans="1:79" x14ac:dyDescent="0.3">
      <c r="A42">
        <v>31</v>
      </c>
      <c r="B42" t="str">
        <v>QCNM Multan, District Jail</v>
      </c>
      <c r="C42" t="str">
        <v>Trust Act</v>
      </c>
      <c r="D42" t="str">
        <v>South &amp; North Punjab Region</v>
      </c>
      <c r="E42" t="str">
        <v>Prison</v>
      </c>
      <c r="F42" s="2">
        <v>9418</v>
      </c>
      <c r="G42" s="2">
        <v>1711</v>
      </c>
      <c r="H42" s="13">
        <v>5.5043834015195792</v>
      </c>
      <c r="I42" s="13"/>
      <c r="BA42">
        <v>41</v>
      </c>
      <c r="BB42" s="27" t="s">
        <v>106</v>
      </c>
      <c r="BC42">
        <v>2010206</v>
      </c>
      <c r="BD42" t="s">
        <v>33</v>
      </c>
      <c r="BE42" t="s">
        <v>100</v>
      </c>
      <c r="BF42" t="s">
        <v>35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f>SUM(SimpleDashData84[[#This Row],[Convayance]:[Misc]])</f>
        <v>0</v>
      </c>
      <c r="BR42">
        <v>0</v>
      </c>
      <c r="BS42">
        <v>0</v>
      </c>
      <c r="BT42">
        <v>0</v>
      </c>
      <c r="BU42">
        <f>SUM(SimpleDashData84[[#This Row],[Male]:[Child]])</f>
        <v>0</v>
      </c>
      <c r="BW42">
        <f>'[1]Expense Master June-26'!W47</f>
        <v>0</v>
      </c>
      <c r="BZ42" t="e">
        <f>SimpleDashData84[[#This Row],[Total Expense]]/SimpleDashData84[[#This Row],[Total Patients]]</f>
        <v>#DIV/0!</v>
      </c>
      <c r="CA42">
        <v>0</v>
      </c>
    </row>
    <row r="43" spans="1:79" x14ac:dyDescent="0.3">
      <c r="A43">
        <v>32</v>
      </c>
      <c r="B43" t="str">
        <v>QCNM Hadi Free Hospital</v>
      </c>
      <c r="C43" t="str">
        <v>Trust Act</v>
      </c>
      <c r="D43" t="str">
        <v>Central Punjab Region</v>
      </c>
      <c r="E43" t="str">
        <v>Public</v>
      </c>
      <c r="F43" s="2">
        <v>9300</v>
      </c>
      <c r="G43" s="2">
        <v>3184</v>
      </c>
      <c r="H43" s="13">
        <v>2.920854271356784</v>
      </c>
      <c r="I43" s="13"/>
      <c r="BA43">
        <v>42</v>
      </c>
      <c r="BB43" s="27" t="s">
        <v>107</v>
      </c>
      <c r="BC43">
        <v>2010221</v>
      </c>
      <c r="BD43" t="s">
        <v>33</v>
      </c>
      <c r="BE43" t="s">
        <v>100</v>
      </c>
      <c r="BF43" t="s">
        <v>35</v>
      </c>
      <c r="BG43">
        <v>1000</v>
      </c>
      <c r="BH43">
        <v>200</v>
      </c>
      <c r="BI43">
        <v>0</v>
      </c>
      <c r="BJ43">
        <v>300</v>
      </c>
      <c r="BK43">
        <v>550</v>
      </c>
      <c r="BL43">
        <v>200</v>
      </c>
      <c r="BM43">
        <v>320</v>
      </c>
      <c r="BN43">
        <v>0</v>
      </c>
      <c r="BO43">
        <v>0</v>
      </c>
      <c r="BP43">
        <v>4400</v>
      </c>
      <c r="BQ43">
        <f>SUM(SimpleDashData84[[#This Row],[Convayance]:[Misc]])</f>
        <v>6970</v>
      </c>
      <c r="BR43">
        <v>624</v>
      </c>
      <c r="BS43">
        <v>121</v>
      </c>
      <c r="BT43">
        <v>70</v>
      </c>
      <c r="BU43">
        <f>SUM(SimpleDashData84[[#This Row],[Male]:[Child]])</f>
        <v>815</v>
      </c>
      <c r="BW43">
        <f>'[1]Expense Master June-26'!W48</f>
        <v>38.32</v>
      </c>
      <c r="BZ43">
        <f>SimpleDashData84[[#This Row],[Total Expense]]/SimpleDashData84[[#This Row],[Total Patients]]</f>
        <v>8.5521472392638032</v>
      </c>
      <c r="CA43">
        <v>0</v>
      </c>
    </row>
    <row r="44" spans="1:79" x14ac:dyDescent="0.3">
      <c r="A44">
        <v>33</v>
      </c>
      <c r="B44" t="str">
        <v>QCNM PTC Gilgit</v>
      </c>
      <c r="C44" t="str">
        <v>Trust Act</v>
      </c>
      <c r="D44" t="str">
        <v>Capital Region</v>
      </c>
      <c r="E44" t="str">
        <v>Public</v>
      </c>
      <c r="F44" s="2">
        <v>9240</v>
      </c>
      <c r="G44" s="2">
        <v>720</v>
      </c>
      <c r="H44" s="13">
        <v>12.833333333333334</v>
      </c>
      <c r="I44" s="13"/>
      <c r="BA44">
        <v>43</v>
      </c>
      <c r="BB44" s="27" t="s">
        <v>108</v>
      </c>
      <c r="BC44">
        <v>2010209</v>
      </c>
      <c r="BD44" t="s">
        <v>33</v>
      </c>
      <c r="BE44" t="s">
        <v>100</v>
      </c>
      <c r="BF44" t="s">
        <v>35</v>
      </c>
      <c r="BG44">
        <v>0</v>
      </c>
      <c r="BH44">
        <v>1000</v>
      </c>
      <c r="BI44">
        <v>0</v>
      </c>
      <c r="BJ44">
        <v>1800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1140</v>
      </c>
      <c r="BQ44">
        <f>SUM(SimpleDashData84[[#This Row],[Convayance]:[Misc]])</f>
        <v>3940</v>
      </c>
      <c r="BR44">
        <v>751</v>
      </c>
      <c r="BS44">
        <v>471</v>
      </c>
      <c r="BT44">
        <v>206</v>
      </c>
      <c r="BU44">
        <f>SUM(SimpleDashData84[[#This Row],[Male]:[Child]])</f>
        <v>1428</v>
      </c>
      <c r="BW44">
        <f>'[1]Expense Master June-26'!W49</f>
        <v>77.2</v>
      </c>
      <c r="BZ44">
        <f>SimpleDashData84[[#This Row],[Total Expense]]/SimpleDashData84[[#This Row],[Total Patients]]</f>
        <v>2.7591036414565826</v>
      </c>
      <c r="CA44">
        <v>0</v>
      </c>
    </row>
    <row r="45" spans="1:79" x14ac:dyDescent="0.3">
      <c r="A45">
        <v>34</v>
      </c>
      <c r="B45" t="str">
        <v>QCNM Sukkur, Central Jail</v>
      </c>
      <c r="C45" t="str">
        <v>Trust Act</v>
      </c>
      <c r="D45" t="str">
        <v>Sindh, Balochistan &amp; AJK Region</v>
      </c>
      <c r="E45" t="str">
        <v>Prison</v>
      </c>
      <c r="F45" s="2">
        <v>9110</v>
      </c>
      <c r="G45" s="2">
        <v>2173</v>
      </c>
      <c r="H45" s="13">
        <v>4.1923607915324439</v>
      </c>
      <c r="I45" s="13"/>
      <c r="BA45">
        <v>44</v>
      </c>
      <c r="BB45" s="27" t="s">
        <v>109</v>
      </c>
      <c r="BC45">
        <v>2010234</v>
      </c>
      <c r="BD45" t="s">
        <v>33</v>
      </c>
      <c r="BE45" t="s">
        <v>100</v>
      </c>
      <c r="BF45" t="s">
        <v>35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1000</v>
      </c>
      <c r="BQ45">
        <f>SUM(SimpleDashData84[[#This Row],[Convayance]:[Misc]])</f>
        <v>1000</v>
      </c>
      <c r="BR45">
        <v>230</v>
      </c>
      <c r="BS45">
        <v>188</v>
      </c>
      <c r="BT45">
        <v>162</v>
      </c>
      <c r="BU45">
        <f>SUM(SimpleDashData84[[#This Row],[Male]:[Child]])</f>
        <v>580</v>
      </c>
      <c r="BW45">
        <f>'[1]Expense Master June-26'!W50</f>
        <v>36.08</v>
      </c>
      <c r="BZ45">
        <f>SimpleDashData84[[#This Row],[Total Expense]]/SimpleDashData84[[#This Row],[Total Patients]]</f>
        <v>1.7241379310344827</v>
      </c>
      <c r="CA45">
        <v>0</v>
      </c>
    </row>
    <row r="46" spans="1:79" x14ac:dyDescent="0.3">
      <c r="A46">
        <v>35</v>
      </c>
      <c r="B46" t="str">
        <v>QCNM University of Sindh</v>
      </c>
      <c r="C46" t="str">
        <v>Trust Act</v>
      </c>
      <c r="D46" t="str">
        <v>Sindh, Balochistan &amp; AJK Region</v>
      </c>
      <c r="E46" t="str">
        <v>Public</v>
      </c>
      <c r="F46" s="2">
        <v>8980</v>
      </c>
      <c r="G46" s="2">
        <v>2144</v>
      </c>
      <c r="H46" s="13">
        <v>4.1884328358208958</v>
      </c>
      <c r="I46" s="13"/>
      <c r="BA46">
        <v>45</v>
      </c>
      <c r="BB46" s="27" t="s">
        <v>110</v>
      </c>
      <c r="BD46" t="s">
        <v>33</v>
      </c>
      <c r="BE46" t="s">
        <v>100</v>
      </c>
      <c r="BF46" t="s">
        <v>35</v>
      </c>
      <c r="BG46">
        <v>0</v>
      </c>
      <c r="BH46">
        <v>600</v>
      </c>
      <c r="BI46">
        <v>2620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f>SUM(SimpleDashData84[[#This Row],[Convayance]:[Misc]])</f>
        <v>3220</v>
      </c>
      <c r="BR46">
        <v>300</v>
      </c>
      <c r="BS46">
        <v>163</v>
      </c>
      <c r="BT46">
        <v>62</v>
      </c>
      <c r="BU46">
        <f>SUM(SimpleDashData84[[#This Row],[Male]:[Child]])</f>
        <v>525</v>
      </c>
      <c r="BW46">
        <f>'[1]Expense Master June-26'!W51</f>
        <v>35.32</v>
      </c>
      <c r="BZ46">
        <f>SimpleDashData84[[#This Row],[Total Expense]]/SimpleDashData84[[#This Row],[Total Patients]]</f>
        <v>6.1333333333333337</v>
      </c>
      <c r="CA46">
        <v>0</v>
      </c>
    </row>
    <row r="47" spans="1:79" x14ac:dyDescent="0.3">
      <c r="A47">
        <v>36</v>
      </c>
      <c r="B47" t="str">
        <v>QCNM Narowal, Disst Jail</v>
      </c>
      <c r="C47" t="str">
        <v>Trust Act</v>
      </c>
      <c r="D47" t="str">
        <v>Central Punjab Region</v>
      </c>
      <c r="E47" t="str">
        <v>Prison</v>
      </c>
      <c r="F47" s="2">
        <v>8780</v>
      </c>
      <c r="G47" s="2">
        <v>1644</v>
      </c>
      <c r="H47" s="13">
        <v>5.3406326034063261</v>
      </c>
      <c r="I47" s="13"/>
      <c r="BA47">
        <v>46</v>
      </c>
      <c r="BB47" s="27" t="s">
        <v>111</v>
      </c>
      <c r="BD47" t="s">
        <v>33</v>
      </c>
      <c r="BE47" t="s">
        <v>100</v>
      </c>
      <c r="BF47" t="s">
        <v>35</v>
      </c>
      <c r="BG47">
        <v>2100</v>
      </c>
      <c r="BH47">
        <v>1000</v>
      </c>
      <c r="BI47">
        <v>0</v>
      </c>
      <c r="BJ47">
        <v>5400</v>
      </c>
      <c r="BK47">
        <v>0</v>
      </c>
      <c r="BL47">
        <v>0</v>
      </c>
      <c r="BM47">
        <v>500</v>
      </c>
      <c r="BN47">
        <v>300</v>
      </c>
      <c r="BO47">
        <v>0</v>
      </c>
      <c r="BP47">
        <v>0</v>
      </c>
      <c r="BQ47">
        <f>SUM(SimpleDashData84[[#This Row],[Convayance]:[Misc]])</f>
        <v>9300</v>
      </c>
      <c r="BR47">
        <v>2100</v>
      </c>
      <c r="BS47">
        <v>672</v>
      </c>
      <c r="BT47">
        <v>412</v>
      </c>
      <c r="BU47">
        <f>SUM(SimpleDashData84[[#This Row],[Male]:[Child]])</f>
        <v>3184</v>
      </c>
      <c r="BW47">
        <f>'[1]Expense Master June-26'!W52</f>
        <v>90.04</v>
      </c>
      <c r="BZ47">
        <f>SimpleDashData84[[#This Row],[Total Expense]]/SimpleDashData84[[#This Row],[Total Patients]]</f>
        <v>2.920854271356784</v>
      </c>
      <c r="CA47">
        <v>0</v>
      </c>
    </row>
    <row r="48" spans="1:79" x14ac:dyDescent="0.3">
      <c r="A48">
        <v>37</v>
      </c>
      <c r="B48" t="str">
        <v>QCNM Karachi, Central Prison</v>
      </c>
      <c r="C48" t="str">
        <v>Trust Act</v>
      </c>
      <c r="D48" t="str">
        <v>Sindh, Balochistan &amp; AJK Region</v>
      </c>
      <c r="E48" t="str">
        <v>Prison</v>
      </c>
      <c r="F48" s="2">
        <v>8710</v>
      </c>
      <c r="G48" s="2">
        <v>1308</v>
      </c>
      <c r="H48" s="13">
        <v>6.6590214067278284</v>
      </c>
      <c r="I48" s="13"/>
      <c r="BA48">
        <v>47</v>
      </c>
      <c r="BB48" s="27" t="s">
        <v>112</v>
      </c>
      <c r="BD48" t="s">
        <v>33</v>
      </c>
      <c r="BE48" t="s">
        <v>100</v>
      </c>
      <c r="BF48" t="s">
        <v>35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f>SUM(SimpleDashData84[[#This Row],[Convayance]:[Misc]])</f>
        <v>0</v>
      </c>
      <c r="BR48">
        <v>0</v>
      </c>
      <c r="BS48">
        <v>0</v>
      </c>
      <c r="BT48">
        <v>0</v>
      </c>
      <c r="BU48">
        <f>SUM(SimpleDashData84[[#This Row],[Male]:[Child]])</f>
        <v>0</v>
      </c>
      <c r="BW48">
        <f>'[1]Expense Master June-26'!W53</f>
        <v>0</v>
      </c>
      <c r="BZ48" t="e">
        <f>SimpleDashData84[[#This Row],[Total Expense]]/SimpleDashData84[[#This Row],[Total Patients]]</f>
        <v>#DIV/0!</v>
      </c>
      <c r="CA48">
        <v>0</v>
      </c>
    </row>
    <row r="49" spans="1:79" x14ac:dyDescent="0.3">
      <c r="A49">
        <v>38</v>
      </c>
      <c r="B49" t="str">
        <v>QCNM University of Okara</v>
      </c>
      <c r="C49" t="str">
        <v>Trust Act</v>
      </c>
      <c r="D49" t="str">
        <v>South &amp; North Punjab Region</v>
      </c>
      <c r="E49" t="str">
        <v>Public</v>
      </c>
      <c r="F49" s="2">
        <v>8510</v>
      </c>
      <c r="G49" s="2">
        <v>1489</v>
      </c>
      <c r="H49" s="13">
        <v>5.7152451309603762</v>
      </c>
      <c r="I49" s="13"/>
      <c r="BA49">
        <v>48</v>
      </c>
      <c r="BB49" s="27" t="s">
        <v>113</v>
      </c>
      <c r="BD49" t="s">
        <v>33</v>
      </c>
      <c r="BE49" t="s">
        <v>100</v>
      </c>
      <c r="BF49" t="s">
        <v>35</v>
      </c>
      <c r="BG49">
        <v>853</v>
      </c>
      <c r="BH49">
        <v>380</v>
      </c>
      <c r="BI49">
        <v>0</v>
      </c>
      <c r="BJ49">
        <v>0</v>
      </c>
      <c r="BK49">
        <v>0</v>
      </c>
      <c r="BL49">
        <v>5430</v>
      </c>
      <c r="BM49">
        <v>0</v>
      </c>
      <c r="BN49">
        <v>0</v>
      </c>
      <c r="BO49">
        <v>0</v>
      </c>
      <c r="BP49">
        <v>0</v>
      </c>
      <c r="BQ49">
        <f>SUM(SimpleDashData84[[#This Row],[Convayance]:[Misc]])</f>
        <v>6663</v>
      </c>
      <c r="BR49">
        <v>37</v>
      </c>
      <c r="BS49">
        <v>23</v>
      </c>
      <c r="BT49">
        <v>0</v>
      </c>
      <c r="BU49">
        <f>SUM(SimpleDashData84[[#This Row],[Male]:[Child]])</f>
        <v>60</v>
      </c>
      <c r="BW49">
        <f>'[1]Expense Master June-26'!W54</f>
        <v>1.88</v>
      </c>
      <c r="BZ49">
        <f>SimpleDashData84[[#This Row],[Total Expense]]/SimpleDashData84[[#This Row],[Total Patients]]</f>
        <v>111.05</v>
      </c>
      <c r="CA49">
        <v>0</v>
      </c>
    </row>
    <row r="50" spans="1:79" x14ac:dyDescent="0.3">
      <c r="A50">
        <v>39</v>
      </c>
      <c r="B50" t="str">
        <v>QCNM Larkana, Central Prison</v>
      </c>
      <c r="C50" t="str">
        <v>Trust Act</v>
      </c>
      <c r="D50" t="str">
        <v>Sindh, Balochistan &amp; AJK Region</v>
      </c>
      <c r="E50" t="str">
        <v>Prison</v>
      </c>
      <c r="F50" s="2">
        <v>8440</v>
      </c>
      <c r="G50" s="2">
        <v>2064</v>
      </c>
      <c r="H50" s="13">
        <v>4.0891472868217056</v>
      </c>
      <c r="I50" s="13"/>
      <c r="BA50">
        <v>49</v>
      </c>
      <c r="BB50" s="27" t="s">
        <v>114</v>
      </c>
      <c r="BD50" t="s">
        <v>33</v>
      </c>
      <c r="BE50" t="s">
        <v>100</v>
      </c>
      <c r="BF50" t="s">
        <v>35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1360</v>
      </c>
      <c r="BO50">
        <v>1000</v>
      </c>
      <c r="BP50">
        <v>0</v>
      </c>
      <c r="BQ50">
        <f>SUM(SimpleDashData84[[#This Row],[Convayance]:[Misc]])</f>
        <v>2360</v>
      </c>
      <c r="BR50">
        <v>384</v>
      </c>
      <c r="BS50">
        <v>441</v>
      </c>
      <c r="BT50">
        <v>188</v>
      </c>
      <c r="BU50">
        <f>SUM(SimpleDashData84[[#This Row],[Male]:[Child]])</f>
        <v>1013</v>
      </c>
      <c r="BW50">
        <f>'[1]Expense Master June-26'!W55</f>
        <v>51.36</v>
      </c>
      <c r="BZ50">
        <f>SimpleDashData84[[#This Row],[Total Expense]]/SimpleDashData84[[#This Row],[Total Patients]]</f>
        <v>2.3297137216189534</v>
      </c>
      <c r="CA50">
        <v>0</v>
      </c>
    </row>
    <row r="51" spans="1:79" ht="28.8" x14ac:dyDescent="0.3">
      <c r="A51">
        <v>40</v>
      </c>
      <c r="B51" t="str">
        <v>QCNM Peshawar, Central Prison</v>
      </c>
      <c r="C51" t="str">
        <v>Trust Act</v>
      </c>
      <c r="D51" t="str">
        <v>Capital Region</v>
      </c>
      <c r="E51" t="str">
        <v>Prison</v>
      </c>
      <c r="F51" s="2">
        <v>8410</v>
      </c>
      <c r="G51" s="2">
        <v>3001</v>
      </c>
      <c r="H51" s="13">
        <v>2.8023992002665779</v>
      </c>
      <c r="I51" s="13"/>
      <c r="BA51">
        <v>50</v>
      </c>
      <c r="BB51" s="27" t="s">
        <v>115</v>
      </c>
      <c r="BD51" t="s">
        <v>33</v>
      </c>
      <c r="BE51" t="s">
        <v>100</v>
      </c>
      <c r="BF51" t="s">
        <v>35</v>
      </c>
      <c r="BG51">
        <v>0</v>
      </c>
      <c r="BH51">
        <v>500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680</v>
      </c>
      <c r="BO51">
        <v>0</v>
      </c>
      <c r="BP51">
        <v>0</v>
      </c>
      <c r="BQ51">
        <f>SUM(SimpleDashData84[[#This Row],[Convayance]:[Misc]])</f>
        <v>1180</v>
      </c>
      <c r="BR51">
        <v>28</v>
      </c>
      <c r="BS51">
        <v>128</v>
      </c>
      <c r="BT51">
        <v>12</v>
      </c>
      <c r="BU51">
        <f>SUM(SimpleDashData84[[#This Row],[Male]:[Child]])</f>
        <v>168</v>
      </c>
      <c r="BW51">
        <f>'[1]Expense Master June-26'!W56</f>
        <v>0</v>
      </c>
      <c r="BZ51">
        <f>SimpleDashData84[[#This Row],[Total Expense]]/SimpleDashData84[[#This Row],[Total Patients]]</f>
        <v>7.0238095238095237</v>
      </c>
      <c r="CA51">
        <v>0</v>
      </c>
    </row>
    <row r="52" spans="1:79" x14ac:dyDescent="0.3">
      <c r="A52">
        <v>41</v>
      </c>
      <c r="B52" t="str">
        <v>QCNM Sadda, Sub Jail</v>
      </c>
      <c r="C52" t="str">
        <v>Trust Act</v>
      </c>
      <c r="D52" t="str">
        <v>Capital Region</v>
      </c>
      <c r="E52" t="str">
        <v>Prison</v>
      </c>
      <c r="F52" s="2">
        <v>8250</v>
      </c>
      <c r="G52" s="2">
        <v>2318</v>
      </c>
      <c r="H52" s="13">
        <v>3.5591026747195857</v>
      </c>
      <c r="I52" s="13"/>
      <c r="BA52">
        <v>51</v>
      </c>
      <c r="BB52" s="27" t="s">
        <v>116</v>
      </c>
      <c r="BD52" t="s">
        <v>33</v>
      </c>
      <c r="BE52" t="s">
        <v>100</v>
      </c>
      <c r="BF52" t="s">
        <v>35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f>SUM(SimpleDashData84[[#This Row],[Convayance]:[Misc]])</f>
        <v>0</v>
      </c>
      <c r="BR52">
        <v>302</v>
      </c>
      <c r="BS52">
        <v>196</v>
      </c>
      <c r="BT52">
        <v>77</v>
      </c>
      <c r="BU52">
        <f>SUM(SimpleDashData84[[#This Row],[Male]:[Child]])</f>
        <v>575</v>
      </c>
      <c r="BW52">
        <f>'[1]Expense Master June-26'!W57</f>
        <v>34.4</v>
      </c>
      <c r="BZ52">
        <f>SimpleDashData84[[#This Row],[Total Expense]]/SimpleDashData84[[#This Row],[Total Patients]]</f>
        <v>0</v>
      </c>
      <c r="CA52">
        <v>0</v>
      </c>
    </row>
    <row r="53" spans="1:79" x14ac:dyDescent="0.3">
      <c r="A53">
        <v>42</v>
      </c>
      <c r="B53" t="str">
        <v>QCNM Mardan, Central Jail</v>
      </c>
      <c r="C53" t="str">
        <v>Trust Act</v>
      </c>
      <c r="D53" t="str">
        <v>Capital Region</v>
      </c>
      <c r="E53" t="str">
        <v>Prison</v>
      </c>
      <c r="F53" s="2">
        <v>8000</v>
      </c>
      <c r="G53" s="2">
        <v>2252</v>
      </c>
      <c r="H53" s="13">
        <v>3.5523978685612789</v>
      </c>
      <c r="I53" s="13"/>
      <c r="BA53">
        <v>52</v>
      </c>
      <c r="BB53" s="12" t="s">
        <v>117</v>
      </c>
      <c r="BC53">
        <v>2010246</v>
      </c>
      <c r="BD53" t="s">
        <v>33</v>
      </c>
      <c r="BE53" t="s">
        <v>100</v>
      </c>
      <c r="BF53" t="s">
        <v>35</v>
      </c>
      <c r="BG53">
        <v>0</v>
      </c>
      <c r="BH53">
        <v>0</v>
      </c>
      <c r="BI53">
        <v>0</v>
      </c>
      <c r="BJ53">
        <v>1790</v>
      </c>
      <c r="BK53">
        <v>0</v>
      </c>
      <c r="BL53">
        <v>420</v>
      </c>
      <c r="BM53">
        <v>0</v>
      </c>
      <c r="BN53">
        <v>930</v>
      </c>
      <c r="BO53">
        <v>550</v>
      </c>
      <c r="BP53">
        <v>0</v>
      </c>
      <c r="BQ53">
        <f>SUM(SimpleDashData84[[#This Row],[Convayance]:[Misc]])</f>
        <v>3690</v>
      </c>
      <c r="BR53">
        <v>529</v>
      </c>
      <c r="BS53">
        <v>481</v>
      </c>
      <c r="BT53">
        <v>242</v>
      </c>
      <c r="BU53">
        <f>SUM(SimpleDashData84[[#This Row],[Male]:[Child]])</f>
        <v>1252</v>
      </c>
      <c r="BW53">
        <f>'[1]Expense Master June-26'!W58</f>
        <v>59.44</v>
      </c>
      <c r="BZ53">
        <f>SimpleDashData84[[#This Row],[Total Expense]]/SimpleDashData84[[#This Row],[Total Patients]]</f>
        <v>2.9472843450479234</v>
      </c>
      <c r="CA53">
        <v>0</v>
      </c>
    </row>
    <row r="54" spans="1:79" x14ac:dyDescent="0.3">
      <c r="A54">
        <v>43</v>
      </c>
      <c r="B54" t="str">
        <v>QCNM Islamabad, Police line</v>
      </c>
      <c r="C54" t="str">
        <v>Trust Act</v>
      </c>
      <c r="D54" t="str">
        <v>Capital Region</v>
      </c>
      <c r="E54" t="str">
        <v>Public</v>
      </c>
      <c r="F54" s="2">
        <v>7930</v>
      </c>
      <c r="G54" s="2">
        <v>982</v>
      </c>
      <c r="H54" s="13">
        <v>8.0753564154786144</v>
      </c>
      <c r="I54" s="13"/>
      <c r="BA54">
        <v>53</v>
      </c>
      <c r="BB54" s="12" t="s">
        <v>118</v>
      </c>
      <c r="BD54" t="s">
        <v>33</v>
      </c>
      <c r="BE54" t="s">
        <v>100</v>
      </c>
      <c r="BF54" t="s">
        <v>35</v>
      </c>
      <c r="BG54">
        <v>6427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f>SUM(SimpleDashData84[[#This Row],[Convayance]:[Misc]])</f>
        <v>6427</v>
      </c>
      <c r="BR54">
        <v>152</v>
      </c>
      <c r="BS54">
        <v>25</v>
      </c>
      <c r="BT54">
        <v>5</v>
      </c>
      <c r="BU54">
        <f>SUM(SimpleDashData84[[#This Row],[Male]:[Child]])</f>
        <v>182</v>
      </c>
      <c r="BW54">
        <f>'[1]Expense Master June-26'!W59</f>
        <v>8.1999999999999993</v>
      </c>
      <c r="BZ54">
        <f>SimpleDashData84[[#This Row],[Total Expense]]/SimpleDashData84[[#This Row],[Total Patients]]</f>
        <v>35.31318681318681</v>
      </c>
      <c r="CA54">
        <v>0</v>
      </c>
    </row>
    <row r="55" spans="1:79" x14ac:dyDescent="0.3">
      <c r="A55">
        <v>44</v>
      </c>
      <c r="B55" t="str">
        <v>QCNM, Fedral Urdu University</v>
      </c>
      <c r="C55" t="str">
        <v>Trust Act</v>
      </c>
      <c r="D55" t="str">
        <v>Sindh, Balochistan &amp; AJK Region</v>
      </c>
      <c r="E55" t="str">
        <v>Public</v>
      </c>
      <c r="F55" s="2">
        <v>7894</v>
      </c>
      <c r="G55" s="2">
        <v>1354</v>
      </c>
      <c r="H55" s="13">
        <v>5.8301329394387</v>
      </c>
      <c r="I55" s="13"/>
      <c r="BA55">
        <v>54</v>
      </c>
      <c r="BB55" s="27" t="s">
        <v>119</v>
      </c>
      <c r="BC55">
        <v>2010227</v>
      </c>
      <c r="BD55" t="s">
        <v>33</v>
      </c>
      <c r="BE55" t="s">
        <v>100</v>
      </c>
      <c r="BF55" t="s">
        <v>64</v>
      </c>
      <c r="BG55">
        <v>2300</v>
      </c>
      <c r="BH55">
        <v>0</v>
      </c>
      <c r="BI55">
        <v>0</v>
      </c>
      <c r="BJ55">
        <v>5870</v>
      </c>
      <c r="BK55">
        <v>0</v>
      </c>
      <c r="BL55">
        <v>960</v>
      </c>
      <c r="BM55">
        <v>0</v>
      </c>
      <c r="BN55">
        <v>0</v>
      </c>
      <c r="BO55">
        <v>0</v>
      </c>
      <c r="BP55">
        <v>430</v>
      </c>
      <c r="BQ55">
        <f>SUM(SimpleDashData84[[#This Row],[Convayance]:[Misc]])</f>
        <v>9560</v>
      </c>
      <c r="BR55">
        <v>2753</v>
      </c>
      <c r="BS55">
        <v>0</v>
      </c>
      <c r="BT55">
        <v>0</v>
      </c>
      <c r="BU55">
        <f>SUM(SimpleDashData84[[#This Row],[Male]:[Child]])</f>
        <v>2753</v>
      </c>
      <c r="BW55">
        <f>'[1]Expense Master June-26'!W60</f>
        <v>147.28</v>
      </c>
      <c r="BZ55">
        <f>SimpleDashData84[[#This Row],[Total Expense]]/SimpleDashData84[[#This Row],[Total Patients]]</f>
        <v>3.4725753723211041</v>
      </c>
      <c r="CA55">
        <v>0</v>
      </c>
    </row>
    <row r="56" spans="1:79" x14ac:dyDescent="0.3">
      <c r="A56">
        <v>45</v>
      </c>
      <c r="B56" t="str">
        <v>QCNM Minchinabad Jamia</v>
      </c>
      <c r="C56" t="str">
        <v>Trust Act</v>
      </c>
      <c r="D56" t="str">
        <v>South &amp; North Punjab Region</v>
      </c>
      <c r="E56" t="str">
        <v>Public</v>
      </c>
      <c r="F56" s="2">
        <v>7785</v>
      </c>
      <c r="G56" s="2">
        <v>2200</v>
      </c>
      <c r="H56" s="13">
        <v>3.5386363636363636</v>
      </c>
      <c r="I56" s="13"/>
      <c r="BA56">
        <v>55</v>
      </c>
      <c r="BB56" s="27" t="s">
        <v>120</v>
      </c>
      <c r="BC56">
        <v>2010201</v>
      </c>
      <c r="BD56" t="s">
        <v>33</v>
      </c>
      <c r="BE56" t="s">
        <v>100</v>
      </c>
      <c r="BF56" t="s">
        <v>64</v>
      </c>
      <c r="BG56">
        <v>0</v>
      </c>
      <c r="BH56">
        <v>1200</v>
      </c>
      <c r="BI56">
        <v>0</v>
      </c>
      <c r="BJ56">
        <v>880</v>
      </c>
      <c r="BK56">
        <v>300</v>
      </c>
      <c r="BL56">
        <v>400</v>
      </c>
      <c r="BM56">
        <v>0</v>
      </c>
      <c r="BN56">
        <v>0</v>
      </c>
      <c r="BO56">
        <v>0</v>
      </c>
      <c r="BP56">
        <v>1000</v>
      </c>
      <c r="BQ56">
        <f>SUM(SimpleDashData84[[#This Row],[Convayance]:[Misc]])</f>
        <v>3780</v>
      </c>
      <c r="BR56">
        <v>2232</v>
      </c>
      <c r="BS56">
        <v>48</v>
      </c>
      <c r="BT56">
        <v>7</v>
      </c>
      <c r="BU56">
        <f>SUM(SimpleDashData84[[#This Row],[Male]:[Child]])</f>
        <v>2287</v>
      </c>
      <c r="BW56">
        <f>'[1]Expense Master June-26'!W61</f>
        <v>100.2</v>
      </c>
      <c r="BZ56">
        <f>SimpleDashData84[[#This Row],[Total Expense]]/SimpleDashData84[[#This Row],[Total Patients]]</f>
        <v>1.6528202885876695</v>
      </c>
      <c r="CA56">
        <v>0</v>
      </c>
    </row>
    <row r="57" spans="1:79" x14ac:dyDescent="0.3">
      <c r="A57">
        <v>46</v>
      </c>
      <c r="B57" t="str">
        <v>QCNM Sahiwal, High Security Prison</v>
      </c>
      <c r="C57" t="str">
        <v>Trust Act</v>
      </c>
      <c r="D57" t="str">
        <v>South &amp; North Punjab Region</v>
      </c>
      <c r="E57" t="str">
        <v>Prison</v>
      </c>
      <c r="F57" s="2">
        <v>7700</v>
      </c>
      <c r="G57" s="2">
        <v>2024</v>
      </c>
      <c r="H57" s="13">
        <v>3.8043478260869565</v>
      </c>
      <c r="I57" s="13"/>
      <c r="BA57">
        <v>56</v>
      </c>
      <c r="BB57" s="27" t="s">
        <v>121</v>
      </c>
      <c r="BC57">
        <v>2010230</v>
      </c>
      <c r="BD57" t="s">
        <v>33</v>
      </c>
      <c r="BE57" t="s">
        <v>100</v>
      </c>
      <c r="BF57" t="s">
        <v>64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f>SUM(SimpleDashData84[[#This Row],[Convayance]:[Misc]])</f>
        <v>0</v>
      </c>
      <c r="BR57">
        <v>0</v>
      </c>
      <c r="BS57">
        <v>0</v>
      </c>
      <c r="BT57">
        <v>0</v>
      </c>
      <c r="BU57">
        <f>SUM(SimpleDashData84[[#This Row],[Male]:[Child]])</f>
        <v>0</v>
      </c>
      <c r="BW57">
        <f>'[1]Expense Master June-26'!W62</f>
        <v>0</v>
      </c>
      <c r="BZ57" t="e">
        <f>SimpleDashData84[[#This Row],[Total Expense]]/SimpleDashData84[[#This Row],[Total Patients]]</f>
        <v>#DIV/0!</v>
      </c>
      <c r="CA57">
        <v>0</v>
      </c>
    </row>
    <row r="58" spans="1:79" x14ac:dyDescent="0.3">
      <c r="A58">
        <v>47</v>
      </c>
      <c r="B58" t="str">
        <v>QCNM RAHMA Hospital Janpur</v>
      </c>
      <c r="C58" t="str">
        <v>Trust Act</v>
      </c>
      <c r="D58" t="str">
        <v>South &amp; North Punjab Region</v>
      </c>
      <c r="E58" t="str">
        <v>Public</v>
      </c>
      <c r="F58" s="2">
        <v>7410</v>
      </c>
      <c r="G58" s="2">
        <v>1687</v>
      </c>
      <c r="H58" s="13">
        <v>4.392412566686426</v>
      </c>
      <c r="I58" s="13"/>
      <c r="BA58">
        <v>57</v>
      </c>
      <c r="BB58" s="27" t="s">
        <v>122</v>
      </c>
      <c r="BC58">
        <v>2010223</v>
      </c>
      <c r="BD58" t="s">
        <v>33</v>
      </c>
      <c r="BE58" t="s">
        <v>100</v>
      </c>
      <c r="BF58" t="s">
        <v>64</v>
      </c>
      <c r="BG58">
        <v>0</v>
      </c>
      <c r="BH58">
        <v>0</v>
      </c>
      <c r="BI58">
        <v>0</v>
      </c>
      <c r="BJ58">
        <v>15200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f>SUM(SimpleDashData84[[#This Row],[Convayance]:[Misc]])</f>
        <v>15200</v>
      </c>
      <c r="BR58">
        <v>4111</v>
      </c>
      <c r="BS58">
        <v>0</v>
      </c>
      <c r="BT58">
        <v>0</v>
      </c>
      <c r="BU58">
        <f>SUM(SimpleDashData84[[#This Row],[Male]:[Child]])</f>
        <v>4111</v>
      </c>
      <c r="BW58">
        <f>'[1]Expense Master June-26'!W63</f>
        <v>200.12</v>
      </c>
      <c r="BZ58">
        <f>SimpleDashData84[[#This Row],[Total Expense]]/SimpleDashData84[[#This Row],[Total Patients]]</f>
        <v>3.6973972269520798</v>
      </c>
      <c r="CA58">
        <v>0</v>
      </c>
    </row>
    <row r="59" spans="1:79" x14ac:dyDescent="0.3">
      <c r="A59">
        <v>48</v>
      </c>
      <c r="B59" t="str">
        <v>QCNM Khuzdar(BUET) University</v>
      </c>
      <c r="C59" t="str">
        <v>Trust Act</v>
      </c>
      <c r="D59" t="str">
        <v>Sindh, Balochistan &amp; AJK Region</v>
      </c>
      <c r="E59" t="str">
        <v>Public</v>
      </c>
      <c r="F59" s="2">
        <v>7250</v>
      </c>
      <c r="G59" s="2">
        <v>1317</v>
      </c>
      <c r="H59" s="13">
        <v>5.5049354593773732</v>
      </c>
      <c r="I59" s="13"/>
      <c r="BA59">
        <v>58</v>
      </c>
      <c r="BB59" s="27" t="s">
        <v>123</v>
      </c>
      <c r="BC59">
        <v>2010235</v>
      </c>
      <c r="BD59" t="s">
        <v>33</v>
      </c>
      <c r="BE59" t="s">
        <v>100</v>
      </c>
      <c r="BF59" t="s">
        <v>64</v>
      </c>
      <c r="BG59">
        <v>0</v>
      </c>
      <c r="BH59">
        <v>1000</v>
      </c>
      <c r="BI59">
        <v>0</v>
      </c>
      <c r="BJ59">
        <v>930</v>
      </c>
      <c r="BK59">
        <v>570</v>
      </c>
      <c r="BL59">
        <v>220</v>
      </c>
      <c r="BM59">
        <v>0</v>
      </c>
      <c r="BN59">
        <v>0</v>
      </c>
      <c r="BO59">
        <v>0</v>
      </c>
      <c r="BP59">
        <v>0</v>
      </c>
      <c r="BQ59">
        <f>SUM(SimpleDashData84[[#This Row],[Convayance]:[Misc]])</f>
        <v>2720</v>
      </c>
      <c r="BR59">
        <v>3019</v>
      </c>
      <c r="BS59">
        <v>7</v>
      </c>
      <c r="BT59">
        <v>3</v>
      </c>
      <c r="BU59">
        <f>SUM(SimpleDashData84[[#This Row],[Male]:[Child]])</f>
        <v>3029</v>
      </c>
      <c r="BW59">
        <f>'[1]Expense Master June-26'!W64</f>
        <v>131.44</v>
      </c>
      <c r="BZ59">
        <f>SimpleDashData84[[#This Row],[Total Expense]]/SimpleDashData84[[#This Row],[Total Patients]]</f>
        <v>0.89798613403763616</v>
      </c>
      <c r="CA59">
        <v>0</v>
      </c>
    </row>
    <row r="60" spans="1:79" x14ac:dyDescent="0.3">
      <c r="A60">
        <v>49</v>
      </c>
      <c r="B60" t="str">
        <v>QCNM Bannu, Central Prison</v>
      </c>
      <c r="C60" t="str">
        <v>Trust Act</v>
      </c>
      <c r="D60" t="str">
        <v>Capital Region</v>
      </c>
      <c r="E60" t="str">
        <v>Prison</v>
      </c>
      <c r="F60" s="2">
        <v>7200</v>
      </c>
      <c r="G60" s="2">
        <v>1973</v>
      </c>
      <c r="H60" s="13">
        <v>3.6492650785605676</v>
      </c>
      <c r="I60" s="13"/>
      <c r="BA60">
        <v>59</v>
      </c>
      <c r="BB60" s="27" t="s">
        <v>124</v>
      </c>
      <c r="BC60">
        <v>2010225</v>
      </c>
      <c r="BD60" t="s">
        <v>33</v>
      </c>
      <c r="BE60" t="s">
        <v>100</v>
      </c>
      <c r="BF60" t="s">
        <v>64</v>
      </c>
      <c r="BG60">
        <v>150</v>
      </c>
      <c r="BH60">
        <v>0</v>
      </c>
      <c r="BI60">
        <v>700</v>
      </c>
      <c r="BJ60">
        <v>4390</v>
      </c>
      <c r="BK60">
        <v>400</v>
      </c>
      <c r="BL60">
        <v>200</v>
      </c>
      <c r="BM60">
        <v>0</v>
      </c>
      <c r="BN60">
        <v>0</v>
      </c>
      <c r="BO60">
        <v>0</v>
      </c>
      <c r="BP60">
        <v>0</v>
      </c>
      <c r="BQ60">
        <f>SUM(SimpleDashData84[[#This Row],[Convayance]:[Misc]])</f>
        <v>5840</v>
      </c>
      <c r="BR60">
        <v>2672</v>
      </c>
      <c r="BS60">
        <v>0</v>
      </c>
      <c r="BT60">
        <v>18</v>
      </c>
      <c r="BU60">
        <f>SUM(SimpleDashData84[[#This Row],[Male]:[Child]])</f>
        <v>2690</v>
      </c>
      <c r="BW60">
        <f>'[1]Expense Master June-26'!W65</f>
        <v>88.56</v>
      </c>
      <c r="BZ60">
        <f>SimpleDashData84[[#This Row],[Total Expense]]/SimpleDashData84[[#This Row],[Total Patients]]</f>
        <v>2.1710037174721188</v>
      </c>
      <c r="CA60">
        <v>0</v>
      </c>
    </row>
    <row r="61" spans="1:79" x14ac:dyDescent="0.3">
      <c r="A61">
        <v>50</v>
      </c>
      <c r="B61" t="str">
        <v>QCNM Attock, District Jail</v>
      </c>
      <c r="C61" t="str">
        <v>Trust Act</v>
      </c>
      <c r="D61" t="str">
        <v>South &amp; North Punjab Region</v>
      </c>
      <c r="E61" t="str">
        <v>Prison</v>
      </c>
      <c r="F61" s="2">
        <v>7170</v>
      </c>
      <c r="G61" s="2">
        <v>2569</v>
      </c>
      <c r="H61" s="13">
        <v>2.7909692487349163</v>
      </c>
      <c r="I61" s="13"/>
      <c r="BA61">
        <v>60</v>
      </c>
      <c r="BB61" s="27" t="s">
        <v>125</v>
      </c>
      <c r="BC61">
        <v>2010207</v>
      </c>
      <c r="BD61" t="s">
        <v>33</v>
      </c>
      <c r="BE61" t="s">
        <v>100</v>
      </c>
      <c r="BF61" t="s">
        <v>64</v>
      </c>
      <c r="BG61">
        <v>0</v>
      </c>
      <c r="BH61">
        <v>1000</v>
      </c>
      <c r="BI61">
        <v>550</v>
      </c>
      <c r="BJ61">
        <v>11960</v>
      </c>
      <c r="BK61">
        <v>105</v>
      </c>
      <c r="BL61">
        <v>245</v>
      </c>
      <c r="BM61">
        <v>0</v>
      </c>
      <c r="BN61">
        <v>0</v>
      </c>
      <c r="BO61">
        <v>0</v>
      </c>
      <c r="BP61">
        <v>450</v>
      </c>
      <c r="BQ61">
        <f>SUM(SimpleDashData84[[#This Row],[Convayance]:[Misc]])</f>
        <v>14310</v>
      </c>
      <c r="BR61">
        <v>3040</v>
      </c>
      <c r="BS61">
        <v>0</v>
      </c>
      <c r="BT61">
        <v>0</v>
      </c>
      <c r="BU61">
        <f>SUM(SimpleDashData84[[#This Row],[Male]:[Child]])</f>
        <v>3040</v>
      </c>
      <c r="BW61">
        <f>'[1]Expense Master June-26'!W66</f>
        <v>159.45454545454547</v>
      </c>
      <c r="BZ61">
        <f>SimpleDashData84[[#This Row],[Total Expense]]/SimpleDashData84[[#This Row],[Total Patients]]</f>
        <v>4.7072368421052628</v>
      </c>
      <c r="CA61">
        <v>0</v>
      </c>
    </row>
    <row r="62" spans="1:79" x14ac:dyDescent="0.3">
      <c r="A62">
        <v>51</v>
      </c>
      <c r="B62" t="str">
        <v>QCNM Rahim Yar Khan, District Jail</v>
      </c>
      <c r="C62" t="str">
        <v>Trust Act</v>
      </c>
      <c r="D62" t="str">
        <v>South &amp; North Punjab Region</v>
      </c>
      <c r="E62" t="str">
        <v>Prison</v>
      </c>
      <c r="F62" s="2">
        <v>6990</v>
      </c>
      <c r="G62" s="2">
        <v>1306</v>
      </c>
      <c r="H62" s="13">
        <v>5.3522205206738134</v>
      </c>
      <c r="I62" s="13"/>
      <c r="BA62">
        <v>61</v>
      </c>
      <c r="BB62" s="27" t="s">
        <v>126</v>
      </c>
      <c r="BC62">
        <v>2010208</v>
      </c>
      <c r="BD62" t="s">
        <v>33</v>
      </c>
      <c r="BE62" t="s">
        <v>100</v>
      </c>
      <c r="BF62" t="s">
        <v>64</v>
      </c>
      <c r="BG62">
        <v>730</v>
      </c>
      <c r="BH62">
        <v>1000</v>
      </c>
      <c r="BI62">
        <v>780</v>
      </c>
      <c r="BJ62">
        <v>7690</v>
      </c>
      <c r="BK62">
        <v>0</v>
      </c>
      <c r="BL62">
        <v>630</v>
      </c>
      <c r="BM62">
        <v>0</v>
      </c>
      <c r="BN62">
        <v>720</v>
      </c>
      <c r="BO62">
        <v>0</v>
      </c>
      <c r="BP62">
        <v>1370</v>
      </c>
      <c r="BQ62">
        <f>SUM(SimpleDashData84[[#This Row],[Convayance]:[Misc]])</f>
        <v>12920</v>
      </c>
      <c r="BR62">
        <v>2489</v>
      </c>
      <c r="BS62">
        <v>33</v>
      </c>
      <c r="BT62">
        <v>0</v>
      </c>
      <c r="BU62">
        <f>SUM(SimpleDashData84[[#This Row],[Male]:[Child]])</f>
        <v>2522</v>
      </c>
      <c r="BW62">
        <f>'[1]Expense Master June-26'!W67</f>
        <v>122.86363636363636</v>
      </c>
      <c r="BZ62">
        <f>SimpleDashData84[[#This Row],[Total Expense]]/SimpleDashData84[[#This Row],[Total Patients]]</f>
        <v>5.122918318794607</v>
      </c>
      <c r="CA62">
        <v>0</v>
      </c>
    </row>
    <row r="63" spans="1:79" x14ac:dyDescent="0.3">
      <c r="A63">
        <v>52</v>
      </c>
      <c r="B63" t="str">
        <v>Lahore, Jamia Ashrafia</v>
      </c>
      <c r="C63" t="str">
        <v>Trust Act</v>
      </c>
      <c r="D63" t="str">
        <v>Central Punjab Region</v>
      </c>
      <c r="E63" t="str">
        <v>Public</v>
      </c>
      <c r="F63" s="2">
        <v>6970</v>
      </c>
      <c r="G63" s="2">
        <v>815</v>
      </c>
      <c r="H63" s="13">
        <v>8.5521472392638032</v>
      </c>
      <c r="I63" s="13"/>
      <c r="BA63">
        <v>62</v>
      </c>
      <c r="BB63" s="28" t="s">
        <v>127</v>
      </c>
      <c r="BC63">
        <v>2010254</v>
      </c>
      <c r="BD63" t="s">
        <v>33</v>
      </c>
      <c r="BE63" t="s">
        <v>100</v>
      </c>
      <c r="BF63" t="s">
        <v>64</v>
      </c>
      <c r="BG63">
        <v>0</v>
      </c>
      <c r="BH63">
        <v>1000</v>
      </c>
      <c r="BI63">
        <v>1250</v>
      </c>
      <c r="BJ63">
        <v>4200</v>
      </c>
      <c r="BK63">
        <v>400</v>
      </c>
      <c r="BL63">
        <v>970</v>
      </c>
      <c r="BM63">
        <v>0</v>
      </c>
      <c r="BN63">
        <v>490</v>
      </c>
      <c r="BO63">
        <v>470</v>
      </c>
      <c r="BP63">
        <v>0</v>
      </c>
      <c r="BQ63">
        <f>SUM(SimpleDashData84[[#This Row],[Convayance]:[Misc]])</f>
        <v>8780</v>
      </c>
      <c r="BR63">
        <v>1644</v>
      </c>
      <c r="BS63">
        <v>0</v>
      </c>
      <c r="BT63">
        <v>0</v>
      </c>
      <c r="BU63">
        <f>SUM(SimpleDashData84[[#This Row],[Male]:[Child]])</f>
        <v>1644</v>
      </c>
      <c r="BW63">
        <f>'[1]Expense Master June-26'!W68</f>
        <v>94.090909090909093</v>
      </c>
      <c r="BZ63">
        <f>SimpleDashData84[[#This Row],[Total Expense]]/SimpleDashData84[[#This Row],[Total Patients]]</f>
        <v>5.3406326034063261</v>
      </c>
      <c r="CA63">
        <v>0</v>
      </c>
    </row>
    <row r="64" spans="1:79" x14ac:dyDescent="0.3">
      <c r="A64">
        <v>53</v>
      </c>
      <c r="B64" t="str">
        <v>QCNM Aas Rehabilitation Centre</v>
      </c>
      <c r="C64" t="str">
        <v>Trust Act</v>
      </c>
      <c r="D64" t="str">
        <v>Central Punjab Region</v>
      </c>
      <c r="E64" t="str">
        <v>Public</v>
      </c>
      <c r="F64" s="2">
        <v>6663</v>
      </c>
      <c r="G64" s="2">
        <v>60</v>
      </c>
      <c r="H64" s="13">
        <v>111.05</v>
      </c>
      <c r="I64" s="13"/>
      <c r="BA64">
        <v>63</v>
      </c>
      <c r="BB64" s="27" t="s">
        <v>128</v>
      </c>
      <c r="BC64">
        <v>2010224</v>
      </c>
      <c r="BD64" t="s">
        <v>33</v>
      </c>
      <c r="BE64" t="s">
        <v>100</v>
      </c>
      <c r="BF64" t="s">
        <v>64</v>
      </c>
      <c r="BG64">
        <v>0</v>
      </c>
      <c r="BH64">
        <v>1000</v>
      </c>
      <c r="BI64">
        <v>0</v>
      </c>
      <c r="BJ64">
        <v>11600</v>
      </c>
      <c r="BK64">
        <v>0</v>
      </c>
      <c r="BL64">
        <v>0</v>
      </c>
      <c r="BM64">
        <v>0</v>
      </c>
      <c r="BN64">
        <v>1510</v>
      </c>
      <c r="BO64">
        <v>0</v>
      </c>
      <c r="BP64">
        <v>1400</v>
      </c>
      <c r="BQ64">
        <f>SUM(SimpleDashData84[[#This Row],[Convayance]:[Misc]])</f>
        <v>15510</v>
      </c>
      <c r="BR64">
        <v>3010</v>
      </c>
      <c r="BS64">
        <v>0</v>
      </c>
      <c r="BT64">
        <v>0</v>
      </c>
      <c r="BU64">
        <f>SUM(SimpleDashData84[[#This Row],[Male]:[Child]])</f>
        <v>3010</v>
      </c>
      <c r="BW64">
        <f>'[1]Expense Master June-26'!W69</f>
        <v>150.18181818181819</v>
      </c>
      <c r="BZ64">
        <f>SimpleDashData84[[#This Row],[Total Expense]]/SimpleDashData84[[#This Row],[Total Patients]]</f>
        <v>5.1528239202657806</v>
      </c>
      <c r="CA64">
        <v>0</v>
      </c>
    </row>
    <row r="65" spans="1:79" x14ac:dyDescent="0.3">
      <c r="A65">
        <v>54</v>
      </c>
      <c r="B65" t="str">
        <v>QCNM Sahiwal, Central Jail</v>
      </c>
      <c r="C65" t="str">
        <v>Trust Act</v>
      </c>
      <c r="D65" t="str">
        <v>South &amp; North Punjab Region</v>
      </c>
      <c r="E65" t="str">
        <v>Prison</v>
      </c>
      <c r="F65" s="2">
        <v>6600</v>
      </c>
      <c r="G65" s="2">
        <v>2170</v>
      </c>
      <c r="H65" s="13">
        <v>3.0414746543778803</v>
      </c>
      <c r="I65" s="13"/>
      <c r="BA65">
        <v>64</v>
      </c>
      <c r="BB65" s="27" t="s">
        <v>129</v>
      </c>
      <c r="BC65">
        <v>2010229</v>
      </c>
      <c r="BD65" t="s">
        <v>33</v>
      </c>
      <c r="BE65" t="s">
        <v>100</v>
      </c>
      <c r="BF65" t="s">
        <v>64</v>
      </c>
      <c r="BG65">
        <v>0</v>
      </c>
      <c r="BH65">
        <v>3900</v>
      </c>
      <c r="BI65">
        <v>0</v>
      </c>
      <c r="BJ65">
        <v>15930</v>
      </c>
      <c r="BK65">
        <v>400</v>
      </c>
      <c r="BL65">
        <v>0</v>
      </c>
      <c r="BM65">
        <v>500</v>
      </c>
      <c r="BN65">
        <v>650</v>
      </c>
      <c r="BO65">
        <v>0</v>
      </c>
      <c r="BP65">
        <v>900</v>
      </c>
      <c r="BQ65">
        <f>SUM(SimpleDashData84[[#This Row],[Convayance]:[Misc]])</f>
        <v>22280</v>
      </c>
      <c r="BR65">
        <v>3633</v>
      </c>
      <c r="BS65">
        <v>0</v>
      </c>
      <c r="BT65">
        <v>0</v>
      </c>
      <c r="BU65">
        <f>SUM(SimpleDashData84[[#This Row],[Male]:[Child]])</f>
        <v>3633</v>
      </c>
      <c r="BW65">
        <f>'[1]Expense Master June-26'!W70</f>
        <v>218.54545454545453</v>
      </c>
      <c r="BZ65">
        <f>SimpleDashData84[[#This Row],[Total Expense]]/SimpleDashData84[[#This Row],[Total Patients]]</f>
        <v>6.1326727222680981</v>
      </c>
      <c r="CA65">
        <v>0</v>
      </c>
    </row>
    <row r="66" spans="1:79" x14ac:dyDescent="0.3">
      <c r="A66">
        <v>55</v>
      </c>
      <c r="B66" t="str">
        <v>QCNM Bhakkar, District Jail</v>
      </c>
      <c r="C66" t="str">
        <v>Trust Act</v>
      </c>
      <c r="D66" t="str">
        <v>South &amp; North Punjab Region</v>
      </c>
      <c r="E66" t="str">
        <v>Prison</v>
      </c>
      <c r="F66" s="2">
        <v>6590</v>
      </c>
      <c r="G66" s="2">
        <v>2120</v>
      </c>
      <c r="H66" s="13">
        <v>3.108490566037736</v>
      </c>
      <c r="I66" s="13"/>
      <c r="BA66">
        <v>65</v>
      </c>
      <c r="BB66" s="27" t="s">
        <v>130</v>
      </c>
      <c r="BC66">
        <v>2010256</v>
      </c>
      <c r="BD66" t="s">
        <v>33</v>
      </c>
      <c r="BE66" t="s">
        <v>100</v>
      </c>
      <c r="BF66" t="s">
        <v>64</v>
      </c>
      <c r="BG66">
        <v>0</v>
      </c>
      <c r="BH66">
        <v>950</v>
      </c>
      <c r="BI66">
        <v>0</v>
      </c>
      <c r="BJ66">
        <v>1650</v>
      </c>
      <c r="BK66">
        <v>500</v>
      </c>
      <c r="BL66">
        <v>0</v>
      </c>
      <c r="BM66">
        <v>0</v>
      </c>
      <c r="BN66">
        <v>0</v>
      </c>
      <c r="BO66">
        <v>1050</v>
      </c>
      <c r="BP66">
        <v>0</v>
      </c>
      <c r="BQ66">
        <f>SUM(SimpleDashData84[[#This Row],[Convayance]:[Misc]])</f>
        <v>4150</v>
      </c>
      <c r="BR66">
        <v>2900</v>
      </c>
      <c r="BS66">
        <v>0</v>
      </c>
      <c r="BT66">
        <v>0</v>
      </c>
      <c r="BU66">
        <f>SUM(SimpleDashData84[[#This Row],[Male]:[Child]])</f>
        <v>2900</v>
      </c>
      <c r="BW66">
        <f>'[1]Expense Master June-26'!W71</f>
        <v>0</v>
      </c>
      <c r="BZ66">
        <f>SimpleDashData84[[#This Row],[Total Expense]]/SimpleDashData84[[#This Row],[Total Patients]]</f>
        <v>1.4310344827586208</v>
      </c>
      <c r="CA66">
        <v>0</v>
      </c>
    </row>
    <row r="67" spans="1:79" x14ac:dyDescent="0.3">
      <c r="A67">
        <v>56</v>
      </c>
      <c r="B67" t="str">
        <v>QCNM Muzaffargarh, District Jail</v>
      </c>
      <c r="C67" t="str">
        <v>Trust Act</v>
      </c>
      <c r="D67" t="str">
        <v>South &amp; North Punjab Region</v>
      </c>
      <c r="E67" t="str">
        <v>Prison</v>
      </c>
      <c r="F67" s="2">
        <v>6510</v>
      </c>
      <c r="G67" s="2">
        <v>1947</v>
      </c>
      <c r="H67" s="13">
        <v>3.3436055469953776</v>
      </c>
      <c r="I67" s="13"/>
      <c r="BA67">
        <v>66</v>
      </c>
      <c r="BB67" s="27" t="s">
        <v>131</v>
      </c>
      <c r="BD67" t="s">
        <v>33</v>
      </c>
      <c r="BE67" t="s">
        <v>100</v>
      </c>
      <c r="BF67" t="s">
        <v>64</v>
      </c>
      <c r="BG67">
        <v>4800</v>
      </c>
      <c r="BH67">
        <v>0</v>
      </c>
      <c r="BI67">
        <v>0</v>
      </c>
      <c r="BJ67">
        <v>0</v>
      </c>
      <c r="BK67">
        <v>0</v>
      </c>
      <c r="BL67">
        <v>300</v>
      </c>
      <c r="BM67">
        <v>0</v>
      </c>
      <c r="BN67">
        <v>0</v>
      </c>
      <c r="BO67">
        <v>0</v>
      </c>
      <c r="BP67">
        <v>0</v>
      </c>
      <c r="BQ67">
        <f>SUM(SimpleDashData84[[#This Row],[Convayance]:[Misc]])</f>
        <v>5100</v>
      </c>
      <c r="BR67">
        <v>0</v>
      </c>
      <c r="BS67">
        <v>72</v>
      </c>
      <c r="BT67">
        <v>4</v>
      </c>
      <c r="BU67">
        <f>SUM(SimpleDashData84[[#This Row],[Male]:[Child]])</f>
        <v>76</v>
      </c>
      <c r="BW67">
        <f>'[1]Expense Master June-26'!W72</f>
        <v>5.6363636363636367</v>
      </c>
      <c r="BZ67">
        <f>SimpleDashData84[[#This Row],[Total Expense]]/SimpleDashData84[[#This Row],[Total Patients]]</f>
        <v>67.10526315789474</v>
      </c>
      <c r="CA67">
        <v>0</v>
      </c>
    </row>
    <row r="68" spans="1:79" x14ac:dyDescent="0.3">
      <c r="A68">
        <v>57</v>
      </c>
      <c r="B68" t="str">
        <v xml:space="preserve">QCNM QCNM Lums </v>
      </c>
      <c r="C68" t="str">
        <v>Trust Act</v>
      </c>
      <c r="D68" t="str">
        <v>Central Punjab Region</v>
      </c>
      <c r="E68" t="str">
        <v>Public</v>
      </c>
      <c r="F68" s="2">
        <v>6427</v>
      </c>
      <c r="G68" s="2">
        <v>182</v>
      </c>
      <c r="H68" s="13">
        <v>35.31318681318681</v>
      </c>
      <c r="I68" s="13"/>
      <c r="BA68">
        <v>67</v>
      </c>
      <c r="BB68" s="27" t="s">
        <v>132</v>
      </c>
      <c r="BD68" t="s">
        <v>33</v>
      </c>
      <c r="BE68" t="s">
        <v>100</v>
      </c>
      <c r="BF68" t="s">
        <v>64</v>
      </c>
      <c r="BG68">
        <v>1615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f>SUM(SimpleDashData84[[#This Row],[Convayance]:[Misc]])</f>
        <v>1615</v>
      </c>
      <c r="BR68">
        <v>0</v>
      </c>
      <c r="BS68">
        <v>47</v>
      </c>
      <c r="BT68">
        <v>7</v>
      </c>
      <c r="BU68">
        <f>SUM(SimpleDashData84[[#This Row],[Male]:[Child]])</f>
        <v>54</v>
      </c>
      <c r="BW68">
        <f>'[1]Expense Master June-26'!W73</f>
        <v>4.6818181818181817</v>
      </c>
      <c r="BZ68">
        <f>SimpleDashData84[[#This Row],[Total Expense]]/SimpleDashData84[[#This Row],[Total Patients]]</f>
        <v>29.907407407407408</v>
      </c>
      <c r="CA68">
        <v>0</v>
      </c>
    </row>
    <row r="69" spans="1:79" x14ac:dyDescent="0.3">
      <c r="A69">
        <v>58</v>
      </c>
      <c r="B69" t="str">
        <v>QCNM Swabi, Sub Jail</v>
      </c>
      <c r="C69" t="str">
        <v>Trust Act</v>
      </c>
      <c r="D69" t="str">
        <v>Capital Region</v>
      </c>
      <c r="E69" t="str">
        <v>Prison</v>
      </c>
      <c r="F69" s="2">
        <v>5960</v>
      </c>
      <c r="G69" s="2">
        <v>1114</v>
      </c>
      <c r="H69" s="13">
        <v>5.3500897666068221</v>
      </c>
      <c r="I69" s="13"/>
      <c r="BA69">
        <v>68</v>
      </c>
      <c r="BB69" s="12" t="s">
        <v>133</v>
      </c>
      <c r="BC69">
        <v>2010245</v>
      </c>
      <c r="BD69" t="s">
        <v>33</v>
      </c>
      <c r="BE69" t="s">
        <v>100</v>
      </c>
      <c r="BF69" t="s">
        <v>64</v>
      </c>
      <c r="BG69">
        <v>0</v>
      </c>
      <c r="BH69">
        <v>0</v>
      </c>
      <c r="BI69">
        <v>0</v>
      </c>
      <c r="BJ69">
        <v>13950</v>
      </c>
      <c r="BK69">
        <v>0</v>
      </c>
      <c r="BL69">
        <v>1240</v>
      </c>
      <c r="BM69">
        <v>0</v>
      </c>
      <c r="BN69">
        <v>0</v>
      </c>
      <c r="BO69">
        <v>0</v>
      </c>
      <c r="BP69">
        <v>1000</v>
      </c>
      <c r="BQ69">
        <f>SUM(SimpleDashData84[[#This Row],[Convayance]:[Misc]])</f>
        <v>16190</v>
      </c>
      <c r="BR69">
        <v>2883</v>
      </c>
      <c r="BS69">
        <v>0</v>
      </c>
      <c r="BT69">
        <v>0</v>
      </c>
      <c r="BU69">
        <f>SUM(SimpleDashData84[[#This Row],[Male]:[Child]])</f>
        <v>2883</v>
      </c>
      <c r="BW69">
        <f>'[1]Expense Master June-26'!W74</f>
        <v>150.04545454545453</v>
      </c>
      <c r="BZ69">
        <f>SimpleDashData84[[#This Row],[Total Expense]]/SimpleDashData84[[#This Row],[Total Patients]]</f>
        <v>5.6156781130766564</v>
      </c>
      <c r="CA69">
        <v>0</v>
      </c>
    </row>
    <row r="70" spans="1:79" x14ac:dyDescent="0.3">
      <c r="A70">
        <v>59</v>
      </c>
      <c r="B70" t="str">
        <v>QCNM The Islamia Uni of Bahawalpur</v>
      </c>
      <c r="C70" t="str">
        <v>Trust Act</v>
      </c>
      <c r="D70" t="str">
        <v>South &amp; North Punjab Region</v>
      </c>
      <c r="E70" t="str">
        <v>Public</v>
      </c>
      <c r="F70" s="2">
        <v>5940</v>
      </c>
      <c r="G70" s="2">
        <v>1470</v>
      </c>
      <c r="H70" s="13">
        <v>4.0408163265306118</v>
      </c>
      <c r="I70" s="13"/>
      <c r="BA70">
        <v>69</v>
      </c>
      <c r="BB70" s="12" t="s">
        <v>134</v>
      </c>
      <c r="BD70" t="s">
        <v>33</v>
      </c>
      <c r="BE70" t="s">
        <v>135</v>
      </c>
      <c r="BF70" t="s">
        <v>35</v>
      </c>
      <c r="BG70">
        <v>3000</v>
      </c>
      <c r="BH70">
        <v>0</v>
      </c>
      <c r="BI70">
        <v>1000</v>
      </c>
      <c r="BJ70">
        <v>0</v>
      </c>
      <c r="BK70">
        <v>0</v>
      </c>
      <c r="BL70">
        <v>750</v>
      </c>
      <c r="BM70">
        <v>0</v>
      </c>
      <c r="BN70">
        <v>0</v>
      </c>
      <c r="BO70">
        <v>0</v>
      </c>
      <c r="BP70">
        <v>0</v>
      </c>
      <c r="BQ70">
        <f>SUM(SimpleDashData84[[#This Row],[Convayance]:[Misc]])</f>
        <v>4750</v>
      </c>
      <c r="BR70">
        <v>459</v>
      </c>
      <c r="BS70">
        <v>522</v>
      </c>
      <c r="BT70">
        <v>269</v>
      </c>
      <c r="BU70">
        <f>SUM(SimpleDashData84[[#This Row],[Male]:[Child]])</f>
        <v>1250</v>
      </c>
      <c r="BW70">
        <f>'[1]Expense Master June-26'!W75</f>
        <v>66.63636363636364</v>
      </c>
      <c r="BZ70">
        <f>SimpleDashData84[[#This Row],[Total Expense]]/SimpleDashData84[[#This Row],[Total Patients]]</f>
        <v>3.8</v>
      </c>
      <c r="CA70">
        <v>0</v>
      </c>
    </row>
    <row r="71" spans="1:79" x14ac:dyDescent="0.3">
      <c r="A71">
        <v>60</v>
      </c>
      <c r="B71" t="str">
        <v>QCNM Nowshera, Sub Jail</v>
      </c>
      <c r="C71" t="str">
        <v>Trust Act</v>
      </c>
      <c r="D71" t="str">
        <v>Capital Region</v>
      </c>
      <c r="E71" t="str">
        <v>Prison</v>
      </c>
      <c r="F71" s="2">
        <v>5875</v>
      </c>
      <c r="G71" s="2">
        <v>1397</v>
      </c>
      <c r="H71" s="13">
        <v>4.2054402290622761</v>
      </c>
      <c r="I71" s="13"/>
      <c r="BA71">
        <v>70</v>
      </c>
      <c r="BB71" s="12" t="s">
        <v>136</v>
      </c>
      <c r="BD71" t="s">
        <v>33</v>
      </c>
      <c r="BE71" t="s">
        <v>135</v>
      </c>
      <c r="BF71" t="s">
        <v>35</v>
      </c>
      <c r="BG71">
        <v>0</v>
      </c>
      <c r="BH71">
        <v>26000</v>
      </c>
      <c r="BI71">
        <v>150</v>
      </c>
      <c r="BJ71">
        <v>4450</v>
      </c>
      <c r="BK71">
        <v>510</v>
      </c>
      <c r="BL71">
        <v>60</v>
      </c>
      <c r="BM71">
        <v>0</v>
      </c>
      <c r="BN71">
        <v>4350</v>
      </c>
      <c r="BO71">
        <v>0</v>
      </c>
      <c r="BP71">
        <v>1865</v>
      </c>
      <c r="BQ71">
        <f>SUM(SimpleDashData84[[#This Row],[Convayance]:[Misc]])</f>
        <v>37385</v>
      </c>
      <c r="BR71">
        <v>1175</v>
      </c>
      <c r="BS71">
        <v>867</v>
      </c>
      <c r="BT71">
        <v>241</v>
      </c>
      <c r="BU71">
        <f>SUM(SimpleDashData84[[#This Row],[Male]:[Child]])</f>
        <v>2283</v>
      </c>
      <c r="BW71">
        <f>'[1]Expense Master June-26'!W76</f>
        <v>112</v>
      </c>
      <c r="BZ71">
        <f>SimpleDashData84[[#This Row],[Total Expense]]/SimpleDashData84[[#This Row],[Total Patients]]</f>
        <v>16.375383267630312</v>
      </c>
      <c r="CA71">
        <v>0</v>
      </c>
    </row>
    <row r="72" spans="1:79" x14ac:dyDescent="0.3">
      <c r="A72">
        <v>61</v>
      </c>
      <c r="B72" t="str">
        <v>QCNM Kasur, District Jail</v>
      </c>
      <c r="C72" t="str">
        <v>Trust Act</v>
      </c>
      <c r="D72" t="str">
        <v>Central Punjab Region</v>
      </c>
      <c r="E72" t="str">
        <v>Prison</v>
      </c>
      <c r="F72" s="2">
        <v>5840</v>
      </c>
      <c r="G72" s="2">
        <v>2690</v>
      </c>
      <c r="H72" s="13">
        <v>2.1710037174721188</v>
      </c>
      <c r="I72" s="13"/>
      <c r="BA72">
        <v>71</v>
      </c>
      <c r="BB72" s="12" t="s">
        <v>137</v>
      </c>
      <c r="BD72" t="s">
        <v>33</v>
      </c>
      <c r="BE72" t="s">
        <v>135</v>
      </c>
      <c r="BF72" t="s">
        <v>35</v>
      </c>
      <c r="BG72">
        <v>1600</v>
      </c>
      <c r="BH72">
        <v>575</v>
      </c>
      <c r="BI72">
        <v>2050</v>
      </c>
      <c r="BJ72">
        <v>9460</v>
      </c>
      <c r="BK72">
        <v>560</v>
      </c>
      <c r="BL72">
        <v>0</v>
      </c>
      <c r="BM72">
        <v>0</v>
      </c>
      <c r="BN72">
        <v>170</v>
      </c>
      <c r="BO72">
        <v>10924</v>
      </c>
      <c r="BP72">
        <v>0</v>
      </c>
      <c r="BQ72">
        <f>SUM(SimpleDashData84[[#This Row],[Convayance]:[Misc]])</f>
        <v>25339</v>
      </c>
      <c r="BR72">
        <v>1128</v>
      </c>
      <c r="BS72">
        <v>919</v>
      </c>
      <c r="BT72">
        <v>336</v>
      </c>
      <c r="BU72">
        <f>SUM(SimpleDashData84[[#This Row],[Male]:[Child]])</f>
        <v>2383</v>
      </c>
      <c r="BW72">
        <f>'[1]Expense Master June-26'!W77</f>
        <v>115.90909090909091</v>
      </c>
      <c r="BZ72">
        <f>SimpleDashData84[[#This Row],[Total Expense]]/SimpleDashData84[[#This Row],[Total Patients]]</f>
        <v>10.633235417540915</v>
      </c>
      <c r="CA72">
        <v>0</v>
      </c>
    </row>
    <row r="73" spans="1:79" x14ac:dyDescent="0.3">
      <c r="A73">
        <v>62</v>
      </c>
      <c r="B73" t="str">
        <v>QCNM Jehlum, District Jail</v>
      </c>
      <c r="C73" t="str">
        <v>Trust Act</v>
      </c>
      <c r="D73" t="str">
        <v>South &amp; North Punjab Region</v>
      </c>
      <c r="E73" t="str">
        <v>Prison</v>
      </c>
      <c r="F73" s="2">
        <v>5705</v>
      </c>
      <c r="G73" s="2">
        <v>1582</v>
      </c>
      <c r="H73" s="13">
        <v>3.6061946902654869</v>
      </c>
      <c r="I73" s="13"/>
      <c r="BA73">
        <v>72</v>
      </c>
      <c r="BB73" s="12" t="s">
        <v>138</v>
      </c>
      <c r="BD73" t="s">
        <v>33</v>
      </c>
      <c r="BE73" t="s">
        <v>135</v>
      </c>
      <c r="BF73" t="s">
        <v>35</v>
      </c>
      <c r="BG73">
        <v>0</v>
      </c>
      <c r="BH73">
        <v>0</v>
      </c>
      <c r="BI73">
        <v>0</v>
      </c>
      <c r="BJ73">
        <v>6100</v>
      </c>
      <c r="BK73">
        <v>495</v>
      </c>
      <c r="BL73">
        <v>290</v>
      </c>
      <c r="BM73">
        <v>0</v>
      </c>
      <c r="BN73">
        <v>900</v>
      </c>
      <c r="BO73">
        <v>0</v>
      </c>
      <c r="BP73">
        <v>0</v>
      </c>
      <c r="BQ73">
        <f>SUM(SimpleDashData84[[#This Row],[Convayance]:[Misc]])</f>
        <v>7785</v>
      </c>
      <c r="BR73">
        <v>1295</v>
      </c>
      <c r="BS73">
        <v>533</v>
      </c>
      <c r="BT73">
        <v>372</v>
      </c>
      <c r="BU73">
        <f>SUM(SimpleDashData84[[#This Row],[Male]:[Child]])</f>
        <v>2200</v>
      </c>
      <c r="BW73">
        <f>'[1]Expense Master June-26'!W78</f>
        <v>114.22727272727273</v>
      </c>
      <c r="BZ73">
        <f>SimpleDashData84[[#This Row],[Total Expense]]/SimpleDashData84[[#This Row],[Total Patients]]</f>
        <v>3.5386363636363636</v>
      </c>
      <c r="CA73">
        <v>0</v>
      </c>
    </row>
    <row r="74" spans="1:79" x14ac:dyDescent="0.3">
      <c r="A74">
        <v>63</v>
      </c>
      <c r="B74" t="str">
        <v>QCNM High Security Prison Mianwali</v>
      </c>
      <c r="C74" t="str">
        <v>Trust Act</v>
      </c>
      <c r="D74" t="str">
        <v>South &amp; North Punjab Region</v>
      </c>
      <c r="E74" t="str">
        <v>Prison</v>
      </c>
      <c r="F74" s="2">
        <v>5415</v>
      </c>
      <c r="G74" s="2">
        <v>970</v>
      </c>
      <c r="H74" s="13">
        <v>5.5824742268041234</v>
      </c>
      <c r="I74" s="13"/>
      <c r="BA74">
        <v>73</v>
      </c>
      <c r="BB74" s="12" t="s">
        <v>139</v>
      </c>
      <c r="BD74" t="s">
        <v>33</v>
      </c>
      <c r="BE74" t="s">
        <v>135</v>
      </c>
      <c r="BF74" t="s">
        <v>35</v>
      </c>
      <c r="BG74">
        <v>0</v>
      </c>
      <c r="BH74">
        <v>0</v>
      </c>
      <c r="BI74">
        <v>1800</v>
      </c>
      <c r="BJ74">
        <v>1900</v>
      </c>
      <c r="BK74">
        <v>600</v>
      </c>
      <c r="BL74">
        <v>120</v>
      </c>
      <c r="BM74">
        <v>0</v>
      </c>
      <c r="BN74">
        <v>1030</v>
      </c>
      <c r="BO74">
        <v>1960</v>
      </c>
      <c r="BP74">
        <v>0</v>
      </c>
      <c r="BQ74">
        <f>SUM(SimpleDashData84[[#This Row],[Convayance]:[Misc]])</f>
        <v>7410</v>
      </c>
      <c r="BR74">
        <v>679</v>
      </c>
      <c r="BS74">
        <v>724</v>
      </c>
      <c r="BT74">
        <v>284</v>
      </c>
      <c r="BU74">
        <f>SUM(SimpleDashData84[[#This Row],[Male]:[Child]])</f>
        <v>1687</v>
      </c>
      <c r="BW74">
        <f>'[1]Expense Master June-26'!W79</f>
        <v>89.63636363636364</v>
      </c>
      <c r="BZ74">
        <f>SimpleDashData84[[#This Row],[Total Expense]]/SimpleDashData84[[#This Row],[Total Patients]]</f>
        <v>4.392412566686426</v>
      </c>
      <c r="CA74">
        <v>0</v>
      </c>
    </row>
    <row r="75" spans="1:79" x14ac:dyDescent="0.3">
      <c r="A75">
        <v>64</v>
      </c>
      <c r="B75" t="str">
        <v>QCNM Layyah, District Jail</v>
      </c>
      <c r="C75" t="str">
        <v>Trust Act</v>
      </c>
      <c r="D75" t="str">
        <v>South &amp; North Punjab Region</v>
      </c>
      <c r="E75" t="str">
        <v>Prison</v>
      </c>
      <c r="F75" s="2">
        <v>5350</v>
      </c>
      <c r="G75" s="2">
        <v>1949</v>
      </c>
      <c r="H75" s="13">
        <v>2.7449974345818369</v>
      </c>
      <c r="I75" s="13"/>
      <c r="BA75">
        <v>74</v>
      </c>
      <c r="BB75" s="12" t="s">
        <v>140</v>
      </c>
      <c r="BD75" t="s">
        <v>33</v>
      </c>
      <c r="BE75" t="s">
        <v>135</v>
      </c>
      <c r="BF75" t="s">
        <v>35</v>
      </c>
      <c r="BG75">
        <v>6000</v>
      </c>
      <c r="BH75">
        <v>1000</v>
      </c>
      <c r="BI75">
        <v>0</v>
      </c>
      <c r="BJ75">
        <v>0</v>
      </c>
      <c r="BK75">
        <v>510</v>
      </c>
      <c r="BL75">
        <v>0</v>
      </c>
      <c r="BM75">
        <v>0</v>
      </c>
      <c r="BN75">
        <v>0</v>
      </c>
      <c r="BO75">
        <v>1000</v>
      </c>
      <c r="BP75">
        <v>0</v>
      </c>
      <c r="BQ75">
        <f>SUM(SimpleDashData84[[#This Row],[Convayance]:[Misc]])</f>
        <v>8510</v>
      </c>
      <c r="BR75">
        <v>643</v>
      </c>
      <c r="BS75">
        <v>582</v>
      </c>
      <c r="BT75">
        <v>264</v>
      </c>
      <c r="BU75">
        <f>SUM(SimpleDashData84[[#This Row],[Male]:[Child]])</f>
        <v>1489</v>
      </c>
      <c r="BW75">
        <f>'[1]Expense Master June-26'!W80</f>
        <v>87.86363636363636</v>
      </c>
      <c r="BZ75">
        <f>SimpleDashData84[[#This Row],[Total Expense]]/SimpleDashData84[[#This Row],[Total Patients]]</f>
        <v>5.7152451309603762</v>
      </c>
      <c r="CA75">
        <v>0</v>
      </c>
    </row>
    <row r="76" spans="1:79" x14ac:dyDescent="0.3">
      <c r="A76">
        <v>65</v>
      </c>
      <c r="B76" t="str">
        <v>QCNM D.I Khan, Central Jail</v>
      </c>
      <c r="C76" t="str">
        <v>Trust Act</v>
      </c>
      <c r="D76" t="str">
        <v>Capital Region</v>
      </c>
      <c r="E76" t="str">
        <v>Prison</v>
      </c>
      <c r="F76" s="2">
        <v>5200</v>
      </c>
      <c r="G76" s="2">
        <v>1943</v>
      </c>
      <c r="H76" s="13">
        <v>2.6762738033968092</v>
      </c>
      <c r="I76" s="13"/>
      <c r="BA76">
        <v>75</v>
      </c>
      <c r="BB76" s="12" t="s">
        <v>141</v>
      </c>
      <c r="BD76" t="s">
        <v>33</v>
      </c>
      <c r="BE76" t="s">
        <v>135</v>
      </c>
      <c r="BF76" t="s">
        <v>35</v>
      </c>
      <c r="BG76">
        <v>500</v>
      </c>
      <c r="BH76">
        <v>0</v>
      </c>
      <c r="BI76">
        <v>600</v>
      </c>
      <c r="BJ76">
        <v>0</v>
      </c>
      <c r="BK76">
        <v>520</v>
      </c>
      <c r="BL76">
        <v>0</v>
      </c>
      <c r="BM76">
        <v>1000</v>
      </c>
      <c r="BN76">
        <v>1020</v>
      </c>
      <c r="BO76">
        <v>1000</v>
      </c>
      <c r="BP76">
        <v>1300</v>
      </c>
      <c r="BQ76">
        <f>SUM(SimpleDashData84[[#This Row],[Convayance]:[Misc]])</f>
        <v>5940</v>
      </c>
      <c r="BR76">
        <v>631</v>
      </c>
      <c r="BS76">
        <v>565</v>
      </c>
      <c r="BT76">
        <v>274</v>
      </c>
      <c r="BU76">
        <f>SUM(SimpleDashData84[[#This Row],[Male]:[Child]])</f>
        <v>1470</v>
      </c>
      <c r="BW76">
        <f>'[1]Expense Master June-26'!W81</f>
        <v>107.31818181818181</v>
      </c>
      <c r="BZ76">
        <f>SimpleDashData84[[#This Row],[Total Expense]]/SimpleDashData84[[#This Row],[Total Patients]]</f>
        <v>4.0408163265306118</v>
      </c>
      <c r="CA76">
        <v>0</v>
      </c>
    </row>
    <row r="77" spans="1:79" x14ac:dyDescent="0.3">
      <c r="A77">
        <v>66</v>
      </c>
      <c r="B77" t="str">
        <v>QCNM Mansehra, District Jail</v>
      </c>
      <c r="C77" t="str">
        <v>Trust Act</v>
      </c>
      <c r="D77" t="str">
        <v>Capital Region</v>
      </c>
      <c r="E77" t="str">
        <v>Prison</v>
      </c>
      <c r="F77" s="2">
        <v>5200</v>
      </c>
      <c r="G77" s="2">
        <v>1283</v>
      </c>
      <c r="H77" s="13">
        <v>4.0530007794232272</v>
      </c>
      <c r="I77" s="13"/>
      <c r="BA77">
        <v>76</v>
      </c>
      <c r="BB77" s="12" t="s">
        <v>142</v>
      </c>
      <c r="BD77" t="s">
        <v>33</v>
      </c>
      <c r="BE77" t="s">
        <v>135</v>
      </c>
      <c r="BF77" t="s">
        <v>64</v>
      </c>
      <c r="BG77">
        <v>0</v>
      </c>
      <c r="BH77">
        <v>0</v>
      </c>
      <c r="BI77">
        <v>0</v>
      </c>
      <c r="BJ77">
        <v>5740</v>
      </c>
      <c r="BK77">
        <v>620</v>
      </c>
      <c r="BL77">
        <v>810</v>
      </c>
      <c r="BM77">
        <v>0</v>
      </c>
      <c r="BN77">
        <v>0</v>
      </c>
      <c r="BO77">
        <v>0</v>
      </c>
      <c r="BP77">
        <v>0</v>
      </c>
      <c r="BQ77">
        <f>SUM(SimpleDashData84[[#This Row],[Convayance]:[Misc]])</f>
        <v>7170</v>
      </c>
      <c r="BR77">
        <v>2569</v>
      </c>
      <c r="BS77">
        <v>0</v>
      </c>
      <c r="BT77">
        <v>0</v>
      </c>
      <c r="BU77">
        <f>SUM(SimpleDashData84[[#This Row],[Male]:[Child]])</f>
        <v>2569</v>
      </c>
      <c r="BW77">
        <f>'[1]Expense Master June-26'!W82</f>
        <v>125.68181818181819</v>
      </c>
      <c r="BZ77">
        <f>SimpleDashData84[[#This Row],[Total Expense]]/SimpleDashData84[[#This Row],[Total Patients]]</f>
        <v>2.7909692487349163</v>
      </c>
      <c r="CA77">
        <v>0</v>
      </c>
    </row>
    <row r="78" spans="1:79" x14ac:dyDescent="0.3">
      <c r="A78">
        <v>67</v>
      </c>
      <c r="B78" t="str">
        <v>QCNM Lahore, Women Central Jail</v>
      </c>
      <c r="C78" t="str">
        <v>Trust Act</v>
      </c>
      <c r="D78" t="str">
        <v>Central Punjab Region</v>
      </c>
      <c r="E78" t="str">
        <v>Prison</v>
      </c>
      <c r="F78" s="2">
        <v>5100</v>
      </c>
      <c r="G78" s="2">
        <v>76</v>
      </c>
      <c r="H78" s="13">
        <v>67.10526315789474</v>
      </c>
      <c r="I78" s="13"/>
      <c r="BA78">
        <v>77</v>
      </c>
      <c r="BB78" s="12" t="s">
        <v>143</v>
      </c>
      <c r="BD78" t="s">
        <v>33</v>
      </c>
      <c r="BE78" t="s">
        <v>135</v>
      </c>
      <c r="BF78" t="s">
        <v>64</v>
      </c>
      <c r="BG78">
        <v>0</v>
      </c>
      <c r="BH78">
        <v>0</v>
      </c>
      <c r="BI78">
        <v>0</v>
      </c>
      <c r="BJ78">
        <v>4260</v>
      </c>
      <c r="BK78">
        <v>105</v>
      </c>
      <c r="BL78">
        <v>450</v>
      </c>
      <c r="BM78">
        <v>0</v>
      </c>
      <c r="BN78">
        <v>540</v>
      </c>
      <c r="BO78">
        <v>0</v>
      </c>
      <c r="BP78">
        <v>350</v>
      </c>
      <c r="BQ78">
        <f>SUM(SimpleDashData84[[#This Row],[Convayance]:[Misc]])</f>
        <v>5705</v>
      </c>
      <c r="BR78">
        <v>1324</v>
      </c>
      <c r="BS78">
        <v>95</v>
      </c>
      <c r="BT78">
        <v>163</v>
      </c>
      <c r="BU78">
        <f>SUM(SimpleDashData84[[#This Row],[Male]:[Child]])</f>
        <v>1582</v>
      </c>
      <c r="BW78">
        <f>'[1]Expense Master June-26'!W83</f>
        <v>77.5</v>
      </c>
      <c r="BZ78">
        <f>SimpleDashData84[[#This Row],[Total Expense]]/SimpleDashData84[[#This Row],[Total Patients]]</f>
        <v>3.6061946902654869</v>
      </c>
      <c r="CA78">
        <v>0</v>
      </c>
    </row>
    <row r="79" spans="1:79" x14ac:dyDescent="0.3">
      <c r="A79">
        <v>68</v>
      </c>
      <c r="B79" t="str">
        <v>QCNM Central Jail Zohb</v>
      </c>
      <c r="C79" t="str">
        <v>U/S 42</v>
      </c>
      <c r="D79" t="str">
        <v>Sindh, Balochistan &amp; AJK Region</v>
      </c>
      <c r="E79" t="str">
        <v>Prison</v>
      </c>
      <c r="F79" s="2">
        <v>5030</v>
      </c>
      <c r="G79" s="2">
        <v>2329</v>
      </c>
      <c r="H79" s="13">
        <v>2.1597252039501931</v>
      </c>
      <c r="I79" s="13"/>
      <c r="BA79">
        <v>78</v>
      </c>
      <c r="BB79" s="12" t="s">
        <v>144</v>
      </c>
      <c r="BD79" t="s">
        <v>33</v>
      </c>
      <c r="BE79" t="s">
        <v>135</v>
      </c>
      <c r="BF79" t="s">
        <v>64</v>
      </c>
      <c r="BG79">
        <v>0</v>
      </c>
      <c r="BH79">
        <v>1000</v>
      </c>
      <c r="BI79">
        <v>0</v>
      </c>
      <c r="BJ79">
        <v>9950</v>
      </c>
      <c r="BK79">
        <v>400</v>
      </c>
      <c r="BL79">
        <v>250</v>
      </c>
      <c r="BM79">
        <v>0</v>
      </c>
      <c r="BN79">
        <v>0</v>
      </c>
      <c r="BO79">
        <v>0</v>
      </c>
      <c r="BP79">
        <v>0</v>
      </c>
      <c r="BQ79">
        <f>SUM(SimpleDashData84[[#This Row],[Convayance]:[Misc]])</f>
        <v>11600</v>
      </c>
      <c r="BR79">
        <v>3208</v>
      </c>
      <c r="BS79">
        <v>0</v>
      </c>
      <c r="BT79">
        <v>0</v>
      </c>
      <c r="BU79">
        <f>SUM(SimpleDashData84[[#This Row],[Male]:[Child]])</f>
        <v>3208</v>
      </c>
      <c r="BW79">
        <f>'[1]Expense Master June-26'!W84</f>
        <v>167.59090909090909</v>
      </c>
      <c r="BZ79">
        <f>SimpleDashData84[[#This Row],[Total Expense]]/SimpleDashData84[[#This Row],[Total Patients]]</f>
        <v>3.6159600997506236</v>
      </c>
      <c r="CA79">
        <v>0</v>
      </c>
    </row>
    <row r="80" spans="1:79" x14ac:dyDescent="0.3">
      <c r="A80">
        <v>69</v>
      </c>
      <c r="B80" t="str">
        <v>QCNM Lasbela (LUWAMS) University</v>
      </c>
      <c r="C80" t="str">
        <v>Trust Act</v>
      </c>
      <c r="D80" t="str">
        <v>Sindh, Balochistan &amp; AJK Region</v>
      </c>
      <c r="E80" t="str">
        <v>Public</v>
      </c>
      <c r="F80" s="2">
        <v>4796</v>
      </c>
      <c r="G80" s="2">
        <v>1478</v>
      </c>
      <c r="H80" s="13">
        <v>3.2449255751014885</v>
      </c>
      <c r="I80" s="13"/>
      <c r="BA80">
        <v>79</v>
      </c>
      <c r="BB80" s="12" t="s">
        <v>145</v>
      </c>
      <c r="BD80" t="s">
        <v>33</v>
      </c>
      <c r="BE80" t="s">
        <v>135</v>
      </c>
      <c r="BF80" t="s">
        <v>64</v>
      </c>
      <c r="BG80">
        <v>0</v>
      </c>
      <c r="BH80">
        <v>0</v>
      </c>
      <c r="BI80">
        <v>0</v>
      </c>
      <c r="BJ80">
        <v>630</v>
      </c>
      <c r="BK80">
        <v>0</v>
      </c>
      <c r="BL80">
        <v>1080</v>
      </c>
      <c r="BM80">
        <v>0</v>
      </c>
      <c r="BN80">
        <v>200</v>
      </c>
      <c r="BO80">
        <v>0</v>
      </c>
      <c r="BP80">
        <v>0</v>
      </c>
      <c r="BQ80">
        <f>SUM(SimpleDashData84[[#This Row],[Convayance]:[Misc]])</f>
        <v>1910</v>
      </c>
      <c r="BR80">
        <v>828</v>
      </c>
      <c r="BS80">
        <v>0</v>
      </c>
      <c r="BT80">
        <v>0</v>
      </c>
      <c r="BU80">
        <f>SUM(SimpleDashData84[[#This Row],[Male]:[Child]])</f>
        <v>828</v>
      </c>
      <c r="BW80">
        <f>'[1]Expense Master June-26'!W85</f>
        <v>39.18181818181818</v>
      </c>
      <c r="BZ80">
        <f>SimpleDashData84[[#This Row],[Total Expense]]/SimpleDashData84[[#This Row],[Total Patients]]</f>
        <v>2.3067632850241546</v>
      </c>
      <c r="CA80">
        <v>0</v>
      </c>
    </row>
    <row r="81" spans="1:79" x14ac:dyDescent="0.3">
      <c r="A81">
        <v>70</v>
      </c>
      <c r="B81" t="str">
        <v>QCNM Burhan, Doke Mughalan</v>
      </c>
      <c r="C81" t="str">
        <v>Trust Act</v>
      </c>
      <c r="D81" t="str">
        <v>South &amp; North Punjab Region</v>
      </c>
      <c r="E81" t="str">
        <v>Public</v>
      </c>
      <c r="F81" s="2">
        <v>4750</v>
      </c>
      <c r="G81" s="2">
        <v>1250</v>
      </c>
      <c r="H81" s="13">
        <v>3.8</v>
      </c>
      <c r="I81" s="13"/>
      <c r="BA81">
        <v>80</v>
      </c>
      <c r="BB81" s="12" t="s">
        <v>146</v>
      </c>
      <c r="BD81" t="s">
        <v>33</v>
      </c>
      <c r="BE81" t="s">
        <v>135</v>
      </c>
      <c r="BF81" t="s">
        <v>64</v>
      </c>
      <c r="BG81">
        <v>0</v>
      </c>
      <c r="BH81">
        <v>0</v>
      </c>
      <c r="BI81">
        <v>0</v>
      </c>
      <c r="BJ81">
        <v>9520</v>
      </c>
      <c r="BK81">
        <v>610</v>
      </c>
      <c r="BL81">
        <v>340</v>
      </c>
      <c r="BM81">
        <v>0</v>
      </c>
      <c r="BN81">
        <v>0</v>
      </c>
      <c r="BO81">
        <v>0</v>
      </c>
      <c r="BP81">
        <v>0</v>
      </c>
      <c r="BQ81">
        <f>SUM(SimpleDashData84[[#This Row],[Convayance]:[Misc]])</f>
        <v>10470</v>
      </c>
      <c r="BR81">
        <v>2017</v>
      </c>
      <c r="BS81">
        <v>0</v>
      </c>
      <c r="BT81">
        <v>0</v>
      </c>
      <c r="BU81">
        <f>SUM(SimpleDashData84[[#This Row],[Male]:[Child]])</f>
        <v>2017</v>
      </c>
      <c r="BW81">
        <f>'[1]Expense Master June-26'!W86</f>
        <v>125.31818181818181</v>
      </c>
      <c r="BZ81">
        <f>SimpleDashData84[[#This Row],[Total Expense]]/SimpleDashData84[[#This Row],[Total Patients]]</f>
        <v>5.1908775409023304</v>
      </c>
      <c r="CA81">
        <v>0</v>
      </c>
    </row>
    <row r="82" spans="1:79" x14ac:dyDescent="0.3">
      <c r="A82">
        <v>71</v>
      </c>
      <c r="B82" t="str">
        <v>QCNM Central Jail Mach</v>
      </c>
      <c r="C82" t="str">
        <v>U/S 42</v>
      </c>
      <c r="D82" t="str">
        <v>Sindh, Balochistan &amp; AJK Region</v>
      </c>
      <c r="E82" t="str">
        <v>Prison</v>
      </c>
      <c r="F82" s="2">
        <v>4650</v>
      </c>
      <c r="G82" s="2">
        <v>1635</v>
      </c>
      <c r="H82" s="13">
        <v>2.8440366972477062</v>
      </c>
      <c r="I82" s="13"/>
      <c r="BA82">
        <v>81</v>
      </c>
      <c r="BB82" s="12" t="s">
        <v>147</v>
      </c>
      <c r="BD82" t="s">
        <v>33</v>
      </c>
      <c r="BE82" t="s">
        <v>135</v>
      </c>
      <c r="BF82" t="s">
        <v>64</v>
      </c>
      <c r="BG82">
        <v>0</v>
      </c>
      <c r="BH82">
        <v>990</v>
      </c>
      <c r="BI82">
        <v>0</v>
      </c>
      <c r="BJ82">
        <v>1780</v>
      </c>
      <c r="BK82">
        <v>495</v>
      </c>
      <c r="BL82">
        <v>490</v>
      </c>
      <c r="BM82">
        <v>0</v>
      </c>
      <c r="BN82">
        <v>0</v>
      </c>
      <c r="BO82">
        <v>0</v>
      </c>
      <c r="BP82">
        <v>0</v>
      </c>
      <c r="BQ82">
        <f>SUM(SimpleDashData84[[#This Row],[Convayance]:[Misc]])</f>
        <v>3755</v>
      </c>
      <c r="BR82">
        <v>2997</v>
      </c>
      <c r="BS82">
        <v>0</v>
      </c>
      <c r="BT82">
        <v>0</v>
      </c>
      <c r="BU82">
        <f>SUM(SimpleDashData84[[#This Row],[Male]:[Child]])</f>
        <v>2997</v>
      </c>
      <c r="BW82">
        <f>'[1]Expense Master June-26'!W87</f>
        <v>132.90909090909091</v>
      </c>
      <c r="BZ82">
        <f>SimpleDashData84[[#This Row],[Total Expense]]/SimpleDashData84[[#This Row],[Total Patients]]</f>
        <v>1.2529195862529197</v>
      </c>
      <c r="CA82">
        <v>0</v>
      </c>
    </row>
    <row r="83" spans="1:79" x14ac:dyDescent="0.3">
      <c r="A83">
        <v>72</v>
      </c>
      <c r="B83" t="str">
        <v>QCNM Buner Central Prison</v>
      </c>
      <c r="C83" t="str">
        <v>Trust Act</v>
      </c>
      <c r="D83" t="str">
        <v>Capital Region</v>
      </c>
      <c r="E83" t="str">
        <v>Prison</v>
      </c>
      <c r="F83" s="2">
        <v>4500</v>
      </c>
      <c r="G83" s="2">
        <v>1267</v>
      </c>
      <c r="H83" s="13">
        <v>3.5516969218626677</v>
      </c>
      <c r="I83" s="13"/>
      <c r="BA83">
        <v>82</v>
      </c>
      <c r="BB83" s="12" t="s">
        <v>148</v>
      </c>
      <c r="BD83" t="s">
        <v>33</v>
      </c>
      <c r="BE83" t="s">
        <v>135</v>
      </c>
      <c r="BF83" t="s">
        <v>64</v>
      </c>
      <c r="BG83">
        <v>0</v>
      </c>
      <c r="BH83">
        <v>0</v>
      </c>
      <c r="BI83">
        <v>0</v>
      </c>
      <c r="BJ83">
        <v>11200</v>
      </c>
      <c r="BK83">
        <v>510</v>
      </c>
      <c r="BL83">
        <v>310</v>
      </c>
      <c r="BM83">
        <v>0</v>
      </c>
      <c r="BN83">
        <v>0</v>
      </c>
      <c r="BO83">
        <v>1000</v>
      </c>
      <c r="BP83">
        <v>0</v>
      </c>
      <c r="BQ83">
        <f>SUM(SimpleDashData84[[#This Row],[Convayance]:[Misc]])</f>
        <v>13020</v>
      </c>
      <c r="BR83">
        <v>2277</v>
      </c>
      <c r="BS83">
        <v>0</v>
      </c>
      <c r="BT83">
        <v>0</v>
      </c>
      <c r="BU83">
        <f>SUM(SimpleDashData84[[#This Row],[Male]:[Child]])</f>
        <v>2277</v>
      </c>
      <c r="BW83">
        <f>'[1]Expense Master June-26'!W88</f>
        <v>138.27272727272728</v>
      </c>
      <c r="BZ83">
        <f>SimpleDashData84[[#This Row],[Total Expense]]/SimpleDashData84[[#This Row],[Total Patients]]</f>
        <v>5.7180500658761533</v>
      </c>
      <c r="CA83">
        <v>0</v>
      </c>
    </row>
    <row r="84" spans="1:79" x14ac:dyDescent="0.3">
      <c r="A84">
        <v>73</v>
      </c>
      <c r="B84" t="str">
        <v>QCNM Mirpur Central Jail</v>
      </c>
      <c r="C84" t="str">
        <v>Society Act</v>
      </c>
      <c r="D84" t="str">
        <v>Sindh, Balochistan &amp; AJK Region</v>
      </c>
      <c r="E84" t="str">
        <v>Prison</v>
      </c>
      <c r="F84" s="2">
        <v>4490</v>
      </c>
      <c r="G84" s="2">
        <v>1260</v>
      </c>
      <c r="H84" s="13">
        <v>3.5634920634920637</v>
      </c>
      <c r="I84" s="13"/>
      <c r="BA84">
        <v>83</v>
      </c>
      <c r="BB84" s="12" t="s">
        <v>149</v>
      </c>
      <c r="BD84" t="s">
        <v>33</v>
      </c>
      <c r="BE84" t="s">
        <v>135</v>
      </c>
      <c r="BF84" t="s">
        <v>64</v>
      </c>
      <c r="BG84">
        <v>0</v>
      </c>
      <c r="BH84">
        <v>0</v>
      </c>
      <c r="BI84">
        <v>500</v>
      </c>
      <c r="BJ84">
        <v>6970</v>
      </c>
      <c r="BK84">
        <v>550</v>
      </c>
      <c r="BL84">
        <v>1470</v>
      </c>
      <c r="BM84">
        <v>0</v>
      </c>
      <c r="BN84">
        <v>780</v>
      </c>
      <c r="BO84">
        <v>0</v>
      </c>
      <c r="BP84">
        <v>0</v>
      </c>
      <c r="BQ84">
        <f>SUM(SimpleDashData84[[#This Row],[Convayance]:[Misc]])</f>
        <v>10270</v>
      </c>
      <c r="BR84">
        <v>1873</v>
      </c>
      <c r="BS84">
        <v>0</v>
      </c>
      <c r="BT84">
        <v>0</v>
      </c>
      <c r="BU84">
        <f>SUM(SimpleDashData84[[#This Row],[Male]:[Child]])</f>
        <v>1873</v>
      </c>
      <c r="BW84">
        <f>'[1]Expense Master June-26'!W89</f>
        <v>78.727272727272734</v>
      </c>
      <c r="BZ84">
        <f>SimpleDashData84[[#This Row],[Total Expense]]/SimpleDashData84[[#This Row],[Total Patients]]</f>
        <v>5.4831820608649222</v>
      </c>
      <c r="CA84">
        <v>0</v>
      </c>
    </row>
    <row r="85" spans="1:79" x14ac:dyDescent="0.3">
      <c r="A85">
        <v>74</v>
      </c>
      <c r="B85" t="str">
        <v>QCNM Multan, Central Jail</v>
      </c>
      <c r="C85" t="str">
        <v>Trust Act</v>
      </c>
      <c r="D85" t="str">
        <v>South &amp; North Punjab Region</v>
      </c>
      <c r="E85" t="str">
        <v>Prison</v>
      </c>
      <c r="F85" s="2">
        <v>4370</v>
      </c>
      <c r="G85" s="2">
        <v>1967</v>
      </c>
      <c r="H85" s="13">
        <v>2.2216573462125062</v>
      </c>
      <c r="I85" s="13"/>
      <c r="BA85">
        <v>84</v>
      </c>
      <c r="BB85" s="12" t="s">
        <v>150</v>
      </c>
      <c r="BD85" t="s">
        <v>33</v>
      </c>
      <c r="BE85" t="s">
        <v>135</v>
      </c>
      <c r="BF85" t="s">
        <v>64</v>
      </c>
      <c r="BG85">
        <v>0</v>
      </c>
      <c r="BH85">
        <v>21500</v>
      </c>
      <c r="BI85">
        <v>0</v>
      </c>
      <c r="BJ85">
        <v>4550</v>
      </c>
      <c r="BK85">
        <v>630</v>
      </c>
      <c r="BL85">
        <v>920</v>
      </c>
      <c r="BM85">
        <v>0</v>
      </c>
      <c r="BN85">
        <v>450</v>
      </c>
      <c r="BO85">
        <v>0</v>
      </c>
      <c r="BP85">
        <v>0</v>
      </c>
      <c r="BQ85">
        <f>SUM(SimpleDashData84[[#This Row],[Convayance]:[Misc]])</f>
        <v>28050</v>
      </c>
      <c r="BR85">
        <v>3309</v>
      </c>
      <c r="BS85">
        <v>0</v>
      </c>
      <c r="BT85">
        <v>0</v>
      </c>
      <c r="BU85">
        <f>SUM(SimpleDashData84[[#This Row],[Male]:[Child]])</f>
        <v>3309</v>
      </c>
      <c r="BW85">
        <f>'[1]Expense Master June-26'!W90</f>
        <v>142.54545454545453</v>
      </c>
      <c r="BZ85">
        <f>SimpleDashData84[[#This Row],[Total Expense]]/SimpleDashData84[[#This Row],[Total Patients]]</f>
        <v>8.4768812330009062</v>
      </c>
      <c r="CA85">
        <v>0</v>
      </c>
    </row>
    <row r="86" spans="1:79" x14ac:dyDescent="0.3">
      <c r="A86">
        <v>75</v>
      </c>
      <c r="B86" t="str">
        <v>QCNM D.G Khan, Central Jail</v>
      </c>
      <c r="C86" t="str">
        <v>Trust Act</v>
      </c>
      <c r="D86" t="str">
        <v>South &amp; North Punjab Region</v>
      </c>
      <c r="E86" t="str">
        <v>Prison</v>
      </c>
      <c r="F86" s="2">
        <v>4300</v>
      </c>
      <c r="G86" s="2">
        <v>2331</v>
      </c>
      <c r="H86" s="13">
        <v>1.8447018447018446</v>
      </c>
      <c r="I86" s="13"/>
      <c r="BA86">
        <v>85</v>
      </c>
      <c r="BB86" s="12" t="s">
        <v>151</v>
      </c>
      <c r="BD86" t="s">
        <v>33</v>
      </c>
      <c r="BE86" t="s">
        <v>135</v>
      </c>
      <c r="BF86" t="s">
        <v>64</v>
      </c>
      <c r="BG86">
        <v>0</v>
      </c>
      <c r="BH86">
        <v>1450</v>
      </c>
      <c r="BI86">
        <v>0</v>
      </c>
      <c r="BJ86">
        <v>1780</v>
      </c>
      <c r="BK86">
        <v>0</v>
      </c>
      <c r="BL86">
        <v>2185</v>
      </c>
      <c r="BM86">
        <v>0</v>
      </c>
      <c r="BN86">
        <v>0</v>
      </c>
      <c r="BO86">
        <v>0</v>
      </c>
      <c r="BP86">
        <v>0</v>
      </c>
      <c r="BQ86">
        <f>SUM(SimpleDashData84[[#This Row],[Convayance]:[Misc]])</f>
        <v>5415</v>
      </c>
      <c r="BR86">
        <v>970</v>
      </c>
      <c r="BS86">
        <v>0</v>
      </c>
      <c r="BT86">
        <v>0</v>
      </c>
      <c r="BU86">
        <f>SUM(SimpleDashData84[[#This Row],[Male]:[Child]])</f>
        <v>970</v>
      </c>
      <c r="BW86">
        <f>'[1]Expense Master June-26'!W91</f>
        <v>42.045454545454547</v>
      </c>
      <c r="BZ86">
        <f>SimpleDashData84[[#This Row],[Total Expense]]/SimpleDashData84[[#This Row],[Total Patients]]</f>
        <v>5.5824742268041234</v>
      </c>
      <c r="CA86">
        <v>0</v>
      </c>
    </row>
    <row r="87" spans="1:79" x14ac:dyDescent="0.3">
      <c r="A87">
        <v>76</v>
      </c>
      <c r="B87" t="str">
        <v>QCNM Toba Tek singh,District Jail</v>
      </c>
      <c r="C87" t="str">
        <v>Trust Act</v>
      </c>
      <c r="D87" t="str">
        <v>Central Punjab Region</v>
      </c>
      <c r="E87" t="str">
        <v>Prison</v>
      </c>
      <c r="F87" s="2">
        <v>4150</v>
      </c>
      <c r="G87" s="2">
        <v>2900</v>
      </c>
      <c r="H87" s="13">
        <v>1.4310344827586208</v>
      </c>
      <c r="I87" s="13"/>
      <c r="BA87">
        <v>86</v>
      </c>
      <c r="BB87" s="12" t="s">
        <v>152</v>
      </c>
      <c r="BD87" t="s">
        <v>33</v>
      </c>
      <c r="BE87" t="s">
        <v>135</v>
      </c>
      <c r="BF87" t="s">
        <v>64</v>
      </c>
      <c r="BG87">
        <v>0</v>
      </c>
      <c r="BH87">
        <v>1000</v>
      </c>
      <c r="BI87">
        <v>0</v>
      </c>
      <c r="BJ87">
        <v>1200</v>
      </c>
      <c r="BK87">
        <v>0</v>
      </c>
      <c r="BL87">
        <v>420</v>
      </c>
      <c r="BM87">
        <v>0</v>
      </c>
      <c r="BN87">
        <v>0</v>
      </c>
      <c r="BO87">
        <v>0</v>
      </c>
      <c r="BP87">
        <v>0</v>
      </c>
      <c r="BQ87">
        <f>SUM(SimpleDashData84[[#This Row],[Convayance]:[Misc]])</f>
        <v>2620</v>
      </c>
      <c r="BR87">
        <v>2599</v>
      </c>
      <c r="BS87">
        <v>2</v>
      </c>
      <c r="BT87">
        <v>0</v>
      </c>
      <c r="BU87">
        <f>SUM(SimpleDashData84[[#This Row],[Male]:[Child]])</f>
        <v>2601</v>
      </c>
      <c r="BW87">
        <f>'[1]Expense Master June-26'!W92</f>
        <v>143.68181818181819</v>
      </c>
      <c r="BZ87">
        <f>SimpleDashData84[[#This Row],[Total Expense]]/SimpleDashData84[[#This Row],[Total Patients]]</f>
        <v>1.0073048827374087</v>
      </c>
      <c r="CA87">
        <v>0</v>
      </c>
    </row>
    <row r="88" spans="1:79" x14ac:dyDescent="0.3">
      <c r="A88">
        <v>77</v>
      </c>
      <c r="B88" t="str">
        <v>QCNM Sardar Bahdur Khan University</v>
      </c>
      <c r="C88" t="str">
        <v>Trust Act</v>
      </c>
      <c r="D88" t="str">
        <v>Sindh, Balochistan &amp; AJK Region</v>
      </c>
      <c r="E88" t="str">
        <v>Public</v>
      </c>
      <c r="F88" s="2">
        <v>4000</v>
      </c>
      <c r="G88" s="2">
        <v>1070</v>
      </c>
      <c r="H88" s="13">
        <v>3.7383177570093458</v>
      </c>
      <c r="I88" s="13"/>
      <c r="BA88">
        <v>87</v>
      </c>
      <c r="BB88" s="12" t="s">
        <v>153</v>
      </c>
      <c r="BD88" t="s">
        <v>33</v>
      </c>
      <c r="BE88" t="s">
        <v>135</v>
      </c>
      <c r="BF88" t="s">
        <v>64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100</v>
      </c>
      <c r="BM88">
        <v>0</v>
      </c>
      <c r="BN88">
        <v>515</v>
      </c>
      <c r="BO88">
        <v>0</v>
      </c>
      <c r="BP88">
        <v>0</v>
      </c>
      <c r="BQ88">
        <f>SUM(SimpleDashData84[[#This Row],[Convayance]:[Misc]])</f>
        <v>615</v>
      </c>
      <c r="BR88">
        <v>422</v>
      </c>
      <c r="BS88">
        <v>0</v>
      </c>
      <c r="BT88">
        <v>0</v>
      </c>
      <c r="BU88">
        <f>SUM(SimpleDashData84[[#This Row],[Male]:[Child]])</f>
        <v>422</v>
      </c>
      <c r="BW88">
        <f>'[1]Expense Master June-26'!W93</f>
        <v>25.363636363636363</v>
      </c>
      <c r="BZ88">
        <f>SimpleDashData84[[#This Row],[Total Expense]]/SimpleDashData84[[#This Row],[Total Patients]]</f>
        <v>1.4573459715639809</v>
      </c>
      <c r="CA88">
        <v>0</v>
      </c>
    </row>
    <row r="89" spans="1:79" x14ac:dyDescent="0.3">
      <c r="A89">
        <v>78</v>
      </c>
      <c r="B89" t="str">
        <v>QCNM Khairpur, Central Jail</v>
      </c>
      <c r="C89" t="str">
        <v>Trust Act</v>
      </c>
      <c r="D89" t="str">
        <v>Sindh, Balochistan &amp; AJK Region</v>
      </c>
      <c r="E89" t="str">
        <v>Prison</v>
      </c>
      <c r="F89" s="2">
        <v>3950</v>
      </c>
      <c r="G89" s="2">
        <v>900</v>
      </c>
      <c r="H89" s="13">
        <v>4.3888888888888893</v>
      </c>
      <c r="I89" s="13"/>
      <c r="BA89">
        <v>88</v>
      </c>
      <c r="BB89" s="12" t="s">
        <v>154</v>
      </c>
      <c r="BD89" t="s">
        <v>33</v>
      </c>
      <c r="BE89" t="s">
        <v>135</v>
      </c>
      <c r="BF89" t="s">
        <v>64</v>
      </c>
      <c r="BG89">
        <v>0</v>
      </c>
      <c r="BH89">
        <v>200</v>
      </c>
      <c r="BI89">
        <v>0</v>
      </c>
      <c r="BJ89">
        <v>14100</v>
      </c>
      <c r="BK89">
        <v>0</v>
      </c>
      <c r="BL89">
        <v>1300</v>
      </c>
      <c r="BM89">
        <v>0</v>
      </c>
      <c r="BN89">
        <v>590</v>
      </c>
      <c r="BO89">
        <v>1000</v>
      </c>
      <c r="BP89">
        <v>0</v>
      </c>
      <c r="BQ89">
        <f>SUM(SimpleDashData84[[#This Row],[Convayance]:[Misc]])</f>
        <v>17190</v>
      </c>
      <c r="BR89">
        <v>2060</v>
      </c>
      <c r="BS89">
        <v>0</v>
      </c>
      <c r="BT89">
        <v>42</v>
      </c>
      <c r="BU89">
        <f>SUM(SimpleDashData84[[#This Row],[Male]:[Child]])</f>
        <v>2102</v>
      </c>
      <c r="BW89">
        <f>'[1]Expense Master June-26'!W94</f>
        <v>114.27272727272727</v>
      </c>
      <c r="BZ89">
        <f>SimpleDashData84[[#This Row],[Total Expense]]/SimpleDashData84[[#This Row],[Total Patients]]</f>
        <v>8.177925784966698</v>
      </c>
      <c r="CA89">
        <v>0</v>
      </c>
    </row>
    <row r="90" spans="1:79" x14ac:dyDescent="0.3">
      <c r="A90">
        <v>79</v>
      </c>
      <c r="B90" t="str">
        <v>QCNM Muridke, Disp</v>
      </c>
      <c r="C90" t="str">
        <v>Trust Act</v>
      </c>
      <c r="D90" t="str">
        <v>Central Punjab Region</v>
      </c>
      <c r="E90" t="str">
        <v>Public</v>
      </c>
      <c r="F90" s="2">
        <v>3940</v>
      </c>
      <c r="G90" s="2">
        <v>1428</v>
      </c>
      <c r="H90" s="13">
        <v>2.7591036414565826</v>
      </c>
      <c r="I90" s="13"/>
      <c r="BA90">
        <v>89</v>
      </c>
      <c r="BB90" s="12" t="s">
        <v>155</v>
      </c>
      <c r="BD90" t="s">
        <v>33</v>
      </c>
      <c r="BE90" t="s">
        <v>135</v>
      </c>
      <c r="BF90" t="s">
        <v>64</v>
      </c>
      <c r="BG90">
        <v>0</v>
      </c>
      <c r="BH90">
        <v>0</v>
      </c>
      <c r="BI90">
        <v>0</v>
      </c>
      <c r="BJ90">
        <v>5000</v>
      </c>
      <c r="BK90">
        <v>300</v>
      </c>
      <c r="BL90">
        <v>470</v>
      </c>
      <c r="BM90">
        <v>0</v>
      </c>
      <c r="BN90">
        <v>820</v>
      </c>
      <c r="BO90">
        <v>0</v>
      </c>
      <c r="BP90">
        <v>0</v>
      </c>
      <c r="BQ90">
        <f>SUM(SimpleDashData84[[#This Row],[Convayance]:[Misc]])</f>
        <v>6590</v>
      </c>
      <c r="BR90">
        <v>2120</v>
      </c>
      <c r="BS90">
        <v>0</v>
      </c>
      <c r="BT90">
        <v>0</v>
      </c>
      <c r="BU90">
        <f>SUM(SimpleDashData84[[#This Row],[Male]:[Child]])</f>
        <v>2120</v>
      </c>
      <c r="BW90">
        <f>'[1]Expense Master June-26'!W95</f>
        <v>103.40909090909091</v>
      </c>
      <c r="BZ90">
        <f>SimpleDashData84[[#This Row],[Total Expense]]/SimpleDashData84[[#This Row],[Total Patients]]</f>
        <v>3.108490566037736</v>
      </c>
      <c r="CA90">
        <v>0</v>
      </c>
    </row>
    <row r="91" spans="1:79" x14ac:dyDescent="0.3">
      <c r="A91">
        <v>80</v>
      </c>
      <c r="B91" t="str">
        <v>QCNM Lahore, Al Mustafa Trust</v>
      </c>
      <c r="C91" t="str">
        <v>Trust Act</v>
      </c>
      <c r="D91" t="str">
        <v>Central Punjab Region</v>
      </c>
      <c r="E91" t="str">
        <v>Public</v>
      </c>
      <c r="F91" s="2">
        <v>3930</v>
      </c>
      <c r="G91" s="2">
        <v>385</v>
      </c>
      <c r="H91" s="13">
        <v>10.207792207792208</v>
      </c>
      <c r="I91" s="13"/>
      <c r="BA91">
        <v>90</v>
      </c>
      <c r="BB91" s="12" t="s">
        <v>156</v>
      </c>
      <c r="BD91" t="s">
        <v>33</v>
      </c>
      <c r="BE91" t="s">
        <v>135</v>
      </c>
      <c r="BF91" t="s">
        <v>64</v>
      </c>
      <c r="BG91">
        <v>0</v>
      </c>
      <c r="BH91">
        <v>0</v>
      </c>
      <c r="BI91">
        <v>0</v>
      </c>
      <c r="BJ91">
        <v>2850</v>
      </c>
      <c r="BK91">
        <v>600</v>
      </c>
      <c r="BL91">
        <v>850</v>
      </c>
      <c r="BM91">
        <v>0</v>
      </c>
      <c r="BN91">
        <v>0</v>
      </c>
      <c r="BO91">
        <v>0</v>
      </c>
      <c r="BP91">
        <v>0</v>
      </c>
      <c r="BQ91">
        <f>SUM(SimpleDashData84[[#This Row],[Convayance]:[Misc]])</f>
        <v>4300</v>
      </c>
      <c r="BR91">
        <v>2331</v>
      </c>
      <c r="BS91">
        <v>0</v>
      </c>
      <c r="BT91">
        <v>0</v>
      </c>
      <c r="BU91">
        <f>SUM(SimpleDashData84[[#This Row],[Male]:[Child]])</f>
        <v>2331</v>
      </c>
      <c r="BW91">
        <f>'[1]Expense Master June-26'!W96</f>
        <v>117.22727272727273</v>
      </c>
      <c r="BZ91">
        <f>SimpleDashData84[[#This Row],[Total Expense]]/SimpleDashData84[[#This Row],[Total Patients]]</f>
        <v>1.8447018447018446</v>
      </c>
      <c r="CA91">
        <v>0</v>
      </c>
    </row>
    <row r="92" spans="1:79" x14ac:dyDescent="0.3">
      <c r="A92">
        <v>81</v>
      </c>
      <c r="B92" t="str">
        <v>QCNM Swat, District Jail</v>
      </c>
      <c r="C92" t="str">
        <v>Trust Act</v>
      </c>
      <c r="D92" t="str">
        <v>Capital Region</v>
      </c>
      <c r="E92" t="str">
        <v>Prison</v>
      </c>
      <c r="F92" s="2">
        <v>3900</v>
      </c>
      <c r="G92" s="2">
        <v>1610</v>
      </c>
      <c r="H92" s="13">
        <v>2.4223602484472049</v>
      </c>
      <c r="I92" s="13"/>
      <c r="BA92">
        <v>91</v>
      </c>
      <c r="BB92" s="12" t="s">
        <v>157</v>
      </c>
      <c r="BD92" t="s">
        <v>33</v>
      </c>
      <c r="BE92" t="s">
        <v>135</v>
      </c>
      <c r="BF92" t="s">
        <v>64</v>
      </c>
      <c r="BG92">
        <v>0</v>
      </c>
      <c r="BH92">
        <v>370</v>
      </c>
      <c r="BI92">
        <v>0</v>
      </c>
      <c r="BJ92">
        <v>1380</v>
      </c>
      <c r="BK92">
        <v>510</v>
      </c>
      <c r="BL92">
        <v>410</v>
      </c>
      <c r="BM92">
        <v>0</v>
      </c>
      <c r="BN92">
        <v>120</v>
      </c>
      <c r="BO92">
        <v>0</v>
      </c>
      <c r="BP92">
        <v>1000</v>
      </c>
      <c r="BQ92">
        <f>SUM(SimpleDashData84[[#This Row],[Convayance]:[Misc]])</f>
        <v>3790</v>
      </c>
      <c r="BR92">
        <v>1800</v>
      </c>
      <c r="BS92">
        <v>0</v>
      </c>
      <c r="BT92">
        <v>0</v>
      </c>
      <c r="BU92">
        <f>SUM(SimpleDashData84[[#This Row],[Male]:[Child]])</f>
        <v>1800</v>
      </c>
      <c r="BW92">
        <f>'[1]Expense Master June-26'!W97</f>
        <v>55.045454545454547</v>
      </c>
      <c r="BZ92">
        <f>SimpleDashData84[[#This Row],[Total Expense]]/SimpleDashData84[[#This Row],[Total Patients]]</f>
        <v>2.1055555555555556</v>
      </c>
      <c r="CA92">
        <v>0</v>
      </c>
    </row>
    <row r="93" spans="1:79" x14ac:dyDescent="0.3">
      <c r="A93">
        <v>82</v>
      </c>
      <c r="B93" t="str">
        <v>QCNM Khanewal, District Jail</v>
      </c>
      <c r="C93" t="str">
        <v>Trust Act</v>
      </c>
      <c r="D93" t="str">
        <v>South &amp; North Punjab Region</v>
      </c>
      <c r="E93" t="str">
        <v>Prison</v>
      </c>
      <c r="F93" s="2">
        <v>3790</v>
      </c>
      <c r="G93" s="2">
        <v>1800</v>
      </c>
      <c r="H93" s="13">
        <v>2.1055555555555556</v>
      </c>
      <c r="I93" s="13"/>
      <c r="BA93">
        <v>92</v>
      </c>
      <c r="BB93" s="12" t="s">
        <v>158</v>
      </c>
      <c r="BD93" t="s">
        <v>33</v>
      </c>
      <c r="BE93" t="s">
        <v>135</v>
      </c>
      <c r="BF93" t="s">
        <v>64</v>
      </c>
      <c r="BG93">
        <v>0</v>
      </c>
      <c r="BH93">
        <v>1000</v>
      </c>
      <c r="BI93">
        <v>0</v>
      </c>
      <c r="BJ93">
        <v>3000</v>
      </c>
      <c r="BK93">
        <v>570</v>
      </c>
      <c r="BL93">
        <v>0</v>
      </c>
      <c r="BM93">
        <v>780</v>
      </c>
      <c r="BN93">
        <v>0</v>
      </c>
      <c r="BO93">
        <v>0</v>
      </c>
      <c r="BP93">
        <v>0</v>
      </c>
      <c r="BQ93">
        <f>SUM(SimpleDashData84[[#This Row],[Convayance]:[Misc]])</f>
        <v>5350</v>
      </c>
      <c r="BR93">
        <v>1949</v>
      </c>
      <c r="BS93">
        <v>0</v>
      </c>
      <c r="BT93">
        <v>0</v>
      </c>
      <c r="BU93">
        <f>SUM(SimpleDashData84[[#This Row],[Male]:[Child]])</f>
        <v>1949</v>
      </c>
      <c r="BW93">
        <f>'[1]Expense Master June-26'!W98</f>
        <v>93.727272727272734</v>
      </c>
      <c r="BZ93">
        <f>SimpleDashData84[[#This Row],[Total Expense]]/SimpleDashData84[[#This Row],[Total Patients]]</f>
        <v>2.7449974345818369</v>
      </c>
      <c r="CA93">
        <v>0</v>
      </c>
    </row>
    <row r="94" spans="1:79" x14ac:dyDescent="0.3">
      <c r="A94">
        <v>83</v>
      </c>
      <c r="B94" t="str">
        <v>QCNM Faisalabad, District Jail</v>
      </c>
      <c r="C94" t="str">
        <v>Trust Act</v>
      </c>
      <c r="D94" t="str">
        <v>Central Punjab Region</v>
      </c>
      <c r="E94" t="str">
        <v>Prison</v>
      </c>
      <c r="F94" s="2">
        <v>3780</v>
      </c>
      <c r="G94" s="2">
        <v>2287</v>
      </c>
      <c r="H94" s="13">
        <v>1.6528202885876695</v>
      </c>
      <c r="I94" s="13"/>
      <c r="BA94">
        <v>93</v>
      </c>
      <c r="BB94" s="12" t="s">
        <v>159</v>
      </c>
      <c r="BD94" t="s">
        <v>33</v>
      </c>
      <c r="BE94" t="s">
        <v>135</v>
      </c>
      <c r="BF94" t="s">
        <v>64</v>
      </c>
      <c r="BG94">
        <v>0</v>
      </c>
      <c r="BH94">
        <v>1000</v>
      </c>
      <c r="BI94">
        <v>1000</v>
      </c>
      <c r="BJ94">
        <v>7320</v>
      </c>
      <c r="BK94">
        <v>500</v>
      </c>
      <c r="BL94">
        <v>0</v>
      </c>
      <c r="BM94">
        <v>0</v>
      </c>
      <c r="BN94">
        <v>1170</v>
      </c>
      <c r="BO94">
        <v>0</v>
      </c>
      <c r="BP94">
        <v>0</v>
      </c>
      <c r="BQ94">
        <f>SUM(SimpleDashData84[[#This Row],[Convayance]:[Misc]])</f>
        <v>10990</v>
      </c>
      <c r="BR94">
        <v>2560</v>
      </c>
      <c r="BS94">
        <v>0</v>
      </c>
      <c r="BT94">
        <v>0</v>
      </c>
      <c r="BU94">
        <f>SUM(SimpleDashData84[[#This Row],[Male]:[Child]])</f>
        <v>2560</v>
      </c>
      <c r="BW94">
        <f>'[1]Expense Master June-26'!W99</f>
        <v>133.27272727272728</v>
      </c>
      <c r="BZ94">
        <f>SimpleDashData84[[#This Row],[Total Expense]]/SimpleDashData84[[#This Row],[Total Patients]]</f>
        <v>4.29296875</v>
      </c>
      <c r="CA94">
        <v>0</v>
      </c>
    </row>
    <row r="95" spans="1:79" x14ac:dyDescent="0.3">
      <c r="A95">
        <v>84</v>
      </c>
      <c r="B95" t="str">
        <v>QCNM Mianwali, Central Jail</v>
      </c>
      <c r="C95" t="str">
        <v>Trust Act</v>
      </c>
      <c r="D95" t="str">
        <v>South &amp; North Punjab Region</v>
      </c>
      <c r="E95" t="str">
        <v>Prison</v>
      </c>
      <c r="F95" s="2">
        <v>3755</v>
      </c>
      <c r="G95" s="2">
        <v>2997</v>
      </c>
      <c r="H95" s="13">
        <v>1.2529195862529197</v>
      </c>
      <c r="I95" s="13"/>
      <c r="BA95">
        <v>94</v>
      </c>
      <c r="BB95" s="12" t="s">
        <v>160</v>
      </c>
      <c r="BD95" t="s">
        <v>33</v>
      </c>
      <c r="BE95" t="s">
        <v>135</v>
      </c>
      <c r="BF95" t="s">
        <v>64</v>
      </c>
      <c r="BG95">
        <v>0</v>
      </c>
      <c r="BH95">
        <v>1000</v>
      </c>
      <c r="BI95">
        <v>0</v>
      </c>
      <c r="BJ95">
        <v>1600</v>
      </c>
      <c r="BK95">
        <v>0</v>
      </c>
      <c r="BL95">
        <v>1020</v>
      </c>
      <c r="BM95">
        <v>0</v>
      </c>
      <c r="BN95">
        <v>750</v>
      </c>
      <c r="BO95">
        <v>0</v>
      </c>
      <c r="BP95">
        <v>0</v>
      </c>
      <c r="BQ95">
        <f>SUM(SimpleDashData84[[#This Row],[Convayance]:[Misc]])</f>
        <v>4370</v>
      </c>
      <c r="BR95">
        <v>1967</v>
      </c>
      <c r="BS95">
        <v>0</v>
      </c>
      <c r="BT95">
        <v>0</v>
      </c>
      <c r="BU95">
        <f>SUM(SimpleDashData84[[#This Row],[Male]:[Child]])</f>
        <v>1967</v>
      </c>
      <c r="BW95">
        <f>'[1]Expense Master June-26'!W100</f>
        <v>101.95454545454545</v>
      </c>
      <c r="BZ95">
        <f>SimpleDashData84[[#This Row],[Total Expense]]/SimpleDashData84[[#This Row],[Total Patients]]</f>
        <v>2.2216573462125062</v>
      </c>
      <c r="CA95">
        <v>0</v>
      </c>
    </row>
    <row r="96" spans="1:79" x14ac:dyDescent="0.3">
      <c r="A96">
        <v>85</v>
      </c>
      <c r="B96" t="str">
        <v xml:space="preserve">QCNM Gujrat, HK Sardar Ali </v>
      </c>
      <c r="C96" t="str">
        <v>Trust Act</v>
      </c>
      <c r="D96" t="str">
        <v>Central Punjab Region</v>
      </c>
      <c r="E96" t="str">
        <v>Public</v>
      </c>
      <c r="F96" s="2">
        <v>3690</v>
      </c>
      <c r="G96" s="2">
        <v>1252</v>
      </c>
      <c r="H96" s="13">
        <v>2.9472843450479234</v>
      </c>
      <c r="I96" s="13"/>
      <c r="BA96">
        <v>95</v>
      </c>
      <c r="BB96" s="12" t="s">
        <v>161</v>
      </c>
      <c r="BD96" t="s">
        <v>33</v>
      </c>
      <c r="BE96" t="s">
        <v>135</v>
      </c>
      <c r="BF96" t="s">
        <v>64</v>
      </c>
      <c r="BG96">
        <v>0</v>
      </c>
      <c r="BH96">
        <v>0</v>
      </c>
      <c r="BI96">
        <v>0</v>
      </c>
      <c r="BJ96">
        <v>7350</v>
      </c>
      <c r="BK96">
        <v>568</v>
      </c>
      <c r="BL96">
        <v>500</v>
      </c>
      <c r="BM96">
        <v>0</v>
      </c>
      <c r="BN96">
        <v>0</v>
      </c>
      <c r="BO96">
        <v>0</v>
      </c>
      <c r="BP96">
        <v>1000</v>
      </c>
      <c r="BQ96">
        <f>SUM(SimpleDashData84[[#This Row],[Convayance]:[Misc]])</f>
        <v>9418</v>
      </c>
      <c r="BR96">
        <v>1711</v>
      </c>
      <c r="BS96">
        <v>0</v>
      </c>
      <c r="BT96">
        <v>0</v>
      </c>
      <c r="BU96">
        <f>SUM(SimpleDashData84[[#This Row],[Male]:[Child]])</f>
        <v>1711</v>
      </c>
      <c r="BW96">
        <f>'[1]Expense Master June-26'!W101</f>
        <v>85</v>
      </c>
      <c r="BZ96">
        <f>SimpleDashData84[[#This Row],[Total Expense]]/SimpleDashData84[[#This Row],[Total Patients]]</f>
        <v>5.5043834015195792</v>
      </c>
      <c r="CA96">
        <v>0</v>
      </c>
    </row>
    <row r="97" spans="1:79" x14ac:dyDescent="0.3">
      <c r="A97">
        <v>86</v>
      </c>
      <c r="B97" t="str">
        <v>QCNM Faisalabad, GCU (Old Campus)</v>
      </c>
      <c r="C97" t="str">
        <v>Trust Act</v>
      </c>
      <c r="D97" t="str">
        <v>Central Punjab Region</v>
      </c>
      <c r="E97" t="str">
        <v>Public</v>
      </c>
      <c r="F97" s="2">
        <v>3220</v>
      </c>
      <c r="G97" s="2">
        <v>525</v>
      </c>
      <c r="H97" s="13">
        <v>6.1333333333333337</v>
      </c>
      <c r="I97" s="13"/>
      <c r="BA97">
        <v>96</v>
      </c>
      <c r="BB97" s="12" t="s">
        <v>162</v>
      </c>
      <c r="BD97" t="s">
        <v>33</v>
      </c>
      <c r="BE97" t="s">
        <v>135</v>
      </c>
      <c r="BF97" t="s">
        <v>64</v>
      </c>
      <c r="BG97">
        <v>975</v>
      </c>
      <c r="BH97">
        <v>0</v>
      </c>
      <c r="BI97">
        <v>0</v>
      </c>
      <c r="BJ97">
        <v>4300</v>
      </c>
      <c r="BK97">
        <v>560</v>
      </c>
      <c r="BL97">
        <v>315</v>
      </c>
      <c r="BM97">
        <v>0</v>
      </c>
      <c r="BN97">
        <v>360</v>
      </c>
      <c r="BO97">
        <v>0</v>
      </c>
      <c r="BP97">
        <v>0</v>
      </c>
      <c r="BQ97">
        <f>SUM(SimpleDashData84[[#This Row],[Convayance]:[Misc]])</f>
        <v>6510</v>
      </c>
      <c r="BR97">
        <v>1947</v>
      </c>
      <c r="BS97">
        <v>0</v>
      </c>
      <c r="BT97">
        <v>0</v>
      </c>
      <c r="BU97">
        <f>SUM(SimpleDashData84[[#This Row],[Male]:[Child]])</f>
        <v>1947</v>
      </c>
      <c r="BW97">
        <f>'[1]Expense Master June-26'!W102</f>
        <v>92.772727272727266</v>
      </c>
      <c r="BZ97">
        <f>SimpleDashData84[[#This Row],[Total Expense]]/SimpleDashData84[[#This Row],[Total Patients]]</f>
        <v>3.3436055469953776</v>
      </c>
      <c r="CA97">
        <v>0</v>
      </c>
    </row>
    <row r="98" spans="1:79" x14ac:dyDescent="0.3">
      <c r="A98">
        <v>87</v>
      </c>
      <c r="B98" t="str">
        <v>QCNM Khuzdar, Central Jail</v>
      </c>
      <c r="C98" t="str">
        <v>U/S 42</v>
      </c>
      <c r="D98" t="str">
        <v>Sindh, Balochistan &amp; AJK Region</v>
      </c>
      <c r="E98" t="str">
        <v>Prison</v>
      </c>
      <c r="F98" s="2">
        <v>3190</v>
      </c>
      <c r="G98" s="2">
        <v>823</v>
      </c>
      <c r="H98" s="13">
        <v>3.8760631834750909</v>
      </c>
      <c r="I98" s="13"/>
      <c r="BA98">
        <v>97</v>
      </c>
      <c r="BB98" s="12" t="s">
        <v>163</v>
      </c>
      <c r="BD98" t="s">
        <v>33</v>
      </c>
      <c r="BE98" t="s">
        <v>135</v>
      </c>
      <c r="BF98" t="s">
        <v>64</v>
      </c>
      <c r="BG98">
        <v>1000</v>
      </c>
      <c r="BH98">
        <v>1245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f>SUM(SimpleDashData84[[#This Row],[Convayance]:[Misc]])</f>
        <v>2245</v>
      </c>
      <c r="BR98">
        <v>81</v>
      </c>
      <c r="BS98">
        <v>420</v>
      </c>
      <c r="BT98">
        <v>79</v>
      </c>
      <c r="BU98">
        <f>SUM(SimpleDashData84[[#This Row],[Male]:[Child]])</f>
        <v>580</v>
      </c>
      <c r="BW98">
        <f>'[1]Expense Master June-26'!W103</f>
        <v>40</v>
      </c>
      <c r="BZ98">
        <f>SimpleDashData84[[#This Row],[Total Expense]]/SimpleDashData84[[#This Row],[Total Patients]]</f>
        <v>3.8706896551724137</v>
      </c>
      <c r="CA98">
        <v>0</v>
      </c>
    </row>
    <row r="99" spans="1:79" x14ac:dyDescent="0.3">
      <c r="A99">
        <v>88</v>
      </c>
      <c r="B99" t="str">
        <v>QCNM Hyderabad, Central Prison</v>
      </c>
      <c r="C99" t="str">
        <v>Trust Act</v>
      </c>
      <c r="D99" t="str">
        <v>Sindh, Balochistan &amp; AJK Region</v>
      </c>
      <c r="E99" t="str">
        <v>Prison</v>
      </c>
      <c r="F99" s="2">
        <v>3166</v>
      </c>
      <c r="G99" s="2">
        <v>1144</v>
      </c>
      <c r="H99" s="13">
        <v>2.7674825174825175</v>
      </c>
      <c r="I99" s="13"/>
      <c r="BA99">
        <v>98</v>
      </c>
      <c r="BB99" s="12" t="s">
        <v>164</v>
      </c>
      <c r="BD99" t="s">
        <v>33</v>
      </c>
      <c r="BE99" t="s">
        <v>135</v>
      </c>
      <c r="BF99" t="s">
        <v>64</v>
      </c>
      <c r="BG99">
        <v>0</v>
      </c>
      <c r="BH99">
        <v>0</v>
      </c>
      <c r="BI99">
        <v>0</v>
      </c>
      <c r="BJ99">
        <v>1560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f>SUM(SimpleDashData84[[#This Row],[Convayance]:[Misc]])</f>
        <v>1560</v>
      </c>
      <c r="BR99">
        <v>1330</v>
      </c>
      <c r="BS99">
        <v>0</v>
      </c>
      <c r="BT99">
        <v>0</v>
      </c>
      <c r="BU99">
        <f>SUM(SimpleDashData84[[#This Row],[Male]:[Child]])</f>
        <v>1330</v>
      </c>
      <c r="BW99">
        <f>'[1]Expense Master June-26'!W104</f>
        <v>77.590909090909093</v>
      </c>
      <c r="BZ99">
        <f>SimpleDashData84[[#This Row],[Total Expense]]/SimpleDashData84[[#This Row],[Total Patients]]</f>
        <v>1.1729323308270676</v>
      </c>
      <c r="CA99">
        <v>0</v>
      </c>
    </row>
    <row r="100" spans="1:79" x14ac:dyDescent="0.3">
      <c r="A100">
        <v>89</v>
      </c>
      <c r="B100" t="str">
        <v>QCNM Mirpur khas CJ Jail</v>
      </c>
      <c r="C100" t="str">
        <v>Trust Act</v>
      </c>
      <c r="D100" t="str">
        <v>Sindh, Balochistan &amp; AJK Region</v>
      </c>
      <c r="E100" t="str">
        <v>Prison</v>
      </c>
      <c r="F100" s="2">
        <v>3140</v>
      </c>
      <c r="G100" s="2">
        <v>1317</v>
      </c>
      <c r="H100" s="13">
        <v>2.3842065299924071</v>
      </c>
      <c r="I100" s="13"/>
      <c r="BA100">
        <v>99</v>
      </c>
      <c r="BB100" s="12" t="s">
        <v>165</v>
      </c>
      <c r="BD100" t="s">
        <v>33</v>
      </c>
      <c r="BE100" t="s">
        <v>135</v>
      </c>
      <c r="BF100" t="s">
        <v>64</v>
      </c>
      <c r="BG100">
        <v>0</v>
      </c>
      <c r="BH100">
        <v>0</v>
      </c>
      <c r="BI100">
        <v>0</v>
      </c>
      <c r="BJ100">
        <v>1250</v>
      </c>
      <c r="BK100">
        <v>575</v>
      </c>
      <c r="BL100">
        <v>520</v>
      </c>
      <c r="BM100">
        <v>0</v>
      </c>
      <c r="BN100">
        <v>300</v>
      </c>
      <c r="BO100">
        <v>0</v>
      </c>
      <c r="BP100">
        <v>0</v>
      </c>
      <c r="BQ100">
        <f>SUM(SimpleDashData84[[#This Row],[Convayance]:[Misc]])</f>
        <v>2645</v>
      </c>
      <c r="BR100">
        <v>2063</v>
      </c>
      <c r="BS100">
        <v>0</v>
      </c>
      <c r="BT100">
        <v>0</v>
      </c>
      <c r="BU100">
        <f>SUM(SimpleDashData84[[#This Row],[Male]:[Child]])</f>
        <v>2063</v>
      </c>
      <c r="BW100">
        <f>'[1]Expense Master June-26'!W105</f>
        <v>105.13636363636364</v>
      </c>
      <c r="BZ100">
        <f>SimpleDashData84[[#This Row],[Total Expense]]/SimpleDashData84[[#This Row],[Total Patients]]</f>
        <v>1.2821134270479884</v>
      </c>
      <c r="CA100">
        <v>0</v>
      </c>
    </row>
    <row r="101" spans="1:79" x14ac:dyDescent="0.3">
      <c r="A101">
        <v>90</v>
      </c>
      <c r="B101" t="str">
        <v>QCNM PHQ Gilgit</v>
      </c>
      <c r="C101" t="str">
        <v>Trust Act</v>
      </c>
      <c r="D101" t="str">
        <v>Capital Region</v>
      </c>
      <c r="E101" t="str">
        <v>Public</v>
      </c>
      <c r="F101" s="2">
        <v>2920</v>
      </c>
      <c r="G101" s="2">
        <v>2039</v>
      </c>
      <c r="H101" s="13">
        <v>1.4320745463462481</v>
      </c>
      <c r="I101" s="13"/>
      <c r="BA101">
        <v>100</v>
      </c>
      <c r="BB101" s="12" t="s">
        <v>166</v>
      </c>
      <c r="BD101" t="s">
        <v>33</v>
      </c>
      <c r="BE101" t="s">
        <v>135</v>
      </c>
      <c r="BF101" t="s">
        <v>64</v>
      </c>
      <c r="BG101">
        <v>0</v>
      </c>
      <c r="BH101">
        <v>1000</v>
      </c>
      <c r="BI101">
        <v>0</v>
      </c>
      <c r="BJ101">
        <v>0</v>
      </c>
      <c r="BK101">
        <v>560</v>
      </c>
      <c r="BL101">
        <v>860</v>
      </c>
      <c r="BM101">
        <v>0</v>
      </c>
      <c r="BN101">
        <v>0</v>
      </c>
      <c r="BO101">
        <v>0</v>
      </c>
      <c r="BP101">
        <v>0</v>
      </c>
      <c r="BQ101">
        <f>SUM(SimpleDashData84[[#This Row],[Convayance]:[Misc]])</f>
        <v>2420</v>
      </c>
      <c r="BR101">
        <v>1470</v>
      </c>
      <c r="BS101">
        <v>0</v>
      </c>
      <c r="BT101">
        <v>0</v>
      </c>
      <c r="BU101">
        <f>SUM(SimpleDashData84[[#This Row],[Male]:[Child]])</f>
        <v>1470</v>
      </c>
      <c r="BW101">
        <f>'[1]Expense Master June-26'!W106</f>
        <v>73.63636363636364</v>
      </c>
      <c r="BZ101">
        <f>SimpleDashData84[[#This Row],[Total Expense]]/SimpleDashData84[[#This Row],[Total Patients]]</f>
        <v>1.6462585034013606</v>
      </c>
      <c r="CA101">
        <v>0</v>
      </c>
    </row>
    <row r="102" spans="1:79" x14ac:dyDescent="0.3">
      <c r="A102">
        <v>91</v>
      </c>
      <c r="B102" t="str">
        <v>QCNM Jhang, District Jail</v>
      </c>
      <c r="C102" t="str">
        <v>Trust Act</v>
      </c>
      <c r="D102" t="str">
        <v>Central Punjab Region</v>
      </c>
      <c r="E102" t="str">
        <v>Prison</v>
      </c>
      <c r="F102" s="2">
        <v>2720</v>
      </c>
      <c r="G102" s="2">
        <v>3029</v>
      </c>
      <c r="H102" s="13">
        <v>0.89798613403763616</v>
      </c>
      <c r="I102" s="13"/>
      <c r="BA102">
        <v>101</v>
      </c>
      <c r="BB102" s="12" t="s">
        <v>167</v>
      </c>
      <c r="BD102" t="s">
        <v>33</v>
      </c>
      <c r="BE102" t="s">
        <v>135</v>
      </c>
      <c r="BF102" t="s">
        <v>64</v>
      </c>
      <c r="BG102">
        <v>0</v>
      </c>
      <c r="BH102">
        <v>0</v>
      </c>
      <c r="BI102">
        <v>0</v>
      </c>
      <c r="BJ102">
        <v>5840</v>
      </c>
      <c r="BK102">
        <v>560</v>
      </c>
      <c r="BL102">
        <v>0</v>
      </c>
      <c r="BM102">
        <v>0</v>
      </c>
      <c r="BN102">
        <v>590</v>
      </c>
      <c r="BO102">
        <v>0</v>
      </c>
      <c r="BP102">
        <v>0</v>
      </c>
      <c r="BQ102">
        <f>SUM(SimpleDashData84[[#This Row],[Convayance]:[Misc]])</f>
        <v>6990</v>
      </c>
      <c r="BR102">
        <v>1292</v>
      </c>
      <c r="BS102">
        <v>11</v>
      </c>
      <c r="BT102">
        <v>3</v>
      </c>
      <c r="BU102">
        <f>SUM(SimpleDashData84[[#This Row],[Male]:[Child]])</f>
        <v>1306</v>
      </c>
      <c r="BW102">
        <f>'[1]Expense Master June-26'!W107</f>
        <v>60.954545454545453</v>
      </c>
      <c r="BZ102">
        <f>SimpleDashData84[[#This Row],[Total Expense]]/SimpleDashData84[[#This Row],[Total Patients]]</f>
        <v>5.3522205206738134</v>
      </c>
      <c r="CA102">
        <v>0</v>
      </c>
    </row>
    <row r="103" spans="1:79" x14ac:dyDescent="0.3">
      <c r="A103">
        <v>92</v>
      </c>
      <c r="B103" t="str">
        <v>QCNM Pak Pattan, District Jail</v>
      </c>
      <c r="C103" t="str">
        <v>Trust Act</v>
      </c>
      <c r="D103" t="str">
        <v>South &amp; North Punjab Region</v>
      </c>
      <c r="E103" t="str">
        <v>Prison</v>
      </c>
      <c r="F103" s="2">
        <v>2645</v>
      </c>
      <c r="G103" s="2">
        <v>2063</v>
      </c>
      <c r="H103" s="13">
        <v>1.2821134270479884</v>
      </c>
      <c r="I103" s="13"/>
      <c r="BA103">
        <v>102</v>
      </c>
      <c r="BB103" s="12" t="s">
        <v>168</v>
      </c>
      <c r="BD103" t="s">
        <v>33</v>
      </c>
      <c r="BE103" t="s">
        <v>135</v>
      </c>
      <c r="BF103" t="s">
        <v>64</v>
      </c>
      <c r="BG103">
        <v>0</v>
      </c>
      <c r="BH103">
        <v>0</v>
      </c>
      <c r="BI103">
        <v>0</v>
      </c>
      <c r="BJ103">
        <v>5750</v>
      </c>
      <c r="BK103">
        <v>460</v>
      </c>
      <c r="BL103">
        <v>390</v>
      </c>
      <c r="BM103">
        <v>0</v>
      </c>
      <c r="BN103">
        <v>0</v>
      </c>
      <c r="BO103">
        <v>0</v>
      </c>
      <c r="BP103">
        <v>0</v>
      </c>
      <c r="BQ103">
        <f>SUM(SimpleDashData84[[#This Row],[Convayance]:[Misc]])</f>
        <v>6600</v>
      </c>
      <c r="BR103">
        <v>2170</v>
      </c>
      <c r="BS103">
        <v>0</v>
      </c>
      <c r="BT103">
        <v>0</v>
      </c>
      <c r="BU103">
        <f>SUM(SimpleDashData84[[#This Row],[Male]:[Child]])</f>
        <v>2170</v>
      </c>
      <c r="BW103">
        <f>'[1]Expense Master June-26'!W108</f>
        <v>110.77272727272727</v>
      </c>
      <c r="BZ103">
        <f>SimpleDashData84[[#This Row],[Total Expense]]/SimpleDashData84[[#This Row],[Total Patients]]</f>
        <v>3.0414746543778803</v>
      </c>
      <c r="CA103">
        <v>0</v>
      </c>
    </row>
    <row r="104" spans="1:79" x14ac:dyDescent="0.3">
      <c r="A104">
        <v>93</v>
      </c>
      <c r="B104" t="str">
        <v>QCNM Bahawalpur, Central Jail</v>
      </c>
      <c r="C104" t="str">
        <v>Trust Act</v>
      </c>
      <c r="D104" t="str">
        <v>South &amp; North Punjab Region</v>
      </c>
      <c r="E104" t="str">
        <v>Prison</v>
      </c>
      <c r="F104" s="2">
        <v>2620</v>
      </c>
      <c r="G104" s="2">
        <v>2601</v>
      </c>
      <c r="H104" s="13">
        <v>1.0073048827374087</v>
      </c>
      <c r="I104" s="13"/>
      <c r="BA104">
        <v>103</v>
      </c>
      <c r="BB104" s="12" t="s">
        <v>169</v>
      </c>
      <c r="BD104" t="s">
        <v>33</v>
      </c>
      <c r="BE104" t="s">
        <v>135</v>
      </c>
      <c r="BF104" t="s">
        <v>64</v>
      </c>
      <c r="BG104">
        <v>0</v>
      </c>
      <c r="BH104">
        <v>0</v>
      </c>
      <c r="BI104">
        <v>0</v>
      </c>
      <c r="BJ104">
        <v>460</v>
      </c>
      <c r="BK104">
        <v>495</v>
      </c>
      <c r="BL104">
        <v>650</v>
      </c>
      <c r="BM104">
        <v>0</v>
      </c>
      <c r="BN104">
        <v>270</v>
      </c>
      <c r="BO104">
        <v>0</v>
      </c>
      <c r="BP104">
        <v>0</v>
      </c>
      <c r="BQ104">
        <f>SUM(SimpleDashData84[[#This Row],[Convayance]:[Misc]])</f>
        <v>1875</v>
      </c>
      <c r="BR104">
        <v>2552</v>
      </c>
      <c r="BS104">
        <v>2</v>
      </c>
      <c r="BT104">
        <v>0</v>
      </c>
      <c r="BU104">
        <f>SUM(SimpleDashData84[[#This Row],[Male]:[Child]])</f>
        <v>2554</v>
      </c>
      <c r="BW104">
        <f>'[1]Expense Master June-26'!W109</f>
        <v>108.13636363636364</v>
      </c>
      <c r="BZ104">
        <f>SimpleDashData84[[#This Row],[Total Expense]]/SimpleDashData84[[#This Row],[Total Patients]]</f>
        <v>0.73414252153484727</v>
      </c>
      <c r="CA104">
        <v>0</v>
      </c>
    </row>
    <row r="105" spans="1:79" x14ac:dyDescent="0.3">
      <c r="A105">
        <v>94</v>
      </c>
      <c r="B105" t="str">
        <v>QCNM RHQ- Hospital Skardu</v>
      </c>
      <c r="C105" t="str">
        <v>Trust Act</v>
      </c>
      <c r="D105" t="str">
        <v>Capital Region</v>
      </c>
      <c r="E105" t="str">
        <v>Public</v>
      </c>
      <c r="F105" s="2">
        <v>2480</v>
      </c>
      <c r="G105" s="2">
        <v>2020</v>
      </c>
      <c r="H105" s="13">
        <v>1.2277227722772277</v>
      </c>
      <c r="I105" s="13"/>
      <c r="BA105">
        <v>104</v>
      </c>
      <c r="BB105" s="12" t="s">
        <v>170</v>
      </c>
      <c r="BD105" t="s">
        <v>33</v>
      </c>
      <c r="BE105" t="s">
        <v>135</v>
      </c>
      <c r="BF105" t="s">
        <v>64</v>
      </c>
      <c r="BG105">
        <v>0</v>
      </c>
      <c r="BH105">
        <v>0</v>
      </c>
      <c r="BI105">
        <v>0</v>
      </c>
      <c r="BJ105">
        <v>6430</v>
      </c>
      <c r="BK105">
        <v>460</v>
      </c>
      <c r="BL105">
        <v>460</v>
      </c>
      <c r="BM105">
        <v>0</v>
      </c>
      <c r="BN105">
        <v>0</v>
      </c>
      <c r="BO105">
        <v>350</v>
      </c>
      <c r="BP105">
        <v>0</v>
      </c>
      <c r="BQ105">
        <f>SUM(SimpleDashData84[[#This Row],[Convayance]:[Misc]])</f>
        <v>7700</v>
      </c>
      <c r="BR105">
        <v>2024</v>
      </c>
      <c r="BS105">
        <v>0</v>
      </c>
      <c r="BT105">
        <v>0</v>
      </c>
      <c r="BU105">
        <f>SUM(SimpleDashData84[[#This Row],[Male]:[Child]])</f>
        <v>2024</v>
      </c>
      <c r="BW105">
        <f>'[1]Expense Master June-26'!W110</f>
        <v>102.81818181818181</v>
      </c>
      <c r="BZ105">
        <f>SimpleDashData84[[#This Row],[Total Expense]]/SimpleDashData84[[#This Row],[Total Patients]]</f>
        <v>3.8043478260869565</v>
      </c>
      <c r="CA105">
        <v>0</v>
      </c>
    </row>
    <row r="106" spans="1:79" x14ac:dyDescent="0.3">
      <c r="A106">
        <v>95</v>
      </c>
      <c r="B106" t="str">
        <v>QCNM Rajanpur, Distrit jail</v>
      </c>
      <c r="C106" t="str">
        <v>Trust Act</v>
      </c>
      <c r="D106" t="str">
        <v>South &amp; North Punjab Region</v>
      </c>
      <c r="E106" t="str">
        <v>Prison</v>
      </c>
      <c r="F106" s="2">
        <v>2420</v>
      </c>
      <c r="G106" s="2">
        <v>1470</v>
      </c>
      <c r="H106" s="13">
        <v>1.6462585034013606</v>
      </c>
      <c r="I106" s="13"/>
      <c r="BA106">
        <v>105</v>
      </c>
      <c r="BB106" s="12" t="s">
        <v>171</v>
      </c>
      <c r="BD106" t="s">
        <v>33</v>
      </c>
      <c r="BE106" t="s">
        <v>172</v>
      </c>
      <c r="BF106" t="s">
        <v>35</v>
      </c>
      <c r="BG106">
        <v>2400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f>SUM(SimpleDashData84[[#This Row],[Convayance]:[Misc]])</f>
        <v>2400</v>
      </c>
      <c r="BR106">
        <v>230</v>
      </c>
      <c r="BS106">
        <v>252</v>
      </c>
      <c r="BT106">
        <v>164</v>
      </c>
      <c r="BU106">
        <f>SUM(SimpleDashData84[[#This Row],[Male]:[Child]])</f>
        <v>646</v>
      </c>
      <c r="BW106">
        <f>'[1]Expense Master June-26'!W111</f>
        <v>40.272727272727273</v>
      </c>
      <c r="BZ106">
        <f>SimpleDashData84[[#This Row],[Total Expense]]/SimpleDashData84[[#This Row],[Total Patients]]</f>
        <v>3.7151702786377707</v>
      </c>
      <c r="CA106">
        <v>0</v>
      </c>
    </row>
    <row r="107" spans="1:79" x14ac:dyDescent="0.3">
      <c r="A107">
        <v>96</v>
      </c>
      <c r="B107" t="str">
        <v>QCNM Haripur, Central Jail</v>
      </c>
      <c r="C107" t="str">
        <v>Trust Act</v>
      </c>
      <c r="D107" t="str">
        <v>Capital Region</v>
      </c>
      <c r="E107" t="str">
        <v>Prison</v>
      </c>
      <c r="F107" s="2">
        <v>2400</v>
      </c>
      <c r="G107" s="2">
        <v>1127</v>
      </c>
      <c r="H107" s="13">
        <v>2.1295474711623781</v>
      </c>
      <c r="I107" s="13"/>
      <c r="BA107">
        <v>106</v>
      </c>
      <c r="BB107" s="12" t="s">
        <v>173</v>
      </c>
      <c r="BD107" t="s">
        <v>33</v>
      </c>
      <c r="BE107" t="s">
        <v>172</v>
      </c>
      <c r="BF107" t="s">
        <v>35</v>
      </c>
      <c r="BG107">
        <v>1214</v>
      </c>
      <c r="BH107">
        <v>5980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700</v>
      </c>
      <c r="BO107">
        <v>0</v>
      </c>
      <c r="BP107">
        <v>0</v>
      </c>
      <c r="BQ107">
        <f>SUM(SimpleDashData84[[#This Row],[Convayance]:[Misc]])</f>
        <v>7894</v>
      </c>
      <c r="BR107">
        <v>511</v>
      </c>
      <c r="BS107">
        <v>550</v>
      </c>
      <c r="BT107">
        <v>293</v>
      </c>
      <c r="BU107">
        <f>SUM(SimpleDashData84[[#This Row],[Male]:[Child]])</f>
        <v>1354</v>
      </c>
      <c r="BW107">
        <f>'[1]Expense Master June-26'!W112</f>
        <v>62.636363636363633</v>
      </c>
      <c r="BZ107">
        <f>SimpleDashData84[[#This Row],[Total Expense]]/SimpleDashData84[[#This Row],[Total Patients]]</f>
        <v>5.8301329394387</v>
      </c>
      <c r="CA107">
        <v>0</v>
      </c>
    </row>
    <row r="108" spans="1:79" x14ac:dyDescent="0.3">
      <c r="A108">
        <v>97</v>
      </c>
      <c r="B108" t="str">
        <v>QCNM Loralai</v>
      </c>
      <c r="C108" t="str">
        <v>Trust Act</v>
      </c>
      <c r="D108" t="str">
        <v>Sindh, Balochistan &amp; AJK Region</v>
      </c>
      <c r="E108" t="str">
        <v>Public</v>
      </c>
      <c r="F108" s="2">
        <v>2400</v>
      </c>
      <c r="G108" s="2">
        <v>646</v>
      </c>
      <c r="H108" s="13">
        <v>3.7151702786377707</v>
      </c>
      <c r="I108" s="13"/>
      <c r="BA108">
        <v>107</v>
      </c>
      <c r="BB108" s="12" t="s">
        <v>174</v>
      </c>
      <c r="BD108" t="s">
        <v>33</v>
      </c>
      <c r="BE108" t="s">
        <v>172</v>
      </c>
      <c r="BF108" t="s">
        <v>35</v>
      </c>
      <c r="BG108">
        <v>7560</v>
      </c>
      <c r="BH108">
        <v>0</v>
      </c>
      <c r="BI108">
        <v>0</v>
      </c>
      <c r="BJ108">
        <v>3000</v>
      </c>
      <c r="BK108">
        <v>560</v>
      </c>
      <c r="BL108">
        <v>0</v>
      </c>
      <c r="BM108">
        <v>10750</v>
      </c>
      <c r="BN108">
        <v>800</v>
      </c>
      <c r="BO108">
        <v>0</v>
      </c>
      <c r="BP108">
        <v>4658</v>
      </c>
      <c r="BQ108">
        <f>SUM(SimpleDashData84[[#This Row],[Convayance]:[Misc]])</f>
        <v>27328</v>
      </c>
      <c r="BR108">
        <v>604</v>
      </c>
      <c r="BS108">
        <v>534</v>
      </c>
      <c r="BT108">
        <v>523</v>
      </c>
      <c r="BU108">
        <f>SUM(SimpleDashData84[[#This Row],[Male]:[Child]])</f>
        <v>1661</v>
      </c>
      <c r="BW108">
        <f>'[1]Expense Master June-26'!W113</f>
        <v>60</v>
      </c>
      <c r="BZ108">
        <f>SimpleDashData84[[#This Row],[Total Expense]]/SimpleDashData84[[#This Row],[Total Patients]]</f>
        <v>16.452739313666466</v>
      </c>
      <c r="CA108">
        <v>0</v>
      </c>
    </row>
    <row r="109" spans="1:79" x14ac:dyDescent="0.3">
      <c r="A109">
        <v>98</v>
      </c>
      <c r="B109" t="str">
        <v>QCNM Gift University Gujranwala</v>
      </c>
      <c r="C109" t="str">
        <v>Trust Act</v>
      </c>
      <c r="D109" t="str">
        <v>Central Punjab Region</v>
      </c>
      <c r="E109" t="str">
        <v>Public</v>
      </c>
      <c r="F109" s="2">
        <v>2360</v>
      </c>
      <c r="G109" s="2">
        <v>1013</v>
      </c>
      <c r="H109" s="13">
        <v>2.3297137216189534</v>
      </c>
      <c r="I109" s="13"/>
      <c r="BA109">
        <v>108</v>
      </c>
      <c r="BB109" s="12" t="s">
        <v>175</v>
      </c>
      <c r="BD109" t="s">
        <v>33</v>
      </c>
      <c r="BE109" t="s">
        <v>172</v>
      </c>
      <c r="BF109" t="s">
        <v>35</v>
      </c>
      <c r="BG109">
        <v>7000</v>
      </c>
      <c r="BH109">
        <v>200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3400</v>
      </c>
      <c r="BQ109">
        <f>SUM(SimpleDashData84[[#This Row],[Convayance]:[Misc]])</f>
        <v>10600</v>
      </c>
      <c r="BR109">
        <v>700</v>
      </c>
      <c r="BS109">
        <v>678</v>
      </c>
      <c r="BT109">
        <v>383</v>
      </c>
      <c r="BU109">
        <f>SUM(SimpleDashData84[[#This Row],[Male]:[Child]])</f>
        <v>1761</v>
      </c>
      <c r="BW109">
        <f>'[1]Expense Master June-26'!W114</f>
        <v>92.954545454545453</v>
      </c>
      <c r="BZ109">
        <f>SimpleDashData84[[#This Row],[Total Expense]]/SimpleDashData84[[#This Row],[Total Patients]]</f>
        <v>6.019307211811471</v>
      </c>
      <c r="CA109">
        <v>0</v>
      </c>
    </row>
    <row r="110" spans="1:79" x14ac:dyDescent="0.3">
      <c r="A110">
        <v>99</v>
      </c>
      <c r="B110" t="str">
        <v>QCNM Timergara, District Jail</v>
      </c>
      <c r="C110" t="str">
        <v>Trust Act</v>
      </c>
      <c r="D110" t="str">
        <v>Capital Region</v>
      </c>
      <c r="E110" t="str">
        <v>Prison</v>
      </c>
      <c r="F110" s="2">
        <v>2350</v>
      </c>
      <c r="G110" s="2">
        <v>1326</v>
      </c>
      <c r="H110" s="13">
        <v>1.7722473604826545</v>
      </c>
      <c r="I110" s="13"/>
      <c r="BA110">
        <v>109</v>
      </c>
      <c r="BB110" s="12" t="s">
        <v>176</v>
      </c>
      <c r="BD110" t="s">
        <v>33</v>
      </c>
      <c r="BE110" t="s">
        <v>172</v>
      </c>
      <c r="BF110" t="s">
        <v>35</v>
      </c>
      <c r="BG110">
        <v>3100</v>
      </c>
      <c r="BH110">
        <v>0</v>
      </c>
      <c r="BI110">
        <v>0</v>
      </c>
      <c r="BJ110">
        <v>500</v>
      </c>
      <c r="BK110">
        <v>0</v>
      </c>
      <c r="BL110">
        <v>200</v>
      </c>
      <c r="BM110">
        <v>0</v>
      </c>
      <c r="BN110">
        <v>200</v>
      </c>
      <c r="BO110">
        <v>0</v>
      </c>
      <c r="BP110">
        <v>0</v>
      </c>
      <c r="BQ110">
        <f>SUM(SimpleDashData84[[#This Row],[Convayance]:[Misc]])</f>
        <v>4000</v>
      </c>
      <c r="BR110">
        <v>269</v>
      </c>
      <c r="BS110">
        <v>537</v>
      </c>
      <c r="BT110">
        <v>264</v>
      </c>
      <c r="BU110">
        <f>SUM(SimpleDashData84[[#This Row],[Male]:[Child]])</f>
        <v>1070</v>
      </c>
      <c r="BW110">
        <f>'[1]Expense Master June-26'!W115</f>
        <v>56.454545454545453</v>
      </c>
      <c r="BZ110">
        <f>SimpleDashData84[[#This Row],[Total Expense]]/SimpleDashData84[[#This Row],[Total Patients]]</f>
        <v>3.7383177570093458</v>
      </c>
      <c r="CA110">
        <v>0</v>
      </c>
    </row>
    <row r="111" spans="1:79" x14ac:dyDescent="0.3">
      <c r="A111">
        <v>100</v>
      </c>
      <c r="B111" t="str">
        <v>QCNM Woman Jail, Multan</v>
      </c>
      <c r="C111" t="str">
        <v>Trust Act</v>
      </c>
      <c r="D111" t="str">
        <v>South &amp; North Punjab Region</v>
      </c>
      <c r="E111" t="str">
        <v>Prison</v>
      </c>
      <c r="F111" s="2">
        <v>2245</v>
      </c>
      <c r="G111" s="2">
        <v>580</v>
      </c>
      <c r="H111" s="13">
        <v>3.8706896551724137</v>
      </c>
      <c r="I111" s="13"/>
      <c r="BA111">
        <v>110</v>
      </c>
      <c r="BB111" s="12" t="s">
        <v>177</v>
      </c>
      <c r="BD111" t="s">
        <v>33</v>
      </c>
      <c r="BE111" t="s">
        <v>172</v>
      </c>
      <c r="BF111" t="s">
        <v>35</v>
      </c>
      <c r="BG111">
        <v>3756</v>
      </c>
      <c r="BH111">
        <v>500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540</v>
      </c>
      <c r="BO111">
        <v>0</v>
      </c>
      <c r="BP111">
        <v>0</v>
      </c>
      <c r="BQ111">
        <f>SUM(SimpleDashData84[[#This Row],[Convayance]:[Misc]])</f>
        <v>4796</v>
      </c>
      <c r="BR111">
        <v>424</v>
      </c>
      <c r="BS111">
        <v>711</v>
      </c>
      <c r="BT111">
        <v>343</v>
      </c>
      <c r="BU111">
        <f>SUM(SimpleDashData84[[#This Row],[Male]:[Child]])</f>
        <v>1478</v>
      </c>
      <c r="BW111">
        <f>'[1]Expense Master June-26'!W116</f>
        <v>77.090909090909093</v>
      </c>
      <c r="BZ111">
        <f>SimpleDashData84[[#This Row],[Total Expense]]/SimpleDashData84[[#This Row],[Total Patients]]</f>
        <v>3.2449255751014885</v>
      </c>
      <c r="CA111">
        <v>0</v>
      </c>
    </row>
    <row r="112" spans="1:79" x14ac:dyDescent="0.3">
      <c r="A112">
        <v>101</v>
      </c>
      <c r="B112" t="str">
        <v>QCNM Kohat, District Jail</v>
      </c>
      <c r="C112" t="str">
        <v>Trust Act</v>
      </c>
      <c r="D112" t="str">
        <v>Capital Region</v>
      </c>
      <c r="E112" t="str">
        <v>Prison</v>
      </c>
      <c r="F112" s="2">
        <v>2230</v>
      </c>
      <c r="G112" s="2">
        <v>1789</v>
      </c>
      <c r="H112" s="13">
        <v>1.2465064281721632</v>
      </c>
      <c r="I112" s="13"/>
      <c r="BA112">
        <v>111</v>
      </c>
      <c r="BB112" s="12" t="s">
        <v>178</v>
      </c>
      <c r="BD112" t="s">
        <v>33</v>
      </c>
      <c r="BE112" t="s">
        <v>172</v>
      </c>
      <c r="BF112" t="s">
        <v>35</v>
      </c>
      <c r="BG112">
        <v>0</v>
      </c>
      <c r="BH112">
        <v>6850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400</v>
      </c>
      <c r="BQ112">
        <f>SUM(SimpleDashData84[[#This Row],[Convayance]:[Misc]])</f>
        <v>7250</v>
      </c>
      <c r="BR112">
        <v>273</v>
      </c>
      <c r="BS112">
        <v>664</v>
      </c>
      <c r="BT112">
        <v>380</v>
      </c>
      <c r="BU112">
        <f>SUM(SimpleDashData84[[#This Row],[Male]:[Child]])</f>
        <v>1317</v>
      </c>
      <c r="BW112">
        <f>'[1]Expense Master June-26'!W117</f>
        <v>48.31818181818182</v>
      </c>
      <c r="BZ112">
        <f>SimpleDashData84[[#This Row],[Total Expense]]/SimpleDashData84[[#This Row],[Total Patients]]</f>
        <v>5.5049354593773732</v>
      </c>
      <c r="CA112">
        <v>0</v>
      </c>
    </row>
    <row r="113" spans="1:79" x14ac:dyDescent="0.3">
      <c r="A113">
        <v>102</v>
      </c>
      <c r="B113" t="str">
        <v>QCNM Muzaffarabad Central Jail</v>
      </c>
      <c r="C113" t="str">
        <v>Society Act</v>
      </c>
      <c r="D113" t="str">
        <v>Sindh, Balochistan &amp; AJK Region</v>
      </c>
      <c r="E113" t="str">
        <v>Prison</v>
      </c>
      <c r="F113" s="2">
        <v>2220</v>
      </c>
      <c r="G113" s="2">
        <v>550</v>
      </c>
      <c r="H113" s="13">
        <v>4.0363636363636362</v>
      </c>
      <c r="I113" s="13"/>
      <c r="BA113">
        <v>112</v>
      </c>
      <c r="BB113" s="12" t="s">
        <v>179</v>
      </c>
      <c r="BD113" t="s">
        <v>33</v>
      </c>
      <c r="BE113" t="s">
        <v>172</v>
      </c>
      <c r="BF113" t="s">
        <v>35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f>SUM(SimpleDashData84[[#This Row],[Convayance]:[Misc]])</f>
        <v>0</v>
      </c>
      <c r="BR113">
        <v>282</v>
      </c>
      <c r="BS113">
        <v>97</v>
      </c>
      <c r="BT113">
        <v>92</v>
      </c>
      <c r="BU113">
        <f>SUM(SimpleDashData84[[#This Row],[Male]:[Child]])</f>
        <v>471</v>
      </c>
      <c r="BW113">
        <f>'[1]Expense Master June-26'!W118</f>
        <v>27.818181818181817</v>
      </c>
      <c r="BZ113">
        <f>SimpleDashData84[[#This Row],[Total Expense]]/SimpleDashData84[[#This Row],[Total Patients]]</f>
        <v>0</v>
      </c>
      <c r="CA113">
        <v>0</v>
      </c>
    </row>
    <row r="114" spans="1:79" x14ac:dyDescent="0.3">
      <c r="A114">
        <v>103</v>
      </c>
      <c r="B114" t="str">
        <v>QCNM RHQ Chillas</v>
      </c>
      <c r="C114" t="str">
        <v>Trust Act</v>
      </c>
      <c r="D114" t="str">
        <v>Capital Region</v>
      </c>
      <c r="E114" t="str">
        <v>Public</v>
      </c>
      <c r="F114" s="2">
        <v>2130</v>
      </c>
      <c r="G114" s="2">
        <v>1650</v>
      </c>
      <c r="H114" s="13">
        <v>1.290909090909091</v>
      </c>
      <c r="I114" s="13"/>
      <c r="BA114">
        <v>113</v>
      </c>
      <c r="BB114" s="12" t="s">
        <v>180</v>
      </c>
      <c r="BD114" t="s">
        <v>33</v>
      </c>
      <c r="BE114" t="s">
        <v>172</v>
      </c>
      <c r="BF114" t="s">
        <v>35</v>
      </c>
      <c r="BG114">
        <v>800</v>
      </c>
      <c r="BH114">
        <v>0</v>
      </c>
      <c r="BI114">
        <v>0</v>
      </c>
      <c r="BJ114">
        <v>6420</v>
      </c>
      <c r="BK114">
        <v>560</v>
      </c>
      <c r="BL114">
        <v>0</v>
      </c>
      <c r="BM114">
        <v>1200</v>
      </c>
      <c r="BN114">
        <v>0</v>
      </c>
      <c r="BO114">
        <v>0</v>
      </c>
      <c r="BP114">
        <v>0</v>
      </c>
      <c r="BQ114">
        <f>SUM(SimpleDashData84[[#This Row],[Convayance]:[Misc]])</f>
        <v>8980</v>
      </c>
      <c r="BR114">
        <v>1083</v>
      </c>
      <c r="BS114">
        <v>741</v>
      </c>
      <c r="BT114">
        <v>320</v>
      </c>
      <c r="BU114">
        <f>SUM(SimpleDashData84[[#This Row],[Male]:[Child]])</f>
        <v>2144</v>
      </c>
      <c r="BW114">
        <f>'[1]Expense Master June-26'!W119</f>
        <v>90.818181818181813</v>
      </c>
      <c r="BZ114">
        <f>SimpleDashData84[[#This Row],[Total Expense]]/SimpleDashData84[[#This Row],[Total Patients]]</f>
        <v>4.1884328358208958</v>
      </c>
      <c r="CA114">
        <v>0</v>
      </c>
    </row>
    <row r="115" spans="1:79" x14ac:dyDescent="0.3">
      <c r="A115">
        <v>104</v>
      </c>
      <c r="B115" t="str">
        <v>QCNM University of Loralai</v>
      </c>
      <c r="C115" t="str">
        <v>Trust Act</v>
      </c>
      <c r="D115" t="str">
        <v>Sindh, Balochistan &amp; AJK Region</v>
      </c>
      <c r="E115" t="str">
        <v>Public</v>
      </c>
      <c r="F115" s="2">
        <v>2100</v>
      </c>
      <c r="G115" s="2">
        <v>2125</v>
      </c>
      <c r="H115" s="13">
        <v>0.9882352941176471</v>
      </c>
      <c r="I115" s="13"/>
      <c r="BA115">
        <v>114</v>
      </c>
      <c r="BB115" s="12" t="s">
        <v>181</v>
      </c>
      <c r="BD115" t="s">
        <v>33</v>
      </c>
      <c r="BE115" t="s">
        <v>172</v>
      </c>
      <c r="BF115" t="s">
        <v>35</v>
      </c>
      <c r="BG115">
        <v>1500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600</v>
      </c>
      <c r="BO115">
        <v>0</v>
      </c>
      <c r="BP115">
        <v>0</v>
      </c>
      <c r="BQ115">
        <f>SUM(SimpleDashData84[[#This Row],[Convayance]:[Misc]])</f>
        <v>2100</v>
      </c>
      <c r="BR115">
        <v>992</v>
      </c>
      <c r="BS115">
        <v>579</v>
      </c>
      <c r="BT115">
        <v>554</v>
      </c>
      <c r="BU115">
        <f>SUM(SimpleDashData84[[#This Row],[Male]:[Child]])</f>
        <v>2125</v>
      </c>
      <c r="BW115">
        <f>'[1]Expense Master June-26'!W120</f>
        <v>104.72727272727273</v>
      </c>
      <c r="BZ115">
        <f>SimpleDashData84[[#This Row],[Total Expense]]/SimpleDashData84[[#This Row],[Total Patients]]</f>
        <v>0.9882352941176471</v>
      </c>
      <c r="CA115">
        <v>0</v>
      </c>
    </row>
    <row r="116" spans="1:79" x14ac:dyDescent="0.3">
      <c r="A116">
        <v>105</v>
      </c>
      <c r="B116" t="str">
        <v>QCNM Lakki Marwat District Jail</v>
      </c>
      <c r="C116" t="str">
        <v>Trust Act</v>
      </c>
      <c r="D116" t="str">
        <v>Capital Region</v>
      </c>
      <c r="E116" t="str">
        <v>Prison</v>
      </c>
      <c r="F116" s="2">
        <v>1960</v>
      </c>
      <c r="G116" s="2">
        <v>1471</v>
      </c>
      <c r="H116" s="13">
        <v>1.3324269204622705</v>
      </c>
      <c r="I116" s="13"/>
      <c r="BA116">
        <v>115</v>
      </c>
      <c r="BB116" s="29" t="s">
        <v>182</v>
      </c>
      <c r="BD116" t="s">
        <v>33</v>
      </c>
      <c r="BE116" t="s">
        <v>172</v>
      </c>
      <c r="BF116" t="s">
        <v>35</v>
      </c>
      <c r="BG116">
        <v>2376</v>
      </c>
      <c r="BH116">
        <v>0</v>
      </c>
      <c r="BI116">
        <v>0</v>
      </c>
      <c r="BJ116">
        <v>0</v>
      </c>
      <c r="BK116">
        <v>2055</v>
      </c>
      <c r="BL116">
        <v>0</v>
      </c>
      <c r="BM116">
        <v>0</v>
      </c>
      <c r="BN116">
        <v>0</v>
      </c>
      <c r="BO116">
        <v>0</v>
      </c>
      <c r="BP116">
        <v>10500</v>
      </c>
      <c r="BQ116">
        <f>SUM(SimpleDashData84[[#This Row],[Convayance]:[Misc]])</f>
        <v>14931</v>
      </c>
      <c r="BR116">
        <v>372</v>
      </c>
      <c r="BS116">
        <v>490</v>
      </c>
      <c r="BT116">
        <v>351</v>
      </c>
      <c r="BU116">
        <f>SUM(SimpleDashData84[[#This Row],[Male]:[Child]])</f>
        <v>1213</v>
      </c>
      <c r="BW116">
        <f>'[1]Expense Master June-26'!W121</f>
        <v>33.409090909090907</v>
      </c>
      <c r="BZ116">
        <f>SimpleDashData84[[#This Row],[Total Expense]]/SimpleDashData84[[#This Row],[Total Patients]]</f>
        <v>12.309150865622424</v>
      </c>
      <c r="CA116">
        <v>0</v>
      </c>
    </row>
    <row r="117" spans="1:79" x14ac:dyDescent="0.3">
      <c r="A117">
        <v>106</v>
      </c>
      <c r="B117" t="str">
        <v>QCNM Ghizer, District Jail</v>
      </c>
      <c r="C117" t="str">
        <v>U/S 42</v>
      </c>
      <c r="D117" t="str">
        <v>Capital Region</v>
      </c>
      <c r="E117" t="str">
        <v>Prison</v>
      </c>
      <c r="F117" s="2">
        <v>1940</v>
      </c>
      <c r="G117" s="2">
        <v>618</v>
      </c>
      <c r="H117" s="13">
        <v>3.1391585760517797</v>
      </c>
      <c r="I117" s="13"/>
      <c r="BA117">
        <v>116</v>
      </c>
      <c r="BB117" s="12" t="s">
        <v>183</v>
      </c>
      <c r="BD117" t="s">
        <v>33</v>
      </c>
      <c r="BE117" t="s">
        <v>172</v>
      </c>
      <c r="BF117" t="s">
        <v>35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f>SUM(SimpleDashData84[[#This Row],[Convayance]:[Misc]])</f>
        <v>0</v>
      </c>
      <c r="BR117">
        <v>78</v>
      </c>
      <c r="BS117">
        <v>60</v>
      </c>
      <c r="BT117">
        <v>2</v>
      </c>
      <c r="BU117">
        <f>SUM(SimpleDashData84[[#This Row],[Male]:[Child]])</f>
        <v>140</v>
      </c>
      <c r="BW117">
        <f>'[1]Expense Master June-26'!W122</f>
        <v>18.318181818181817</v>
      </c>
      <c r="BZ117">
        <f>SimpleDashData84[[#This Row],[Total Expense]]/SimpleDashData84[[#This Row],[Total Patients]]</f>
        <v>0</v>
      </c>
      <c r="CA117">
        <v>0</v>
      </c>
    </row>
    <row r="118" spans="1:79" x14ac:dyDescent="0.3">
      <c r="A118">
        <v>107</v>
      </c>
      <c r="B118" t="str">
        <v>QCNM Sub Jail, Chakwal</v>
      </c>
      <c r="C118" t="str">
        <v>Trust Act</v>
      </c>
      <c r="D118" t="str">
        <v>South &amp; North Punjab Region</v>
      </c>
      <c r="E118" t="str">
        <v>Prison</v>
      </c>
      <c r="F118" s="2">
        <v>1910</v>
      </c>
      <c r="G118" s="2">
        <v>828</v>
      </c>
      <c r="H118" s="13">
        <v>2.3067632850241546</v>
      </c>
      <c r="I118" s="13"/>
      <c r="BA118">
        <v>117</v>
      </c>
      <c r="BB118" s="12" t="s">
        <v>184</v>
      </c>
      <c r="BD118" t="s">
        <v>33</v>
      </c>
      <c r="BE118" t="s">
        <v>172</v>
      </c>
      <c r="BF118" t="s">
        <v>35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260</v>
      </c>
      <c r="BM118">
        <v>0</v>
      </c>
      <c r="BN118">
        <v>120</v>
      </c>
      <c r="BO118">
        <v>0</v>
      </c>
      <c r="BP118">
        <v>0</v>
      </c>
      <c r="BQ118">
        <f>SUM(SimpleDashData84[[#This Row],[Convayance]:[Misc]])</f>
        <v>380</v>
      </c>
      <c r="BR118">
        <v>144</v>
      </c>
      <c r="BS118">
        <v>60</v>
      </c>
      <c r="BT118">
        <v>16</v>
      </c>
      <c r="BU118">
        <f>SUM(SimpleDashData84[[#This Row],[Male]:[Child]])</f>
        <v>220</v>
      </c>
      <c r="BW118">
        <f>'[1]Expense Master June-26'!W123</f>
        <v>18.954545454545453</v>
      </c>
      <c r="BZ118">
        <f>SimpleDashData84[[#This Row],[Total Expense]]/SimpleDashData84[[#This Row],[Total Patients]]</f>
        <v>1.7272727272727273</v>
      </c>
      <c r="CA118">
        <v>0</v>
      </c>
    </row>
    <row r="119" spans="1:79" x14ac:dyDescent="0.3">
      <c r="A119">
        <v>108</v>
      </c>
      <c r="B119" t="str">
        <v>QCNM Vehari, District Jail</v>
      </c>
      <c r="C119" t="str">
        <v>Trust Act</v>
      </c>
      <c r="D119" t="str">
        <v>South &amp; North Punjab Region</v>
      </c>
      <c r="E119" t="str">
        <v>Prison</v>
      </c>
      <c r="F119" s="2">
        <v>1875</v>
      </c>
      <c r="G119" s="2">
        <v>2554</v>
      </c>
      <c r="H119" s="13">
        <v>0.73414252153484727</v>
      </c>
      <c r="I119" s="13"/>
      <c r="BA119">
        <v>118</v>
      </c>
      <c r="BB119" s="12" t="s">
        <v>185</v>
      </c>
      <c r="BD119" t="s">
        <v>33</v>
      </c>
      <c r="BE119" t="s">
        <v>172</v>
      </c>
      <c r="BF119" t="s">
        <v>35</v>
      </c>
      <c r="BG119">
        <v>1000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f>SUM(SimpleDashData84[[#This Row],[Convayance]:[Misc]])</f>
        <v>1000</v>
      </c>
      <c r="BR119">
        <v>74</v>
      </c>
      <c r="BS119">
        <v>62</v>
      </c>
      <c r="BT119">
        <v>7</v>
      </c>
      <c r="BU119">
        <f>SUM(SimpleDashData84[[#This Row],[Male]:[Child]])</f>
        <v>143</v>
      </c>
      <c r="BW119">
        <f>'[1]Expense Master June-26'!W124</f>
        <v>39.31818181818182</v>
      </c>
      <c r="BZ119">
        <f>SimpleDashData84[[#This Row],[Total Expense]]/SimpleDashData84[[#This Row],[Total Patients]]</f>
        <v>6.9930069930069934</v>
      </c>
      <c r="CA119">
        <v>0</v>
      </c>
    </row>
    <row r="120" spans="1:79" x14ac:dyDescent="0.3">
      <c r="A120">
        <v>109</v>
      </c>
      <c r="B120" t="str">
        <v>QCNM Faisalabad, Women District Jail</v>
      </c>
      <c r="C120" t="str">
        <v>Trust Act</v>
      </c>
      <c r="D120" t="str">
        <v>Central Punjab Region</v>
      </c>
      <c r="E120" t="str">
        <v>Prison</v>
      </c>
      <c r="F120" s="2">
        <v>1615</v>
      </c>
      <c r="G120" s="2">
        <v>54</v>
      </c>
      <c r="H120" s="13">
        <v>29.907407407407408</v>
      </c>
      <c r="I120" s="13"/>
      <c r="BA120">
        <v>119</v>
      </c>
      <c r="BB120" s="12" t="s">
        <v>186</v>
      </c>
      <c r="BD120" t="s">
        <v>68</v>
      </c>
      <c r="BE120" t="s">
        <v>172</v>
      </c>
      <c r="BF120" t="s">
        <v>35</v>
      </c>
      <c r="BG120">
        <v>300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250</v>
      </c>
      <c r="BO120">
        <v>9100</v>
      </c>
      <c r="BP120">
        <v>0</v>
      </c>
      <c r="BQ120">
        <f>SUM(SimpleDashData84[[#This Row],[Convayance]:[Misc]])</f>
        <v>9650</v>
      </c>
      <c r="BR120">
        <v>422</v>
      </c>
      <c r="BS120">
        <v>1127</v>
      </c>
      <c r="BT120">
        <v>372</v>
      </c>
      <c r="BU120">
        <f>SUM(SimpleDashData84[[#This Row],[Male]:[Child]])</f>
        <v>1921</v>
      </c>
      <c r="BW120">
        <f>'[1]Expense Master June-26'!W125</f>
        <v>57.5</v>
      </c>
      <c r="BZ120">
        <f>SimpleDashData84[[#This Row],[Total Expense]]/SimpleDashData84[[#This Row],[Total Patients]]</f>
        <v>5.0234252993232689</v>
      </c>
      <c r="CA120">
        <v>0</v>
      </c>
    </row>
    <row r="121" spans="1:79" x14ac:dyDescent="0.3">
      <c r="A121">
        <v>110</v>
      </c>
      <c r="B121" t="str">
        <v>QCNM Okara, District Jail</v>
      </c>
      <c r="C121" t="str">
        <v>Trust Act</v>
      </c>
      <c r="D121" t="str">
        <v>South &amp; North Punjab Region</v>
      </c>
      <c r="E121" t="str">
        <v>Prison</v>
      </c>
      <c r="F121" s="2">
        <v>1560</v>
      </c>
      <c r="G121" s="2">
        <v>1330</v>
      </c>
      <c r="H121" s="13">
        <v>1.1729323308270676</v>
      </c>
      <c r="I121" s="13"/>
      <c r="BA121">
        <v>120</v>
      </c>
      <c r="BB121" s="12" t="s">
        <v>187</v>
      </c>
      <c r="BD121" t="s">
        <v>33</v>
      </c>
      <c r="BE121" t="s">
        <v>172</v>
      </c>
      <c r="BF121" t="s">
        <v>64</v>
      </c>
      <c r="BG121">
        <v>400</v>
      </c>
      <c r="BH121">
        <v>0</v>
      </c>
      <c r="BI121">
        <v>0</v>
      </c>
      <c r="BJ121">
        <v>845</v>
      </c>
      <c r="BK121">
        <v>550</v>
      </c>
      <c r="BL121">
        <v>460</v>
      </c>
      <c r="BM121">
        <v>0</v>
      </c>
      <c r="BN121">
        <v>220</v>
      </c>
      <c r="BO121">
        <v>0</v>
      </c>
      <c r="BP121">
        <v>691</v>
      </c>
      <c r="BQ121">
        <f>SUM(SimpleDashData84[[#This Row],[Convayance]:[Misc]])</f>
        <v>3166</v>
      </c>
      <c r="BR121">
        <v>1144</v>
      </c>
      <c r="BS121">
        <v>0</v>
      </c>
      <c r="BT121">
        <v>0</v>
      </c>
      <c r="BU121">
        <f>SUM(SimpleDashData84[[#This Row],[Male]:[Child]])</f>
        <v>1144</v>
      </c>
      <c r="BW121">
        <f>'[1]Expense Master June-26'!W126</f>
        <v>56.31818181818182</v>
      </c>
      <c r="BZ121">
        <f>SimpleDashData84[[#This Row],[Total Expense]]/SimpleDashData84[[#This Row],[Total Patients]]</f>
        <v>2.7674825174825175</v>
      </c>
      <c r="CA121">
        <v>0</v>
      </c>
    </row>
    <row r="122" spans="1:79" x14ac:dyDescent="0.3">
      <c r="A122">
        <v>111</v>
      </c>
      <c r="B122" t="str">
        <v>QCNM Quetta, District Jail</v>
      </c>
      <c r="C122" t="str">
        <v>U/S 42</v>
      </c>
      <c r="D122" t="str">
        <v>Sindh, Balochistan &amp; AJK Region</v>
      </c>
      <c r="E122" t="str">
        <v>Prison</v>
      </c>
      <c r="F122" s="2">
        <v>1430</v>
      </c>
      <c r="G122" s="2">
        <v>1316</v>
      </c>
      <c r="H122" s="13">
        <v>1.0866261398176291</v>
      </c>
      <c r="I122" s="13"/>
      <c r="BA122">
        <v>121</v>
      </c>
      <c r="BB122" s="12" t="s">
        <v>188</v>
      </c>
      <c r="BD122" t="s">
        <v>68</v>
      </c>
      <c r="BE122" t="s">
        <v>172</v>
      </c>
      <c r="BF122" t="s">
        <v>64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f>SUM(SimpleDashData84[[#This Row],[Convayance]:[Misc]])</f>
        <v>0</v>
      </c>
      <c r="BR122">
        <v>361</v>
      </c>
      <c r="BS122">
        <v>0</v>
      </c>
      <c r="BT122">
        <v>0</v>
      </c>
      <c r="BU122">
        <f>SUM(SimpleDashData84[[#This Row],[Male]:[Child]])</f>
        <v>361</v>
      </c>
      <c r="BW122">
        <f>'[1]Expense Master June-26'!W127</f>
        <v>42.136363636363633</v>
      </c>
      <c r="BZ122">
        <f>SimpleDashData84[[#This Row],[Total Expense]]/SimpleDashData84[[#This Row],[Total Patients]]</f>
        <v>0</v>
      </c>
      <c r="CA122">
        <v>0</v>
      </c>
    </row>
    <row r="123" spans="1:79" x14ac:dyDescent="0.3">
      <c r="A123">
        <v>112</v>
      </c>
      <c r="B123" t="str">
        <v>QCNM Kotli District Jail</v>
      </c>
      <c r="C123" t="str">
        <v>Society Act</v>
      </c>
      <c r="D123" t="str">
        <v>Sindh, Balochistan &amp; AJK Region</v>
      </c>
      <c r="E123" t="str">
        <v>Prison</v>
      </c>
      <c r="F123" s="2">
        <v>1300</v>
      </c>
      <c r="G123" s="2">
        <v>708</v>
      </c>
      <c r="H123" s="13">
        <v>1.8361581920903955</v>
      </c>
      <c r="I123" s="13"/>
      <c r="BA123">
        <v>122</v>
      </c>
      <c r="BB123" s="12" t="s">
        <v>189</v>
      </c>
      <c r="BD123" t="s">
        <v>33</v>
      </c>
      <c r="BE123" t="s">
        <v>172</v>
      </c>
      <c r="BF123" t="s">
        <v>64</v>
      </c>
      <c r="BG123">
        <v>1200</v>
      </c>
      <c r="BH123">
        <v>0</v>
      </c>
      <c r="BI123">
        <v>0</v>
      </c>
      <c r="BJ123">
        <v>5720</v>
      </c>
      <c r="BK123">
        <v>520</v>
      </c>
      <c r="BL123">
        <v>0</v>
      </c>
      <c r="BM123">
        <v>0</v>
      </c>
      <c r="BN123">
        <v>0</v>
      </c>
      <c r="BO123">
        <v>0</v>
      </c>
      <c r="BP123">
        <v>1000</v>
      </c>
      <c r="BQ123">
        <f>SUM(SimpleDashData84[[#This Row],[Convayance]:[Misc]])</f>
        <v>8440</v>
      </c>
      <c r="BR123">
        <v>1764</v>
      </c>
      <c r="BS123">
        <v>89</v>
      </c>
      <c r="BT123">
        <v>211</v>
      </c>
      <c r="BU123">
        <f>SUM(SimpleDashData84[[#This Row],[Male]:[Child]])</f>
        <v>2064</v>
      </c>
      <c r="BW123">
        <f>'[1]Expense Master June-26'!W128</f>
        <v>85.36363636363636</v>
      </c>
      <c r="BZ123">
        <f>SimpleDashData84[[#This Row],[Total Expense]]/SimpleDashData84[[#This Row],[Total Patients]]</f>
        <v>4.0891472868217056</v>
      </c>
      <c r="CA123">
        <v>0</v>
      </c>
    </row>
    <row r="124" spans="1:79" x14ac:dyDescent="0.3">
      <c r="A124">
        <v>113</v>
      </c>
      <c r="B124" t="str">
        <v>QCNM Chitral District Jail</v>
      </c>
      <c r="C124" t="str">
        <v>Trust Act</v>
      </c>
      <c r="D124" t="str">
        <v>Capital Region</v>
      </c>
      <c r="E124" t="str">
        <v>Prison</v>
      </c>
      <c r="F124" s="2">
        <v>1200</v>
      </c>
      <c r="G124" s="2">
        <v>1486</v>
      </c>
      <c r="H124" s="13">
        <v>0.80753701211305517</v>
      </c>
      <c r="I124" s="13"/>
      <c r="BA124">
        <v>123</v>
      </c>
      <c r="BB124" s="12" t="s">
        <v>190</v>
      </c>
      <c r="BD124" t="s">
        <v>33</v>
      </c>
      <c r="BE124" t="s">
        <v>172</v>
      </c>
      <c r="BF124" t="s">
        <v>64</v>
      </c>
      <c r="BG124">
        <v>0</v>
      </c>
      <c r="BH124">
        <v>0</v>
      </c>
      <c r="BI124">
        <v>0</v>
      </c>
      <c r="BJ124">
        <v>6000</v>
      </c>
      <c r="BK124">
        <v>2710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f>SUM(SimpleDashData84[[#This Row],[Convayance]:[Misc]])</f>
        <v>8710</v>
      </c>
      <c r="BR124">
        <v>1301</v>
      </c>
      <c r="BS124">
        <v>5</v>
      </c>
      <c r="BT124">
        <v>2</v>
      </c>
      <c r="BU124">
        <f>SUM(SimpleDashData84[[#This Row],[Male]:[Child]])</f>
        <v>1308</v>
      </c>
      <c r="BW124">
        <f>'[1]Expense Master June-26'!W129</f>
        <v>69.318181818181813</v>
      </c>
      <c r="BZ124">
        <f>SimpleDashData84[[#This Row],[Total Expense]]/SimpleDashData84[[#This Row],[Total Patients]]</f>
        <v>6.6590214067278284</v>
      </c>
      <c r="CA124">
        <v>0</v>
      </c>
    </row>
    <row r="125" spans="1:79" x14ac:dyDescent="0.3">
      <c r="A125">
        <v>114</v>
      </c>
      <c r="B125" t="str">
        <v>QCNM Gift University Gujranwala (Women Campus)</v>
      </c>
      <c r="C125" t="str">
        <v>Trust Act</v>
      </c>
      <c r="D125" t="str">
        <v>Central Punjab Region</v>
      </c>
      <c r="E125" t="str">
        <v>Public</v>
      </c>
      <c r="F125" s="2">
        <v>1180</v>
      </c>
      <c r="G125" s="2">
        <v>168</v>
      </c>
      <c r="H125" s="13">
        <v>7.0238095238095237</v>
      </c>
      <c r="I125" s="13"/>
      <c r="BA125">
        <v>124</v>
      </c>
      <c r="BB125" s="12" t="s">
        <v>191</v>
      </c>
      <c r="BD125" t="s">
        <v>68</v>
      </c>
      <c r="BE125" t="s">
        <v>172</v>
      </c>
      <c r="BF125" t="s">
        <v>64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530</v>
      </c>
      <c r="BO125">
        <v>500</v>
      </c>
      <c r="BP125">
        <v>400</v>
      </c>
      <c r="BQ125">
        <f>SUM(SimpleDashData84[[#This Row],[Convayance]:[Misc]])</f>
        <v>1430</v>
      </c>
      <c r="BR125">
        <v>1238</v>
      </c>
      <c r="BS125">
        <v>52</v>
      </c>
      <c r="BT125">
        <v>26</v>
      </c>
      <c r="BU125">
        <f>SUM(SimpleDashData84[[#This Row],[Male]:[Child]])</f>
        <v>1316</v>
      </c>
      <c r="BW125">
        <f>'[1]Expense Master June-26'!W130</f>
        <v>65.181818181818187</v>
      </c>
      <c r="BZ125">
        <f>SimpleDashData84[[#This Row],[Total Expense]]/SimpleDashData84[[#This Row],[Total Patients]]</f>
        <v>1.0866261398176291</v>
      </c>
      <c r="CA125">
        <v>0</v>
      </c>
    </row>
    <row r="126" spans="1:79" x14ac:dyDescent="0.3">
      <c r="A126">
        <v>115</v>
      </c>
      <c r="B126" t="str">
        <v>QCNM Abottabad, District Jail</v>
      </c>
      <c r="C126" t="str">
        <v>Trust Act</v>
      </c>
      <c r="D126" t="str">
        <v>Capital Region</v>
      </c>
      <c r="E126" t="str">
        <v>Prison</v>
      </c>
      <c r="F126" s="2">
        <v>1000</v>
      </c>
      <c r="G126" s="2">
        <v>1107</v>
      </c>
      <c r="H126" s="13">
        <v>0.90334236675700086</v>
      </c>
      <c r="I126" s="13"/>
      <c r="BA126">
        <v>125</v>
      </c>
      <c r="BB126" s="12" t="s">
        <v>192</v>
      </c>
      <c r="BD126" t="s">
        <v>33</v>
      </c>
      <c r="BE126" t="s">
        <v>172</v>
      </c>
      <c r="BF126" t="s">
        <v>64</v>
      </c>
      <c r="BG126">
        <v>0</v>
      </c>
      <c r="BH126">
        <v>0</v>
      </c>
      <c r="BI126">
        <v>0</v>
      </c>
      <c r="BJ126">
        <v>7650</v>
      </c>
      <c r="BK126">
        <v>550</v>
      </c>
      <c r="BL126">
        <v>410</v>
      </c>
      <c r="BM126">
        <v>0</v>
      </c>
      <c r="BN126">
        <v>0</v>
      </c>
      <c r="BO126">
        <v>500</v>
      </c>
      <c r="BP126">
        <v>0</v>
      </c>
      <c r="BQ126">
        <f>SUM(SimpleDashData84[[#This Row],[Convayance]:[Misc]])</f>
        <v>9110</v>
      </c>
      <c r="BR126">
        <v>2173</v>
      </c>
      <c r="BS126">
        <v>0</v>
      </c>
      <c r="BT126">
        <v>0</v>
      </c>
      <c r="BU126">
        <f>SUM(SimpleDashData84[[#This Row],[Male]:[Child]])</f>
        <v>2173</v>
      </c>
      <c r="BW126">
        <f>'[1]Expense Master June-26'!W131</f>
        <v>117.5</v>
      </c>
      <c r="BZ126">
        <f>SimpleDashData84[[#This Row],[Total Expense]]/SimpleDashData84[[#This Row],[Total Patients]]</f>
        <v>4.1923607915324439</v>
      </c>
      <c r="CA126">
        <v>0</v>
      </c>
    </row>
    <row r="127" spans="1:79" x14ac:dyDescent="0.3">
      <c r="A127">
        <v>116</v>
      </c>
      <c r="B127" t="str">
        <v>QCNM Faisalabad, GCU (New Campus)</v>
      </c>
      <c r="C127" t="str">
        <v>Trust Act</v>
      </c>
      <c r="D127" t="str">
        <v>Central Punjab Region</v>
      </c>
      <c r="E127" t="str">
        <v>Public</v>
      </c>
      <c r="F127" s="2">
        <v>1000</v>
      </c>
      <c r="G127" s="2">
        <v>580</v>
      </c>
      <c r="H127" s="13">
        <v>1.7241379310344827</v>
      </c>
      <c r="I127" s="13"/>
      <c r="BA127">
        <v>126</v>
      </c>
      <c r="BB127" s="12" t="s">
        <v>193</v>
      </c>
      <c r="BD127" t="s">
        <v>68</v>
      </c>
      <c r="BE127" t="s">
        <v>172</v>
      </c>
      <c r="BF127" t="s">
        <v>64</v>
      </c>
      <c r="BG127">
        <v>3800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730</v>
      </c>
      <c r="BO127">
        <v>500</v>
      </c>
      <c r="BP127">
        <v>0</v>
      </c>
      <c r="BQ127">
        <f>SUM(SimpleDashData84[[#This Row],[Convayance]:[Misc]])</f>
        <v>5030</v>
      </c>
      <c r="BR127">
        <v>2329</v>
      </c>
      <c r="BS127">
        <v>0</v>
      </c>
      <c r="BT127">
        <v>0</v>
      </c>
      <c r="BU127">
        <f>SUM(SimpleDashData84[[#This Row],[Male]:[Child]])</f>
        <v>2329</v>
      </c>
      <c r="BW127">
        <f>'[1]Expense Master June-26'!W132</f>
        <v>114.86363636363636</v>
      </c>
      <c r="BZ127">
        <f>SimpleDashData84[[#This Row],[Total Expense]]/SimpleDashData84[[#This Row],[Total Patients]]</f>
        <v>2.1597252039501931</v>
      </c>
      <c r="CA127">
        <v>0</v>
      </c>
    </row>
    <row r="128" spans="1:79" x14ac:dyDescent="0.3">
      <c r="A128">
        <v>117</v>
      </c>
      <c r="B128" t="str">
        <v>QCNM University of Kotli</v>
      </c>
      <c r="C128" t="str">
        <v>Trust Act</v>
      </c>
      <c r="D128" t="str">
        <v>Sindh, Balochistan &amp; AJK Region</v>
      </c>
      <c r="E128" t="str">
        <v>Public</v>
      </c>
      <c r="F128" s="2">
        <v>1000</v>
      </c>
      <c r="G128" s="2">
        <v>143</v>
      </c>
      <c r="H128" s="13">
        <v>6.9930069930069934</v>
      </c>
      <c r="I128" s="13"/>
      <c r="BA128">
        <v>127</v>
      </c>
      <c r="BB128" s="12" t="s">
        <v>194</v>
      </c>
      <c r="BD128" t="s">
        <v>33</v>
      </c>
      <c r="BE128" t="s">
        <v>172</v>
      </c>
      <c r="BF128" t="s">
        <v>64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500</v>
      </c>
      <c r="BM128">
        <v>0</v>
      </c>
      <c r="BN128">
        <v>0</v>
      </c>
      <c r="BO128">
        <v>0</v>
      </c>
      <c r="BP128">
        <v>0</v>
      </c>
      <c r="BQ128">
        <f>SUM(SimpleDashData84[[#This Row],[Convayance]:[Misc]])</f>
        <v>500</v>
      </c>
      <c r="BR128">
        <v>22</v>
      </c>
      <c r="BS128">
        <v>605</v>
      </c>
      <c r="BT128">
        <v>72</v>
      </c>
      <c r="BU128">
        <f>SUM(SimpleDashData84[[#This Row],[Male]:[Child]])</f>
        <v>699</v>
      </c>
      <c r="BW128">
        <f>'[1]Expense Master June-26'!W133</f>
        <v>52.363636363636367</v>
      </c>
      <c r="BZ128">
        <f>SimpleDashData84[[#This Row],[Total Expense]]/SimpleDashData84[[#This Row],[Total Patients]]</f>
        <v>0.71530758226037194</v>
      </c>
      <c r="CA128">
        <v>0</v>
      </c>
    </row>
    <row r="129" spans="1:79" x14ac:dyDescent="0.3">
      <c r="A129">
        <v>118</v>
      </c>
      <c r="B129" t="str">
        <v>QCNM Chillas District Jail</v>
      </c>
      <c r="C129" t="str">
        <v>U/S 42</v>
      </c>
      <c r="D129" t="str">
        <v>Capital Region</v>
      </c>
      <c r="E129" t="str">
        <v>Prison</v>
      </c>
      <c r="F129" s="2">
        <v>920</v>
      </c>
      <c r="G129" s="2">
        <v>705</v>
      </c>
      <c r="H129" s="13">
        <v>1.3049645390070923</v>
      </c>
      <c r="I129" s="13"/>
      <c r="BA129">
        <v>128</v>
      </c>
      <c r="BB129" s="12" t="s">
        <v>195</v>
      </c>
      <c r="BD129" t="s">
        <v>33</v>
      </c>
      <c r="BE129" t="s">
        <v>172</v>
      </c>
      <c r="BF129" t="s">
        <v>64</v>
      </c>
      <c r="BG129">
        <v>0</v>
      </c>
      <c r="BH129">
        <v>0</v>
      </c>
      <c r="BI129">
        <v>0</v>
      </c>
      <c r="BJ129">
        <v>1600</v>
      </c>
      <c r="BK129">
        <v>560</v>
      </c>
      <c r="BL129">
        <v>0</v>
      </c>
      <c r="BM129">
        <v>0</v>
      </c>
      <c r="BN129">
        <v>480</v>
      </c>
      <c r="BO129">
        <v>500</v>
      </c>
      <c r="BP129">
        <v>0</v>
      </c>
      <c r="BQ129">
        <f>SUM(SimpleDashData84[[#This Row],[Convayance]:[Misc]])</f>
        <v>3140</v>
      </c>
      <c r="BR129">
        <v>1317</v>
      </c>
      <c r="BS129">
        <v>0</v>
      </c>
      <c r="BT129">
        <v>0</v>
      </c>
      <c r="BU129">
        <f>SUM(SimpleDashData84[[#This Row],[Male]:[Child]])</f>
        <v>1317</v>
      </c>
      <c r="BW129">
        <f>'[1]Expense Master June-26'!W134</f>
        <v>52.590909090909093</v>
      </c>
      <c r="BZ129">
        <f>SimpleDashData84[[#This Row],[Total Expense]]/SimpleDashData84[[#This Row],[Total Patients]]</f>
        <v>2.3842065299924071</v>
      </c>
      <c r="CA129">
        <v>0</v>
      </c>
    </row>
    <row r="130" spans="1:79" x14ac:dyDescent="0.3">
      <c r="A130">
        <v>119</v>
      </c>
      <c r="B130" t="str">
        <v>QCNM Karak, Central Jail</v>
      </c>
      <c r="C130" t="str">
        <v>Trust Act</v>
      </c>
      <c r="D130" t="str">
        <v>Capital Region</v>
      </c>
      <c r="E130" t="str">
        <v>Prison</v>
      </c>
      <c r="F130" s="2">
        <v>850</v>
      </c>
      <c r="G130" s="2">
        <v>1713</v>
      </c>
      <c r="H130" s="13">
        <v>0.49620548744892001</v>
      </c>
      <c r="I130" s="13"/>
      <c r="BA130">
        <v>129</v>
      </c>
      <c r="BB130" s="12" t="s">
        <v>196</v>
      </c>
      <c r="BD130" t="s">
        <v>68</v>
      </c>
      <c r="BE130" t="s">
        <v>172</v>
      </c>
      <c r="BF130" t="s">
        <v>64</v>
      </c>
      <c r="BG130">
        <v>0</v>
      </c>
      <c r="BH130">
        <v>3850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300</v>
      </c>
      <c r="BO130">
        <v>500</v>
      </c>
      <c r="BP130">
        <v>0</v>
      </c>
      <c r="BQ130">
        <f>SUM(SimpleDashData84[[#This Row],[Convayance]:[Misc]])</f>
        <v>4650</v>
      </c>
      <c r="BR130">
        <v>1411</v>
      </c>
      <c r="BS130">
        <v>59</v>
      </c>
      <c r="BT130">
        <v>165</v>
      </c>
      <c r="BU130">
        <f>SUM(SimpleDashData84[[#This Row],[Male]:[Child]])</f>
        <v>1635</v>
      </c>
      <c r="BW130">
        <f>'[1]Expense Master June-26'!W135</f>
        <v>71.727272727272734</v>
      </c>
      <c r="BZ130">
        <f>SimpleDashData84[[#This Row],[Total Expense]]/SimpleDashData84[[#This Row],[Total Patients]]</f>
        <v>2.8440366972477062</v>
      </c>
      <c r="CA130">
        <v>0</v>
      </c>
    </row>
    <row r="131" spans="1:79" x14ac:dyDescent="0.3">
      <c r="A131">
        <v>120</v>
      </c>
      <c r="B131" t="str">
        <v>QCNM Skardu District Jail</v>
      </c>
      <c r="C131" t="str">
        <v>U/S 42</v>
      </c>
      <c r="D131" t="str">
        <v>Capital Region</v>
      </c>
      <c r="E131" t="str">
        <v>Prison</v>
      </c>
      <c r="F131" s="2">
        <v>820</v>
      </c>
      <c r="G131" s="2">
        <v>692</v>
      </c>
      <c r="H131" s="13">
        <v>1.1849710982658959</v>
      </c>
      <c r="I131" s="13"/>
      <c r="BA131">
        <v>130</v>
      </c>
      <c r="BB131" s="12" t="s">
        <v>197</v>
      </c>
      <c r="BD131" t="s">
        <v>33</v>
      </c>
      <c r="BE131" t="s">
        <v>172</v>
      </c>
      <c r="BF131" t="s">
        <v>64</v>
      </c>
      <c r="BG131">
        <v>0</v>
      </c>
      <c r="BH131">
        <v>0</v>
      </c>
      <c r="BI131">
        <v>0</v>
      </c>
      <c r="BJ131">
        <v>1100</v>
      </c>
      <c r="BK131">
        <v>600</v>
      </c>
      <c r="BL131">
        <v>750</v>
      </c>
      <c r="BM131">
        <v>0</v>
      </c>
      <c r="BN131">
        <v>500</v>
      </c>
      <c r="BO131">
        <v>500</v>
      </c>
      <c r="BP131">
        <v>500</v>
      </c>
      <c r="BQ131">
        <f>SUM(SimpleDashData84[[#This Row],[Convayance]:[Misc]])</f>
        <v>3950</v>
      </c>
      <c r="BR131">
        <v>900</v>
      </c>
      <c r="BS131">
        <v>0</v>
      </c>
      <c r="BT131">
        <v>0</v>
      </c>
      <c r="BU131">
        <f>SUM(SimpleDashData84[[#This Row],[Male]:[Child]])</f>
        <v>900</v>
      </c>
      <c r="BW131">
        <f>'[1]Expense Master June-26'!W136</f>
        <v>58.409090909090907</v>
      </c>
      <c r="BZ131">
        <f>SimpleDashData84[[#This Row],[Total Expense]]/SimpleDashData84[[#This Row],[Total Patients]]</f>
        <v>4.3888888888888893</v>
      </c>
      <c r="CA131">
        <v>0</v>
      </c>
    </row>
    <row r="132" spans="1:79" x14ac:dyDescent="0.3">
      <c r="A132">
        <v>121</v>
      </c>
      <c r="B132" t="str">
        <v>QCNM Bahawalpur, Borstal Jail</v>
      </c>
      <c r="C132" t="str">
        <v>Trust Act</v>
      </c>
      <c r="D132" t="str">
        <v>South &amp; North Punjab Region</v>
      </c>
      <c r="E132" t="str">
        <v>Prison</v>
      </c>
      <c r="F132" s="2">
        <v>615</v>
      </c>
      <c r="G132" s="2">
        <v>422</v>
      </c>
      <c r="H132" s="13">
        <v>1.4573459715639809</v>
      </c>
      <c r="I132" s="13"/>
      <c r="BA132">
        <v>131</v>
      </c>
      <c r="BB132" s="12" t="s">
        <v>198</v>
      </c>
      <c r="BD132" t="s">
        <v>68</v>
      </c>
      <c r="BE132" t="s">
        <v>172</v>
      </c>
      <c r="BF132" t="s">
        <v>64</v>
      </c>
      <c r="BG132">
        <v>1000</v>
      </c>
      <c r="BH132">
        <v>0</v>
      </c>
      <c r="BI132">
        <v>0</v>
      </c>
      <c r="BJ132">
        <v>450</v>
      </c>
      <c r="BK132">
        <v>0</v>
      </c>
      <c r="BL132">
        <v>400</v>
      </c>
      <c r="BM132">
        <v>0</v>
      </c>
      <c r="BN132">
        <v>340</v>
      </c>
      <c r="BO132">
        <v>1000</v>
      </c>
      <c r="BP132">
        <v>0</v>
      </c>
      <c r="BQ132">
        <f>SUM(SimpleDashData84[[#This Row],[Convayance]:[Misc]])</f>
        <v>3190</v>
      </c>
      <c r="BR132">
        <v>814</v>
      </c>
      <c r="BS132">
        <v>2</v>
      </c>
      <c r="BT132">
        <v>7</v>
      </c>
      <c r="BU132">
        <f>SUM(SimpleDashData84[[#This Row],[Male]:[Child]])</f>
        <v>823</v>
      </c>
      <c r="BW132">
        <f>'[1]Expense Master June-26'!W137</f>
        <v>49.954545454545453</v>
      </c>
      <c r="BZ132">
        <f>SimpleDashData84[[#This Row],[Total Expense]]/SimpleDashData84[[#This Row],[Total Patients]]</f>
        <v>3.8760631834750909</v>
      </c>
      <c r="CA132">
        <v>0</v>
      </c>
    </row>
    <row r="133" spans="1:79" x14ac:dyDescent="0.3">
      <c r="A133">
        <v>122</v>
      </c>
      <c r="B133" t="str">
        <v>QCNM Tank, Sub Jail</v>
      </c>
      <c r="C133" t="str">
        <v>Trust Act</v>
      </c>
      <c r="D133" t="str">
        <v>Capital Region</v>
      </c>
      <c r="E133" t="str">
        <v>Prison</v>
      </c>
      <c r="F133" s="2">
        <v>500</v>
      </c>
      <c r="G133" s="2">
        <v>868</v>
      </c>
      <c r="H133" s="13">
        <v>0.57603686635944695</v>
      </c>
      <c r="I133" s="13"/>
      <c r="BA133">
        <v>132</v>
      </c>
      <c r="BB133" s="12" t="s">
        <v>199</v>
      </c>
      <c r="BD133" t="s">
        <v>33</v>
      </c>
      <c r="BE133" t="s">
        <v>172</v>
      </c>
      <c r="BF133" t="s">
        <v>64</v>
      </c>
      <c r="BG133">
        <v>7500</v>
      </c>
      <c r="BH133">
        <v>0</v>
      </c>
      <c r="BI133">
        <v>0</v>
      </c>
      <c r="BJ133">
        <v>6480</v>
      </c>
      <c r="BK133">
        <v>650</v>
      </c>
      <c r="BL133">
        <v>1020</v>
      </c>
      <c r="BM133">
        <v>0</v>
      </c>
      <c r="BN133">
        <v>0</v>
      </c>
      <c r="BO133">
        <v>500</v>
      </c>
      <c r="BP133">
        <v>0</v>
      </c>
      <c r="BQ133">
        <f>SUM(SimpleDashData84[[#This Row],[Convayance]:[Misc]])</f>
        <v>16150</v>
      </c>
      <c r="BR133">
        <v>780</v>
      </c>
      <c r="BS133">
        <v>208</v>
      </c>
      <c r="BT133">
        <v>344</v>
      </c>
      <c r="BU133">
        <f>SUM(SimpleDashData84[[#This Row],[Male]:[Child]])</f>
        <v>1332</v>
      </c>
      <c r="BW133">
        <f>'[1]Expense Master June-26'!W138</f>
        <v>52.5</v>
      </c>
      <c r="BZ133">
        <f>SimpleDashData84[[#This Row],[Total Expense]]/SimpleDashData84[[#This Row],[Total Patients]]</f>
        <v>12.124624624624625</v>
      </c>
      <c r="CA133">
        <v>0</v>
      </c>
    </row>
    <row r="134" spans="1:79" x14ac:dyDescent="0.3">
      <c r="A134">
        <v>123</v>
      </c>
      <c r="B134" t="str">
        <v>QCNM Subjail Parachinar</v>
      </c>
      <c r="C134" t="str">
        <v>Trust Act</v>
      </c>
      <c r="D134" t="str">
        <v>Capital Region</v>
      </c>
      <c r="E134" t="str">
        <v>Prison</v>
      </c>
      <c r="F134" s="2">
        <v>500</v>
      </c>
      <c r="G134" s="2">
        <v>645</v>
      </c>
      <c r="H134" s="13">
        <v>0.77519379844961245</v>
      </c>
      <c r="I134" s="13"/>
      <c r="BA134">
        <v>133</v>
      </c>
      <c r="BB134" s="12" t="s">
        <v>200</v>
      </c>
      <c r="BD134" t="s">
        <v>89</v>
      </c>
      <c r="BE134" t="s">
        <v>172</v>
      </c>
      <c r="BF134" t="s">
        <v>64</v>
      </c>
      <c r="BG134">
        <v>0</v>
      </c>
      <c r="BH134">
        <v>0</v>
      </c>
      <c r="BI134">
        <v>0</v>
      </c>
      <c r="BJ134">
        <v>0</v>
      </c>
      <c r="BK134">
        <v>660</v>
      </c>
      <c r="BL134">
        <v>260</v>
      </c>
      <c r="BM134">
        <v>0</v>
      </c>
      <c r="BN134">
        <v>0</v>
      </c>
      <c r="BO134">
        <v>500</v>
      </c>
      <c r="BP134">
        <v>800</v>
      </c>
      <c r="BQ134">
        <f>SUM(SimpleDashData84[[#This Row],[Convayance]:[Misc]])</f>
        <v>2220</v>
      </c>
      <c r="BR134">
        <v>512</v>
      </c>
      <c r="BS134">
        <v>25</v>
      </c>
      <c r="BT134">
        <v>13</v>
      </c>
      <c r="BU134">
        <f>SUM(SimpleDashData84[[#This Row],[Male]:[Child]])</f>
        <v>550</v>
      </c>
      <c r="BW134">
        <f>'[1]Expense Master June-26'!W139</f>
        <v>59</v>
      </c>
      <c r="BZ134">
        <f>SimpleDashData84[[#This Row],[Total Expense]]/SimpleDashData84[[#This Row],[Total Patients]]</f>
        <v>4.0363636363636362</v>
      </c>
      <c r="CA134">
        <v>0</v>
      </c>
    </row>
    <row r="135" spans="1:79" x14ac:dyDescent="0.3">
      <c r="A135">
        <v>124</v>
      </c>
      <c r="B135" t="str">
        <v>QCNM Women Jail Karachi</v>
      </c>
      <c r="C135" t="str">
        <v>Trust Act</v>
      </c>
      <c r="D135" t="str">
        <v>Sindh, Balochistan &amp; AJK Region</v>
      </c>
      <c r="E135" t="str">
        <v>Prison</v>
      </c>
      <c r="F135" s="2">
        <v>500</v>
      </c>
      <c r="G135" s="2">
        <v>699</v>
      </c>
      <c r="H135" s="13">
        <v>0.71530758226037194</v>
      </c>
      <c r="I135" s="13"/>
      <c r="BA135">
        <v>134</v>
      </c>
      <c r="BB135" s="12" t="s">
        <v>201</v>
      </c>
      <c r="BD135" t="s">
        <v>89</v>
      </c>
      <c r="BE135" t="s">
        <v>172</v>
      </c>
      <c r="BF135" t="s">
        <v>64</v>
      </c>
      <c r="BG135">
        <v>480</v>
      </c>
      <c r="BH135">
        <v>330</v>
      </c>
      <c r="BI135">
        <v>0</v>
      </c>
      <c r="BJ135">
        <v>3120</v>
      </c>
      <c r="BK135">
        <v>0</v>
      </c>
      <c r="BL135">
        <v>280</v>
      </c>
      <c r="BM135">
        <v>200</v>
      </c>
      <c r="BN135">
        <v>80</v>
      </c>
      <c r="BO135">
        <v>0</v>
      </c>
      <c r="BP135">
        <v>0</v>
      </c>
      <c r="BQ135">
        <f>SUM(SimpleDashData84[[#This Row],[Convayance]:[Misc]])</f>
        <v>4490</v>
      </c>
      <c r="BR135">
        <v>1257</v>
      </c>
      <c r="BS135">
        <v>3</v>
      </c>
      <c r="BT135">
        <v>0</v>
      </c>
      <c r="BU135">
        <f>SUM(SimpleDashData84[[#This Row],[Male]:[Child]])</f>
        <v>1260</v>
      </c>
      <c r="BW135">
        <f>'[1]Expense Master June-26'!W140</f>
        <v>53.136363636363633</v>
      </c>
      <c r="BZ135">
        <f>SimpleDashData84[[#This Row],[Total Expense]]/SimpleDashData84[[#This Row],[Total Patients]]</f>
        <v>3.5634920634920637</v>
      </c>
      <c r="CA135">
        <v>0</v>
      </c>
    </row>
    <row r="136" spans="1:79" x14ac:dyDescent="0.3">
      <c r="A136">
        <v>125</v>
      </c>
      <c r="B136" t="str">
        <v>QCNM University of AJK, MZD</v>
      </c>
      <c r="C136" t="str">
        <v>Trust Act</v>
      </c>
      <c r="D136" t="str">
        <v>Sindh, Balochistan &amp; AJK Region</v>
      </c>
      <c r="E136" t="str">
        <v>Public</v>
      </c>
      <c r="F136" s="2">
        <v>380</v>
      </c>
      <c r="G136" s="2">
        <v>220</v>
      </c>
      <c r="H136" s="13">
        <v>1.7272727272727273</v>
      </c>
      <c r="I136" s="13"/>
      <c r="BA136">
        <v>135</v>
      </c>
      <c r="BB136" s="12" t="s">
        <v>202</v>
      </c>
      <c r="BD136" t="s">
        <v>89</v>
      </c>
      <c r="BE136" t="s">
        <v>172</v>
      </c>
      <c r="BF136" t="s">
        <v>64</v>
      </c>
      <c r="BG136">
        <v>0</v>
      </c>
      <c r="BH136">
        <v>0</v>
      </c>
      <c r="BI136">
        <v>0</v>
      </c>
      <c r="BJ136">
        <v>800</v>
      </c>
      <c r="BK136">
        <v>0</v>
      </c>
      <c r="BL136">
        <v>0</v>
      </c>
      <c r="BM136">
        <v>0</v>
      </c>
      <c r="BN136">
        <v>0</v>
      </c>
      <c r="BO136">
        <v>500</v>
      </c>
      <c r="BP136">
        <v>0</v>
      </c>
      <c r="BQ136">
        <f>SUM(SimpleDashData84[[#This Row],[Convayance]:[Misc]])</f>
        <v>1300</v>
      </c>
      <c r="BR136">
        <v>696</v>
      </c>
      <c r="BS136">
        <v>12</v>
      </c>
      <c r="BT136">
        <v>0</v>
      </c>
      <c r="BU136">
        <f>SUM(SimpleDashData84[[#This Row],[Male]:[Child]])</f>
        <v>708</v>
      </c>
      <c r="BW136">
        <f>'[1]Expense Master June-26'!W141</f>
        <v>66.318181818181813</v>
      </c>
      <c r="BZ136">
        <f>SimpleDashData84[[#This Row],[Total Expense]]/SimpleDashData84[[#This Row],[Total Patients]]</f>
        <v>1.8361581920903955</v>
      </c>
      <c r="CA136">
        <v>0</v>
      </c>
    </row>
    <row r="137" spans="1:79" x14ac:dyDescent="0.3">
      <c r="A137">
        <v>126</v>
      </c>
      <c r="B137" t="str">
        <v>QCNM SSGT Gilgit</v>
      </c>
      <c r="C137" t="str">
        <v>Trust Act</v>
      </c>
      <c r="D137" t="str">
        <v>Capital Region</v>
      </c>
      <c r="E137" t="str">
        <v>Public</v>
      </c>
      <c r="F137" s="2">
        <v>0</v>
      </c>
      <c r="G137" s="2">
        <v>2120</v>
      </c>
      <c r="H137" s="13">
        <v>0</v>
      </c>
      <c r="I137" s="13"/>
      <c r="BA137">
        <v>136</v>
      </c>
      <c r="BB137" s="30" t="s">
        <v>203</v>
      </c>
      <c r="BD137" t="s">
        <v>89</v>
      </c>
      <c r="BE137" t="s">
        <v>172</v>
      </c>
      <c r="BF137" t="s">
        <v>64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f>SUM(SimpleDashData84[[#This Row],[Convayance]:[Misc]])</f>
        <v>0</v>
      </c>
      <c r="BR137">
        <v>393</v>
      </c>
      <c r="BS137">
        <v>7</v>
      </c>
      <c r="BT137">
        <v>0</v>
      </c>
      <c r="BU137">
        <f>SUM(SimpleDashData84[[#This Row],[Male]:[Child]])</f>
        <v>400</v>
      </c>
      <c r="BW137">
        <f>'[1]Expense Master June-26'!W142</f>
        <v>15.954545454545455</v>
      </c>
      <c r="BZ137">
        <f>SimpleDashData84[[#This Row],[Total Expense]]/SimpleDashData84[[#This Row],[Total Patients]]</f>
        <v>0</v>
      </c>
      <c r="CA137">
        <v>0</v>
      </c>
    </row>
    <row r="138" spans="1:79" x14ac:dyDescent="0.3">
      <c r="A138">
        <v>127</v>
      </c>
      <c r="B138" t="str">
        <v>QCNM Gilgit, Central Jail</v>
      </c>
      <c r="C138" t="str">
        <v>U/S 42</v>
      </c>
      <c r="D138" t="str">
        <v>Capital Region</v>
      </c>
      <c r="E138" t="str">
        <v>Prison</v>
      </c>
      <c r="F138" s="2">
        <v>0</v>
      </c>
      <c r="G138" s="2">
        <v>1011</v>
      </c>
      <c r="H138" s="13">
        <v>0</v>
      </c>
      <c r="I138" s="13"/>
      <c r="CA138">
        <f>SUBTOTAL(109,SimpleDashData84[Monthly Performance])</f>
        <v>0</v>
      </c>
    </row>
    <row r="139" spans="1:79" x14ac:dyDescent="0.3">
      <c r="A139">
        <v>128</v>
      </c>
      <c r="B139" t="str">
        <v>QCNM Hangu, District Jail</v>
      </c>
      <c r="C139" t="str">
        <v>Trust Act</v>
      </c>
      <c r="D139" t="str">
        <v>Capital Region</v>
      </c>
      <c r="E139" t="str">
        <v>Prison</v>
      </c>
      <c r="F139" s="2">
        <v>0</v>
      </c>
      <c r="G139" s="2">
        <v>1288</v>
      </c>
      <c r="H139" s="13">
        <v>0</v>
      </c>
      <c r="I139" s="13"/>
    </row>
    <row r="140" spans="1:79" x14ac:dyDescent="0.3">
      <c r="A140">
        <v>129</v>
      </c>
      <c r="B140" t="str">
        <v>QCNM Lahore, Binnat School (Model Town)</v>
      </c>
      <c r="C140" t="str">
        <v>Trust Act</v>
      </c>
      <c r="D140" t="str">
        <v>Central Punjab Region</v>
      </c>
      <c r="E140" t="str">
        <v>Public</v>
      </c>
      <c r="F140" s="2">
        <v>0</v>
      </c>
      <c r="G140" s="2">
        <v>0</v>
      </c>
      <c r="H140" s="13" t="str">
        <v/>
      </c>
      <c r="I140" s="13"/>
      <c r="BQ140">
        <f>SUM(BQ2:BQ139)</f>
        <v>914689</v>
      </c>
      <c r="BU140">
        <f>SUM(BU2:BU139)</f>
        <v>210283</v>
      </c>
    </row>
    <row r="141" spans="1:79" x14ac:dyDescent="0.3">
      <c r="A141">
        <v>130</v>
      </c>
      <c r="B141" t="str">
        <v>QCNM Kisan Centre</v>
      </c>
      <c r="C141" t="str">
        <v>Trust Act</v>
      </c>
      <c r="D141" t="str">
        <v>Central Punjab Region</v>
      </c>
      <c r="E141" t="str">
        <v>Public</v>
      </c>
      <c r="F141" s="2">
        <v>0</v>
      </c>
      <c r="G141" s="2">
        <v>0</v>
      </c>
      <c r="H141" s="13" t="str">
        <v/>
      </c>
      <c r="I141" s="13"/>
    </row>
    <row r="142" spans="1:79" x14ac:dyDescent="0.3">
      <c r="A142">
        <v>131</v>
      </c>
      <c r="B142" t="str">
        <v>QCNM, ZCD Hospital Toba tek Singh</v>
      </c>
      <c r="C142" t="str">
        <v>Trust Act</v>
      </c>
      <c r="D142" t="str">
        <v>Central Punjab Region</v>
      </c>
      <c r="E142" t="str">
        <v>Public</v>
      </c>
      <c r="F142" s="2">
        <v>0</v>
      </c>
      <c r="G142" s="2">
        <v>575</v>
      </c>
      <c r="H142" s="13">
        <v>0</v>
      </c>
      <c r="I142" s="13"/>
    </row>
    <row r="143" spans="1:79" x14ac:dyDescent="0.3">
      <c r="A143">
        <v>132</v>
      </c>
      <c r="B143" t="str">
        <v>QCNM Faisalabad, Borstal Jail</v>
      </c>
      <c r="C143" t="str">
        <v>Trust Act</v>
      </c>
      <c r="D143" t="str">
        <v>Central Punjab Region</v>
      </c>
      <c r="E143" t="str">
        <v>Prison</v>
      </c>
      <c r="F143" s="2">
        <v>0</v>
      </c>
      <c r="G143" s="2">
        <v>0</v>
      </c>
      <c r="H143" s="13" t="str">
        <v/>
      </c>
      <c r="I143" s="13"/>
    </row>
    <row r="144" spans="1:79" x14ac:dyDescent="0.3">
      <c r="A144">
        <v>133</v>
      </c>
      <c r="B144" t="str">
        <v>OCNM SIBI ( MCKRU) University</v>
      </c>
      <c r="C144" t="str">
        <v>Trust Act</v>
      </c>
      <c r="D144" t="str">
        <v>Sindh, Balochistan &amp; AJK Region</v>
      </c>
      <c r="E144" t="str">
        <v>Public</v>
      </c>
      <c r="F144" s="2">
        <v>0</v>
      </c>
      <c r="G144" s="2">
        <v>471</v>
      </c>
      <c r="H144" s="13">
        <v>0</v>
      </c>
      <c r="I144" s="13"/>
    </row>
    <row r="145" spans="1:59" x14ac:dyDescent="0.3">
      <c r="A145">
        <v>134</v>
      </c>
      <c r="B145" t="str">
        <v>QCNM Rawalakot, University of Poonch</v>
      </c>
      <c r="C145" t="str">
        <v>Trust Act</v>
      </c>
      <c r="D145" t="str">
        <v>Sindh, Balochistan &amp; AJK Region</v>
      </c>
      <c r="E145" t="str">
        <v>Public</v>
      </c>
      <c r="F145" s="2">
        <v>0</v>
      </c>
      <c r="G145" s="2">
        <v>140</v>
      </c>
      <c r="H145" s="13">
        <v>0</v>
      </c>
      <c r="I145" s="13"/>
    </row>
    <row r="146" spans="1:59" x14ac:dyDescent="0.3">
      <c r="A146">
        <v>135</v>
      </c>
      <c r="B146" t="str">
        <v>QCNM Loralai, District Jail</v>
      </c>
      <c r="C146" t="str">
        <v>U/S 42</v>
      </c>
      <c r="D146" t="str">
        <v>Sindh, Balochistan &amp; AJK Region</v>
      </c>
      <c r="E146" t="str">
        <v>Prison</v>
      </c>
      <c r="F146" s="2">
        <v>0</v>
      </c>
      <c r="G146" s="2">
        <v>361</v>
      </c>
      <c r="H146" s="13">
        <v>0</v>
      </c>
      <c r="I146" s="13"/>
    </row>
    <row r="147" spans="1:59" x14ac:dyDescent="0.3">
      <c r="A147">
        <v>136</v>
      </c>
      <c r="B147" t="str">
        <v>QCNM Rawalakot District Jail</v>
      </c>
      <c r="C147" t="str">
        <v>Society Act</v>
      </c>
      <c r="D147" t="str">
        <v>Sindh, Balochistan &amp; AJK Region</v>
      </c>
      <c r="E147" t="str">
        <v>Prison</v>
      </c>
      <c r="F147" s="2">
        <v>0</v>
      </c>
      <c r="G147" s="2">
        <v>400</v>
      </c>
      <c r="H147" s="13">
        <v>0</v>
      </c>
      <c r="I147" s="13"/>
    </row>
    <row r="148" spans="1:59" x14ac:dyDescent="0.3">
      <c r="F148" s="2"/>
      <c r="G148" s="2"/>
      <c r="H148" s="13"/>
      <c r="I148" s="13"/>
    </row>
    <row r="149" spans="1:59" x14ac:dyDescent="0.3">
      <c r="F149" s="2"/>
      <c r="G149" s="31"/>
    </row>
    <row r="150" spans="1:59" x14ac:dyDescent="0.3">
      <c r="F150" s="2"/>
      <c r="G150" s="31"/>
      <c r="BB150" t="s">
        <v>204</v>
      </c>
      <c r="BC150" t="s">
        <v>205</v>
      </c>
      <c r="BD150" t="s">
        <v>206</v>
      </c>
      <c r="BE150" t="s">
        <v>207</v>
      </c>
    </row>
    <row r="151" spans="1:59" x14ac:dyDescent="0.3">
      <c r="BB151" t="s">
        <v>42</v>
      </c>
      <c r="BC151" t="s">
        <v>43</v>
      </c>
      <c r="BD151" t="s">
        <v>43</v>
      </c>
      <c r="BF151" t="s">
        <v>9</v>
      </c>
      <c r="BG151" cm="1">
        <f t="array" ref="BG151">SUMPRODUCT((IF($D$4&lt;&gt;"",1,IF($B$4="All Regions",1,SimpleDashData84[Region]=$B$4)))*(IF($D$4&lt;&gt;"",SimpleDashData84[QCNM Name]=$D$4,IF($G$4="All Clinics",1,SimpleDashData84[QCNM Name]=$G$4)))*SimpleDashData84[Convayance])</f>
        <v>127921</v>
      </c>
    </row>
    <row r="152" spans="1:59" x14ac:dyDescent="0.3">
      <c r="BB152" t="s">
        <v>34</v>
      </c>
      <c r="BC152" t="s">
        <v>107</v>
      </c>
      <c r="BD152" t="str" cm="1">
        <f t="array" ref="BD152">IFERROR(INDEX(_xlfn._xlws.SORT(_xlfn._xlws.FILTER(SimpleDashData84[QCNM Name],IF($D$4&lt;&gt;"",1,IF($B$4="All Regions",1,SimpleDashData84[Region]=$B$4)))),ROWS($BD$152:BD152)),"")</f>
        <v>Lahore, Jamia Ashrafia</v>
      </c>
      <c r="BF152" t="s">
        <v>9</v>
      </c>
      <c r="BG152" cm="1">
        <f t="array" ref="BG152">SUMPRODUCT((IF($D$4&lt;&gt;"",1,IF($B$4="All Regions",1,SimpleDashData84[Region]=$B$4)))*(IF($D$4&lt;&gt;"",SimpleDashData84[QCNM Name]=$D$4,IF($G$4="All Clinics",1,SimpleDashData84[QCNM Name]=$G$4)))*(IF($A$4="All Sections",1,SimpleDashData84[Section]=$A$4))*SimpleDashData84[Convayance])</f>
        <v>127921</v>
      </c>
    </row>
    <row r="153" spans="1:59" x14ac:dyDescent="0.3">
      <c r="BB153" t="s">
        <v>100</v>
      </c>
      <c r="BC153" t="s">
        <v>104</v>
      </c>
      <c r="BD153" t="str" cm="1">
        <f t="array" ref="BD153">IFERROR(INDEX(_xlfn._xlws.SORT(_xlfn._xlws.FILTER(SimpleDashData84[QCNM Name],IF($D$4&lt;&gt;"",SimpleDashData84[QCNM Name]=$D$4,IF($B$4="All Regions",1,SimpleDashData84[Region]=$B$4))*IF($A$4="All Sections",1,SimpleDashData84[Section]=$A$4))),ROWS($BD$153:BD153)),"")</f>
        <v>Lahore, Jamia Ashrafia</v>
      </c>
      <c r="BF153" t="s">
        <v>10</v>
      </c>
      <c r="BG153" cm="1">
        <f t="array" ref="BG153">SUMPRODUCT((IF($D$4&lt;&gt;"",1,IF($B$4="All Regions",1,SimpleDashData84[Region]=$B$4)))*(IF($D$4&lt;&gt;"",SimpleDashData84[QCNM Name]=$D$4,IF($G$4="All Clinics",1,SimpleDashData84[QCNM Name]=$G$4)))*(IF($A$4="All Sections",1,SimpleDashData84[Section]=$A$4))*SimpleDashData84[Purchasing])</f>
        <v>119150</v>
      </c>
    </row>
    <row r="154" spans="1:59" x14ac:dyDescent="0.3">
      <c r="BB154" t="s">
        <v>172</v>
      </c>
      <c r="BC154" t="s">
        <v>179</v>
      </c>
      <c r="BD154" t="str" cm="1">
        <f t="array" ref="BD154">IFERROR(INDEX(_xlfn._xlws.SORT(_xlfn._xlws.FILTER(SimpleDashData84[QCNM Name],IF($D$4&lt;&gt;"",SimpleDashData84[QCNM Name]=$D$4,IF($B$4="All Regions",1,SimpleDashData84[Region]=$B$4))*IF($A$4="All Sections",1,SimpleDashData84[Section]=$A$4))),ROWS($BD$153:BD154)),"")</f>
        <v>Lahore, QCNM Saggian</v>
      </c>
      <c r="BF154" t="s">
        <v>11</v>
      </c>
      <c r="BG154" cm="1">
        <f t="array" ref="BG154">SUMPRODUCT((IF($D$4&lt;&gt;"",1,IF($B$4="All Regions",1,SimpleDashData84[Region]=$B$4)))*(IF($D$4&lt;&gt;"",SimpleDashData84[QCNM Name]=$D$4,IF($G$4="All Clinics",1,SimpleDashData84[QCNM Name]=$G$4)))*(IF($A$4="All Sections",1,SimpleDashData84[Section]=$A$4))*SimpleDashData84[Freight])</f>
        <v>18900</v>
      </c>
    </row>
    <row r="155" spans="1:59" x14ac:dyDescent="0.3">
      <c r="BB155" t="s">
        <v>135</v>
      </c>
      <c r="BC155" t="s">
        <v>113</v>
      </c>
      <c r="BD155" t="str" cm="1">
        <f t="array" ref="BD155">IFERROR(INDEX(_xlfn._xlws.SORT(_xlfn._xlws.FILTER(SimpleDashData84[QCNM Name],IF($D$4&lt;&gt;"",SimpleDashData84[QCNM Name]=$D$4,IF($B$4="All Regions",1,SimpleDashData84[Region]=$B$4))*IF($A$4="All Sections",1,SimpleDashData84[Section]=$A$4))),ROWS($BD$153:BD155)),"")</f>
        <v>OCNM SIBI ( MCKRU) University</v>
      </c>
      <c r="BF155" t="s">
        <v>12</v>
      </c>
      <c r="BG155" cm="1">
        <f t="array" ref="BG155">SUMPRODUCT((IF($D$4&lt;&gt;"",1,IF($B$4="All Regions",1,SimpleDashData84[Region]=$B$4)))*(IF($D$4&lt;&gt;"",SimpleDashData84[QCNM Name]=$D$4,IF($G$4="All Clinics",1,SimpleDashData84[QCNM Name]=$G$4)))*(IF($A$4="All Sections",1,SimpleDashData84[Section]=$A$4))*SimpleDashData84[Packing])</f>
        <v>413905</v>
      </c>
    </row>
    <row r="156" spans="1:59" x14ac:dyDescent="0.3">
      <c r="BC156" t="s">
        <v>63</v>
      </c>
      <c r="BD156" t="str" cm="1">
        <f t="array" ref="BD156">IFERROR(INDEX(_xlfn._xlws.SORT(_xlfn._xlws.FILTER(SimpleDashData84[QCNM Name],IF($D$4&lt;&gt;"",SimpleDashData84[QCNM Name]=$D$4,IF($B$4="All Regions",1,SimpleDashData84[Region]=$B$4))*IF($A$4="All Sections",1,SimpleDashData84[Section]=$A$4))),ROWS($BD$153:BD156)),"")</f>
        <v>QCNM Aas Rehabilitation Centre</v>
      </c>
      <c r="BF156" t="s">
        <v>13</v>
      </c>
      <c r="BG156" cm="1">
        <f t="array" ref="BG156">SUMPRODUCT((IF($D$4&lt;&gt;"",1,IF($B$4="All Regions",1,SimpleDashData84[Region]=$B$4)))*(IF($D$4&lt;&gt;"",SimpleDashData84[QCNM Name]=$D$4,IF($G$4="All Clinics",1,SimpleDashData84[QCNM Name]=$G$4)))*(IF($A$4="All Sections",1,SimpleDashData84[Section]=$A$4))*SimpleDashData84[Postage])</f>
        <v>27033</v>
      </c>
    </row>
    <row r="157" spans="1:59" x14ac:dyDescent="0.3">
      <c r="BC157" t="s">
        <v>142</v>
      </c>
      <c r="BD157" t="str" cm="1">
        <f t="array" ref="BD157">IFERROR(INDEX(_xlfn._xlws.SORT(_xlfn._xlws.FILTER(SimpleDashData84[QCNM Name],IF($D$4&lt;&gt;"",SimpleDashData84[QCNM Name]=$D$4,IF($B$4="All Regions",1,SimpleDashData84[Region]=$B$4))*IF($A$4="All Sections",1,SimpleDashData84[Section]=$A$4))),ROWS($BD$153:BD157)),"")</f>
        <v>QCNM Abottabad, District Jail</v>
      </c>
      <c r="BF157" t="s">
        <v>14</v>
      </c>
      <c r="BG157" cm="1">
        <f t="array" ref="BG157">SUMPRODUCT((IF($D$4&lt;&gt;"",1,IF($B$4="All Regions",1,SimpleDashData84[Region]=$B$4)))*(IF($D$4&lt;&gt;"",SimpleDashData84[QCNM Name]=$D$4,IF($G$4="All Clinics",1,SimpleDashData84[QCNM Name]=$G$4)))*(IF($A$4="All Sections",1,SimpleDashData84[Section]=$A$4))*SimpleDashData84[Printing])</f>
        <v>42510</v>
      </c>
    </row>
    <row r="158" spans="1:59" x14ac:dyDescent="0.3">
      <c r="BC158" t="s">
        <v>154</v>
      </c>
      <c r="BD158" t="str" cm="1">
        <f t="array" ref="BD158">IFERROR(INDEX(_xlfn._xlws.SORT(_xlfn._xlws.FILTER(SimpleDashData84[QCNM Name],IF($D$4&lt;&gt;"",SimpleDashData84[QCNM Name]=$D$4,IF($B$4="All Regions",1,SimpleDashData84[Region]=$B$4))*IF($A$4="All Sections",1,SimpleDashData84[Section]=$A$4))),ROWS($BD$153:BD158)),"")</f>
        <v>QCNM Attock, District Jail</v>
      </c>
      <c r="BF158" t="s">
        <v>15</v>
      </c>
      <c r="BG158" cm="1">
        <f t="array" ref="BG158">SUMPRODUCT((IF($D$4&lt;&gt;"",1,IF($B$4="All Regions",1,SimpleDashData84[Region]=$B$4)))*(IF($D$4&lt;&gt;"",SimpleDashData84[QCNM Name]=$D$4,IF($G$4="All Clinics",1,SimpleDashData84[QCNM Name]=$G$4)))*(IF($A$4="All Sections",1,SimpleDashData84[Section]=$A$4))*SimpleDashData84[Repair])</f>
        <v>27670</v>
      </c>
    </row>
    <row r="159" spans="1:59" x14ac:dyDescent="0.3">
      <c r="BC159" t="s">
        <v>136</v>
      </c>
      <c r="BD159" t="str" cm="1">
        <f t="array" ref="BD159">IFERROR(INDEX(_xlfn._xlws.SORT(_xlfn._xlws.FILTER(SimpleDashData84[QCNM Name],IF($D$4&lt;&gt;"",SimpleDashData84[QCNM Name]=$D$4,IF($B$4="All Regions",1,SimpleDashData84[Region]=$B$4))*IF($A$4="All Sections",1,SimpleDashData84[Section]=$A$4))),ROWS($BD$153:BD159)),"")</f>
        <v>QCNM Bahawalnagar, District Jail</v>
      </c>
      <c r="BF159" t="s">
        <v>16</v>
      </c>
      <c r="BG159" cm="1">
        <f t="array" ref="BG159">SUMPRODUCT((IF($D$4&lt;&gt;"",1,IF($B$4="All Regions",1,SimpleDashData84[Region]=$B$4)))*(IF($D$4&lt;&gt;"",SimpleDashData84[QCNM Name]=$D$4,IF($G$4="All Clinics",1,SimpleDashData84[QCNM Name]=$G$4)))*(IF($A$4="All Sections",1,SimpleDashData84[Section]=$A$4))*SimpleDashData84[Stationary])</f>
        <v>34065</v>
      </c>
    </row>
    <row r="160" spans="1:59" x14ac:dyDescent="0.3">
      <c r="BC160" t="s">
        <v>137</v>
      </c>
      <c r="BD160" t="str" cm="1">
        <f t="array" ref="BD160">IFERROR(INDEX(_xlfn._xlws.SORT(_xlfn._xlws.FILTER(SimpleDashData84[QCNM Name],IF($D$4&lt;&gt;"",SimpleDashData84[QCNM Name]=$D$4,IF($B$4="All Regions",1,SimpleDashData84[Region]=$B$4))*IF($A$4="All Sections",1,SimpleDashData84[Section]=$A$4))),ROWS($BD$153:BD160)),"")</f>
        <v>QCNM Bahawalnagar, Zainab Rafique</v>
      </c>
      <c r="BF160" t="s">
        <v>17</v>
      </c>
      <c r="BG160" cm="1">
        <f t="array" ref="BG160">SUMPRODUCT((IF($D$4&lt;&gt;"",1,IF($B$4="All Regions",1,SimpleDashData84[Region]=$B$4)))*(IF($D$4&lt;&gt;"",SimpleDashData84[QCNM Name]=$D$4,IF($G$4="All Clinics",1,SimpleDashData84[QCNM Name]=$G$4)))*(IF($A$4="All Sections",1,SimpleDashData84[Section]=$A$4))*SimpleDashData84[Utilities])</f>
        <v>47073</v>
      </c>
    </row>
    <row r="161" spans="55:59" x14ac:dyDescent="0.3">
      <c r="BC161" t="s">
        <v>153</v>
      </c>
      <c r="BD161" t="str" cm="1">
        <f t="array" ref="BD161">IFERROR(INDEX(_xlfn._xlws.SORT(_xlfn._xlws.FILTER(SimpleDashData84[QCNM Name],IF($D$4&lt;&gt;"",SimpleDashData84[QCNM Name]=$D$4,IF($B$4="All Regions",1,SimpleDashData84[Region]=$B$4))*IF($A$4="All Sections",1,SimpleDashData84[Section]=$A$4))),ROWS($BD$153:BD161)),"")</f>
        <v>QCNM Bahawalpur EMH</v>
      </c>
      <c r="BF161" t="s">
        <v>18</v>
      </c>
      <c r="BG161" cm="1">
        <f t="array" ref="BG161">SUMPRODUCT((IF($D$4&lt;&gt;"",1,IF($B$4="All Regions",1,SimpleDashData84[Region]=$B$4)))*(IF($D$4&lt;&gt;"",SimpleDashData84[QCNM Name]=$D$4,IF($G$4="All Clinics",1,SimpleDashData84[QCNM Name]=$G$4)))*(IF($A$4="All Sections",1,SimpleDashData84[Section]=$A$4))*SimpleDashData84[Misc])</f>
        <v>56462</v>
      </c>
    </row>
    <row r="162" spans="55:59" x14ac:dyDescent="0.3">
      <c r="BC162" t="s">
        <v>152</v>
      </c>
      <c r="BD162" t="str" cm="1">
        <f t="array" ref="BD162">IFERROR(INDEX(_xlfn._xlws.SORT(_xlfn._xlws.FILTER(SimpleDashData84[QCNM Name],IF($D$4&lt;&gt;"",SimpleDashData84[QCNM Name]=$D$4,IF($B$4="All Regions",1,SimpleDashData84[Region]=$B$4))*IF($A$4="All Sections",1,SimpleDashData84[Section]=$A$4))),ROWS($BD$153:BD162)),"")</f>
        <v>QCNM Bahawalpur, Borstal Jail</v>
      </c>
    </row>
    <row r="163" spans="55:59" x14ac:dyDescent="0.3">
      <c r="BC163" t="s">
        <v>65</v>
      </c>
      <c r="BD163" t="str" cm="1">
        <f t="array" ref="BD163">IFERROR(INDEX(_xlfn._xlws.SORT(_xlfn._xlws.FILTER(SimpleDashData84[QCNM Name],IF($D$4&lt;&gt;"",SimpleDashData84[QCNM Name]=$D$4,IF($B$4="All Regions",1,SimpleDashData84[Region]=$B$4))*IF($A$4="All Sections",1,SimpleDashData84[Section]=$A$4))),ROWS($BD$153:BD163)),"")</f>
        <v>QCNM Bahawalpur, Central Jail</v>
      </c>
    </row>
    <row r="164" spans="55:59" x14ac:dyDescent="0.3">
      <c r="BC164" t="s">
        <v>48</v>
      </c>
      <c r="BD164" t="str" cm="1">
        <f t="array" ref="BD164">IFERROR(INDEX(_xlfn._xlws.SORT(_xlfn._xlws.FILTER(SimpleDashData84[QCNM Name],IF($D$4&lt;&gt;"",SimpleDashData84[QCNM Name]=$D$4,IF($B$4="All Regions",1,SimpleDashData84[Region]=$B$4))*IF($A$4="All Sections",1,SimpleDashData84[Section]=$A$4))),ROWS($BD$153:BD164)),"")</f>
        <v>QCNM Bannu, Central Prison</v>
      </c>
    </row>
    <row r="165" spans="55:59" x14ac:dyDescent="0.3">
      <c r="BC165" t="s">
        <v>155</v>
      </c>
      <c r="BD165" t="str" cm="1">
        <f t="array" ref="BD165">IFERROR(INDEX(_xlfn._xlws.SORT(_xlfn._xlws.FILTER(SimpleDashData84[QCNM Name],IF($D$4&lt;&gt;"",SimpleDashData84[QCNM Name]=$D$4,IF($B$4="All Regions",1,SimpleDashData84[Region]=$B$4))*IF($A$4="All Sections",1,SimpleDashData84[Section]=$A$4))),ROWS($BD$153:BD165)),"")</f>
        <v>QCNM Bannu, USTB University</v>
      </c>
    </row>
    <row r="166" spans="55:59" x14ac:dyDescent="0.3">
      <c r="BC166" t="s">
        <v>96</v>
      </c>
      <c r="BD166" t="str" cm="1">
        <f t="array" ref="BD166">IFERROR(INDEX(_xlfn._xlws.SORT(_xlfn._xlws.FILTER(SimpleDashData84[QCNM Name],IF($D$4&lt;&gt;"",SimpleDashData84[QCNM Name]=$D$4,IF($B$4="All Regions",1,SimpleDashData84[Region]=$B$4))*IF($A$4="All Sections",1,SimpleDashData84[Section]=$A$4))),ROWS($BD$153:BD166)),"")</f>
        <v>QCNM Bhakkar, District Jail</v>
      </c>
    </row>
    <row r="167" spans="55:59" x14ac:dyDescent="0.3">
      <c r="BC167" t="s">
        <v>134</v>
      </c>
      <c r="BD167" t="str" cm="1">
        <f t="array" ref="BD167">IFERROR(INDEX(_xlfn._xlws.SORT(_xlfn._xlws.FILTER(SimpleDashData84[QCNM Name],IF($D$4&lt;&gt;"",SimpleDashData84[QCNM Name]=$D$4,IF($B$4="All Regions",1,SimpleDashData84[Region]=$B$4))*IF($A$4="All Sections",1,SimpleDashData84[Section]=$A$4))),ROWS($BD$153:BD167)),"")</f>
        <v>QCNM Buner Central Prison</v>
      </c>
    </row>
    <row r="168" spans="55:59" x14ac:dyDescent="0.3">
      <c r="BC168" t="s">
        <v>196</v>
      </c>
      <c r="BD168" t="str" cm="1">
        <f t="array" ref="BD168">IFERROR(INDEX(_xlfn._xlws.SORT(_xlfn._xlws.FILTER(SimpleDashData84[QCNM Name],IF($D$4&lt;&gt;"",SimpleDashData84[QCNM Name]=$D$4,IF($B$4="All Regions",1,SimpleDashData84[Region]=$B$4))*IF($A$4="All Sections",1,SimpleDashData84[Section]=$A$4))),ROWS($BD$153:BD168)),"")</f>
        <v>QCNM Burhan, Doke Mughalan</v>
      </c>
    </row>
    <row r="169" spans="55:59" x14ac:dyDescent="0.3">
      <c r="BC169" t="s">
        <v>193</v>
      </c>
      <c r="BD169" t="str" cm="1">
        <f t="array" ref="BD169">IFERROR(INDEX(_xlfn._xlws.SORT(_xlfn._xlws.FILTER(SimpleDashData84[QCNM Name],IF($D$4&lt;&gt;"",SimpleDashData84[QCNM Name]=$D$4,IF($B$4="All Regions",1,SimpleDashData84[Region]=$B$4))*IF($A$4="All Sections",1,SimpleDashData84[Section]=$A$4))),ROWS($BD$153:BD169)),"")</f>
        <v>QCNM Central Jail Mach</v>
      </c>
    </row>
    <row r="170" spans="55:59" x14ac:dyDescent="0.3">
      <c r="BC170" t="s">
        <v>94</v>
      </c>
      <c r="BD170" t="str" cm="1">
        <f t="array" ref="BD170">IFERROR(INDEX(_xlfn._xlws.SORT(_xlfn._xlws.FILTER(SimpleDashData84[QCNM Name],IF($D$4&lt;&gt;"",SimpleDashData84[QCNM Name]=$D$4,IF($B$4="All Regions",1,SimpleDashData84[Region]=$B$4))*IF($A$4="All Sections",1,SimpleDashData84[Section]=$A$4))),ROWS($BD$153:BD170)),"")</f>
        <v>QCNM Central Jail Zohb</v>
      </c>
    </row>
    <row r="171" spans="55:59" x14ac:dyDescent="0.3">
      <c r="BC171" t="s">
        <v>86</v>
      </c>
      <c r="BD171" t="str" cm="1">
        <f t="array" ref="BD171">IFERROR(INDEX(_xlfn._xlws.SORT(_xlfn._xlws.FILTER(SimpleDashData84[QCNM Name],IF($D$4&lt;&gt;"",SimpleDashData84[QCNM Name]=$D$4,IF($B$4="All Regions",1,SimpleDashData84[Region]=$B$4))*IF($A$4="All Sections",1,SimpleDashData84[Section]=$A$4))),ROWS($BD$153:BD171)),"")</f>
        <v>QCNM Charsadda, Sub Jail</v>
      </c>
    </row>
    <row r="172" spans="55:59" x14ac:dyDescent="0.3">
      <c r="BC172" t="s">
        <v>97</v>
      </c>
      <c r="BD172" t="str" cm="1">
        <f t="array" ref="BD172">IFERROR(INDEX(_xlfn._xlws.SORT(_xlfn._xlws.FILTER(SimpleDashData84[QCNM Name],IF($D$4&lt;&gt;"",SimpleDashData84[QCNM Name]=$D$4,IF($B$4="All Regions",1,SimpleDashData84[Region]=$B$4))*IF($A$4="All Sections",1,SimpleDashData84[Section]=$A$4))),ROWS($BD$153:BD172)),"")</f>
        <v>QCNM Chillas District Jail</v>
      </c>
    </row>
    <row r="173" spans="55:59" x14ac:dyDescent="0.3">
      <c r="BC173" t="s">
        <v>156</v>
      </c>
      <c r="BD173" t="str" cm="1">
        <f t="array" ref="BD173">IFERROR(INDEX(_xlfn._xlws.SORT(_xlfn._xlws.FILTER(SimpleDashData84[QCNM Name],IF($D$4&lt;&gt;"",SimpleDashData84[QCNM Name]=$D$4,IF($B$4="All Regions",1,SimpleDashData84[Region]=$B$4))*IF($A$4="All Sections",1,SimpleDashData84[Section]=$A$4))),ROWS($BD$153:BD173)),"")</f>
        <v>QCNM Chitral District Jail</v>
      </c>
    </row>
    <row r="174" spans="55:59" x14ac:dyDescent="0.3">
      <c r="BC174" t="s">
        <v>66</v>
      </c>
      <c r="BD174" t="str" cm="1">
        <f t="array" ref="BD174">IFERROR(INDEX(_xlfn._xlws.SORT(_xlfn._xlws.FILTER(SimpleDashData84[QCNM Name],IF($D$4&lt;&gt;"",SimpleDashData84[QCNM Name]=$D$4,IF($B$4="All Regions",1,SimpleDashData84[Region]=$B$4))*IF($A$4="All Sections",1,SimpleDashData84[Section]=$A$4))),ROWS($BD$153:BD174)),"")</f>
        <v>QCNM D.G Khan, Central Jail</v>
      </c>
    </row>
    <row r="175" spans="55:59" x14ac:dyDescent="0.3">
      <c r="BC175" t="s">
        <v>182</v>
      </c>
      <c r="BD175" t="str" cm="1">
        <f t="array" ref="BD175">IFERROR(INDEX(_xlfn._xlws.SORT(_xlfn._xlws.FILTER(SimpleDashData84[QCNM Name],IF($D$4&lt;&gt;"",SimpleDashData84[QCNM Name]=$D$4,IF($B$4="All Regions",1,SimpleDashData84[Region]=$B$4))*IF($A$4="All Sections",1,SimpleDashData84[Section]=$A$4))),ROWS($BD$153:BD175)),"")</f>
        <v>QCNM D.I Khan, Central Jail</v>
      </c>
    </row>
    <row r="176" spans="55:59" x14ac:dyDescent="0.3">
      <c r="BC176" t="s">
        <v>47</v>
      </c>
      <c r="BD176" t="str" cm="1">
        <f t="array" ref="BD176">IFERROR(INDEX(_xlfn._xlws.SORT(_xlfn._xlws.FILTER(SimpleDashData84[QCNM Name],IF($D$4&lt;&gt;"",SimpleDashData84[QCNM Name]=$D$4,IF($B$4="All Regions",1,SimpleDashData84[Region]=$B$4))*IF($A$4="All Sections",1,SimpleDashData84[Section]=$A$4))),ROWS($BD$153:BD176)),"")</f>
        <v>QCNM Faisalabad, Borstal Jail</v>
      </c>
    </row>
    <row r="177" spans="55:56" x14ac:dyDescent="0.3">
      <c r="BC177" t="s">
        <v>121</v>
      </c>
      <c r="BD177" t="str" cm="1">
        <f t="array" ref="BD177">IFERROR(INDEX(_xlfn._xlws.SORT(_xlfn._xlws.FILTER(SimpleDashData84[QCNM Name],IF($D$4&lt;&gt;"",SimpleDashData84[QCNM Name]=$D$4,IF($B$4="All Regions",1,SimpleDashData84[Region]=$B$4))*IF($A$4="All Sections",1,SimpleDashData84[Section]=$A$4))),ROWS($BD$153:BD177)),"")</f>
        <v>QCNM Faisalabad, Central Jail</v>
      </c>
    </row>
    <row r="178" spans="55:56" x14ac:dyDescent="0.3">
      <c r="BC178" t="s">
        <v>119</v>
      </c>
      <c r="BD178" t="str" cm="1">
        <f t="array" ref="BD178">IFERROR(INDEX(_xlfn._xlws.SORT(_xlfn._xlws.FILTER(SimpleDashData84[QCNM Name],IF($D$4&lt;&gt;"",SimpleDashData84[QCNM Name]=$D$4,IF($B$4="All Regions",1,SimpleDashData84[Region]=$B$4))*IF($A$4="All Sections",1,SimpleDashData84[Section]=$A$4))),ROWS($BD$153:BD178)),"")</f>
        <v>QCNM Faisalabad, District Jail</v>
      </c>
    </row>
    <row r="179" spans="55:56" x14ac:dyDescent="0.3">
      <c r="BC179" t="s">
        <v>120</v>
      </c>
      <c r="BD179" t="str" cm="1">
        <f t="array" ref="BD179">IFERROR(INDEX(_xlfn._xlws.SORT(_xlfn._xlws.FILTER(SimpleDashData84[QCNM Name],IF($D$4&lt;&gt;"",SimpleDashData84[QCNM Name]=$D$4,IF($B$4="All Regions",1,SimpleDashData84[Region]=$B$4))*IF($A$4="All Sections",1,SimpleDashData84[Section]=$A$4))),ROWS($BD$153:BD179)),"")</f>
        <v>QCNM Faisalabad, GCU (New Campus)</v>
      </c>
    </row>
    <row r="180" spans="55:56" x14ac:dyDescent="0.3">
      <c r="BC180" t="s">
        <v>109</v>
      </c>
      <c r="BD180" t="str" cm="1">
        <f t="array" ref="BD180">IFERROR(INDEX(_xlfn._xlws.SORT(_xlfn._xlws.FILTER(SimpleDashData84[QCNM Name],IF($D$4&lt;&gt;"",SimpleDashData84[QCNM Name]=$D$4,IF($B$4="All Regions",1,SimpleDashData84[Region]=$B$4))*IF($A$4="All Sections",1,SimpleDashData84[Section]=$A$4))),ROWS($BD$153:BD180)),"")</f>
        <v>QCNM Faisalabad, GCU (Old Campus)</v>
      </c>
    </row>
    <row r="181" spans="55:56" x14ac:dyDescent="0.3">
      <c r="BC181" t="s">
        <v>110</v>
      </c>
      <c r="BD181" t="str" cm="1">
        <f t="array" ref="BD181">IFERROR(INDEX(_xlfn._xlws.SORT(_xlfn._xlws.FILTER(SimpleDashData84[QCNM Name],IF($D$4&lt;&gt;"",SimpleDashData84[QCNM Name]=$D$4,IF($B$4="All Regions",1,SimpleDashData84[Region]=$B$4))*IF($A$4="All Sections",1,SimpleDashData84[Section]=$A$4))),ROWS($BD$153:BD181)),"")</f>
        <v>QCNM Faisalabad, Women District Jail</v>
      </c>
    </row>
    <row r="182" spans="55:56" x14ac:dyDescent="0.3">
      <c r="BC182" t="s">
        <v>132</v>
      </c>
      <c r="BD182" t="str" cm="1">
        <f t="array" ref="BD182">IFERROR(INDEX(_xlfn._xlws.SORT(_xlfn._xlws.FILTER(SimpleDashData84[QCNM Name],IF($D$4&lt;&gt;"",SimpleDashData84[QCNM Name]=$D$4,IF($B$4="All Regions",1,SimpleDashData84[Region]=$B$4))*IF($A$4="All Sections",1,SimpleDashData84[Section]=$A$4))),ROWS($BD$153:BD182)),"")</f>
        <v>QCNM FUUAST ( Abdul Haq Campus)</v>
      </c>
    </row>
    <row r="183" spans="55:56" x14ac:dyDescent="0.3">
      <c r="BC183" t="s">
        <v>69</v>
      </c>
      <c r="BD183" t="str" cm="1">
        <f t="array" ref="BD183">IFERROR(INDEX(_xlfn._xlws.SORT(_xlfn._xlws.FILTER(SimpleDashData84[QCNM Name],IF($D$4&lt;&gt;"",SimpleDashData84[QCNM Name]=$D$4,IF($B$4="All Regions",1,SimpleDashData84[Region]=$B$4))*IF($A$4="All Sections",1,SimpleDashData84[Section]=$A$4))),ROWS($BD$153:BD183)),"")</f>
        <v>QCNM FUUAST Islamabad</v>
      </c>
    </row>
    <row r="184" spans="55:56" x14ac:dyDescent="0.3">
      <c r="BC184" t="s">
        <v>114</v>
      </c>
      <c r="BD184" t="str" cm="1">
        <f t="array" ref="BD184">IFERROR(INDEX(_xlfn._xlws.SORT(_xlfn._xlws.FILTER(SimpleDashData84[QCNM Name],IF($D$4&lt;&gt;"",SimpleDashData84[QCNM Name]=$D$4,IF($B$4="All Regions",1,SimpleDashData84[Region]=$B$4))*IF($A$4="All Sections",1,SimpleDashData84[Section]=$A$4))),ROWS($BD$153:BD184)),"")</f>
        <v>QCNM Ghizer, District Jail</v>
      </c>
    </row>
    <row r="185" spans="55:56" x14ac:dyDescent="0.3">
      <c r="BC185" t="s">
        <v>115</v>
      </c>
      <c r="BD185" t="str" cm="1">
        <f t="array" ref="BD185">IFERROR(INDEX(_xlfn._xlws.SORT(_xlfn._xlws.FILTER(SimpleDashData84[QCNM Name],IF($D$4&lt;&gt;"",SimpleDashData84[QCNM Name]=$D$4,IF($B$4="All Regions",1,SimpleDashData84[Region]=$B$4))*IF($A$4="All Sections",1,SimpleDashData84[Section]=$A$4))),ROWS($BD$153:BD185)),"")</f>
        <v>QCNM Gift University Gujranwala</v>
      </c>
    </row>
    <row r="186" spans="55:56" x14ac:dyDescent="0.3">
      <c r="BC186" t="s">
        <v>67</v>
      </c>
      <c r="BD186" t="str" cm="1">
        <f t="array" ref="BD186">IFERROR(INDEX(_xlfn._xlws.SORT(_xlfn._xlws.FILTER(SimpleDashData84[QCNM Name],IF($D$4&lt;&gt;"",SimpleDashData84[QCNM Name]=$D$4,IF($B$4="All Regions",1,SimpleDashData84[Region]=$B$4))*IF($A$4="All Sections",1,SimpleDashData84[Section]=$A$4))),ROWS($BD$153:BD186)),"")</f>
        <v>QCNM Gift University Gujranwala (Women Campus)</v>
      </c>
    </row>
    <row r="187" spans="55:56" x14ac:dyDescent="0.3">
      <c r="BC187" t="s">
        <v>122</v>
      </c>
      <c r="BD187" t="str" cm="1">
        <f t="array" ref="BD187">IFERROR(INDEX(_xlfn._xlws.SORT(_xlfn._xlws.FILTER(SimpleDashData84[QCNM Name],IF($D$4&lt;&gt;"",SimpleDashData84[QCNM Name]=$D$4,IF($B$4="All Regions",1,SimpleDashData84[Region]=$B$4))*IF($A$4="All Sections",1,SimpleDashData84[Section]=$A$4))),ROWS($BD$153:BD187)),"")</f>
        <v>QCNM Gilgit, Central Jail</v>
      </c>
    </row>
    <row r="188" spans="55:56" x14ac:dyDescent="0.3">
      <c r="BC188" t="s">
        <v>133</v>
      </c>
      <c r="BD188" t="str" cm="1">
        <f t="array" ref="BD188">IFERROR(INDEX(_xlfn._xlws.SORT(_xlfn._xlws.FILTER(SimpleDashData84[QCNM Name],IF($D$4&lt;&gt;"",SimpleDashData84[QCNM Name]=$D$4,IF($B$4="All Regions",1,SimpleDashData84[Region]=$B$4))*IF($A$4="All Sections",1,SimpleDashData84[Section]=$A$4))),ROWS($BD$153:BD188)),"")</f>
        <v>QCNM Gujranwala, Central Jail</v>
      </c>
    </row>
    <row r="189" spans="55:56" x14ac:dyDescent="0.3">
      <c r="BC189" t="s">
        <v>208</v>
      </c>
      <c r="BD189" t="str" cm="1">
        <f t="array" ref="BD189">IFERROR(INDEX(_xlfn._xlws.SORT(_xlfn._xlws.FILTER(SimpleDashData84[QCNM Name],IF($D$4&lt;&gt;"",SimpleDashData84[QCNM Name]=$D$4,IF($B$4="All Regions",1,SimpleDashData84[Region]=$B$4))*IF($A$4="All Sections",1,SimpleDashData84[Section]=$A$4))),ROWS($BD$153:BD189)),"")</f>
        <v>QCNM Gujrat, District Jail</v>
      </c>
    </row>
    <row r="190" spans="55:56" x14ac:dyDescent="0.3">
      <c r="BC190" t="s">
        <v>111</v>
      </c>
      <c r="BD190" t="str" cm="1">
        <f t="array" ref="BD190">IFERROR(INDEX(_xlfn._xlws.SORT(_xlfn._xlws.FILTER(SimpleDashData84[QCNM Name],IF($D$4&lt;&gt;"",SimpleDashData84[QCNM Name]=$D$4,IF($B$4="All Regions",1,SimpleDashData84[Region]=$B$4))*IF($A$4="All Sections",1,SimpleDashData84[Section]=$A$4))),ROWS($BD$153:BD190)),"")</f>
        <v xml:space="preserve">QCNM Gujrat, HK Sardar Ali </v>
      </c>
    </row>
    <row r="191" spans="55:56" x14ac:dyDescent="0.3">
      <c r="BC191" t="s">
        <v>144</v>
      </c>
      <c r="BD191" t="str" cm="1">
        <f t="array" ref="BD191">IFERROR(INDEX(_xlfn._xlws.SORT(_xlfn._xlws.FILTER(SimpleDashData84[QCNM Name],IF($D$4&lt;&gt;"",SimpleDashData84[QCNM Name]=$D$4,IF($B$4="All Regions",1,SimpleDashData84[Region]=$B$4))*IF($A$4="All Sections",1,SimpleDashData84[Section]=$A$4))),ROWS($BD$153:BD191)),"")</f>
        <v>QCNM Hadi Free Hospital</v>
      </c>
    </row>
    <row r="192" spans="55:56" x14ac:dyDescent="0.3">
      <c r="BC192" t="s">
        <v>91</v>
      </c>
      <c r="BD192" t="str" cm="1">
        <f t="array" ref="BD192">IFERROR(INDEX(_xlfn._xlws.SORT(_xlfn._xlws.FILTER(SimpleDashData84[QCNM Name],IF($D$4&lt;&gt;"",SimpleDashData84[QCNM Name]=$D$4,IF($B$4="All Regions",1,SimpleDashData84[Region]=$B$4))*IF($A$4="All Sections",1,SimpleDashData84[Section]=$A$4))),ROWS($BD$153:BD192)),"")</f>
        <v>QCNM Hafizabad, Dist Jail</v>
      </c>
    </row>
    <row r="193" spans="55:56" x14ac:dyDescent="0.3">
      <c r="BC193" t="s">
        <v>72</v>
      </c>
      <c r="BD193" t="str" cm="1">
        <f t="array" ref="BD193">IFERROR(INDEX(_xlfn._xlws.SORT(_xlfn._xlws.FILTER(SimpleDashData84[QCNM Name],IF($D$4&lt;&gt;"",SimpleDashData84[QCNM Name]=$D$4,IF($B$4="All Regions",1,SimpleDashData84[Region]=$B$4))*IF($A$4="All Sections",1,SimpleDashData84[Section]=$A$4))),ROWS($BD$153:BD193)),"")</f>
        <v>QCNM Hangu, District Jail</v>
      </c>
    </row>
    <row r="194" spans="55:56" x14ac:dyDescent="0.3">
      <c r="BC194" t="s">
        <v>32</v>
      </c>
      <c r="BD194" t="str" cm="1">
        <f t="array" ref="BD194">IFERROR(INDEX(_xlfn._xlws.SORT(_xlfn._xlws.FILTER(SimpleDashData84[QCNM Name],IF($D$4&lt;&gt;"",SimpleDashData84[QCNM Name]=$D$4,IF($B$4="All Regions",1,SimpleDashData84[Region]=$B$4))*IF($A$4="All Sections",1,SimpleDashData84[Section]=$A$4))),ROWS($BD$153:BD194)),"")</f>
        <v>QCNM Haripur, Central Jail</v>
      </c>
    </row>
    <row r="195" spans="55:56" x14ac:dyDescent="0.3">
      <c r="BC195" t="s">
        <v>187</v>
      </c>
      <c r="BD195" t="str" cm="1">
        <f t="array" ref="BD195">IFERROR(INDEX(_xlfn._xlws.SORT(_xlfn._xlws.FILTER(SimpleDashData84[QCNM Name],IF($D$4&lt;&gt;"",SimpleDashData84[QCNM Name]=$D$4,IF($B$4="All Regions",1,SimpleDashData84[Region]=$B$4))*IF($A$4="All Sections",1,SimpleDashData84[Section]=$A$4))),ROWS($BD$153:BD195)),"")</f>
        <v>QCNM Hattar</v>
      </c>
    </row>
    <row r="196" spans="55:56" x14ac:dyDescent="0.3">
      <c r="BC196" t="s">
        <v>41</v>
      </c>
      <c r="BD196" t="str" cm="1">
        <f t="array" ref="BD196">IFERROR(INDEX(_xlfn._xlws.SORT(_xlfn._xlws.FILTER(SimpleDashData84[QCNM Name],IF($D$4&lt;&gt;"",SimpleDashData84[QCNM Name]=$D$4,IF($B$4="All Regions",1,SimpleDashData84[Region]=$B$4))*IF($A$4="All Sections",1,SimpleDashData84[Section]=$A$4))),ROWS($BD$153:BD196)),"")</f>
        <v>QCNM High Security Prison Mianwali</v>
      </c>
    </row>
    <row r="197" spans="55:56" x14ac:dyDescent="0.3">
      <c r="BC197" t="s">
        <v>143</v>
      </c>
      <c r="BD197" t="str" cm="1">
        <f t="array" ref="BD197">IFERROR(INDEX(_xlfn._xlws.SORT(_xlfn._xlws.FILTER(SimpleDashData84[QCNM Name],IF($D$4&lt;&gt;"",SimpleDashData84[QCNM Name]=$D$4,IF($B$4="All Regions",1,SimpleDashData84[Region]=$B$4))*IF($A$4="All Sections",1,SimpleDashData84[Section]=$A$4))),ROWS($BD$153:BD197)),"")</f>
        <v>QCNM Hyderabad, Central Prison</v>
      </c>
    </row>
    <row r="198" spans="55:56" x14ac:dyDescent="0.3">
      <c r="BC198" t="s">
        <v>123</v>
      </c>
      <c r="BD198" t="str" cm="1">
        <f t="array" ref="BD198">IFERROR(INDEX(_xlfn._xlws.SORT(_xlfn._xlws.FILTER(SimpleDashData84[QCNM Name],IF($D$4&lt;&gt;"",SimpleDashData84[QCNM Name]=$D$4,IF($B$4="All Regions",1,SimpleDashData84[Region]=$B$4))*IF($A$4="All Sections",1,SimpleDashData84[Section]=$A$4))),ROWS($BD$153:BD198)),"")</f>
        <v>QCNM Islamabad, Police line</v>
      </c>
    </row>
    <row r="199" spans="55:56" x14ac:dyDescent="0.3">
      <c r="BC199" t="s">
        <v>190</v>
      </c>
      <c r="BD199" t="str" cm="1">
        <f t="array" ref="BD199">IFERROR(INDEX(_xlfn._xlws.SORT(_xlfn._xlws.FILTER(SimpleDashData84[QCNM Name],IF($D$4&lt;&gt;"",SimpleDashData84[QCNM Name]=$D$4,IF($B$4="All Regions",1,SimpleDashData84[Region]=$B$4))*IF($A$4="All Sections",1,SimpleDashData84[Section]=$A$4))),ROWS($BD$153:BD199)),"")</f>
        <v>QCNM Jehlum, District Jail</v>
      </c>
    </row>
    <row r="200" spans="55:56" x14ac:dyDescent="0.3">
      <c r="BC200" t="s">
        <v>74</v>
      </c>
      <c r="BD200" t="str" cm="1">
        <f t="array" ref="BD200">IFERROR(INDEX(_xlfn._xlws.SORT(_xlfn._xlws.FILTER(SimpleDashData84[QCNM Name],IF($D$4&lt;&gt;"",SimpleDashData84[QCNM Name]=$D$4,IF($B$4="All Regions",1,SimpleDashData84[Region]=$B$4))*IF($A$4="All Sections",1,SimpleDashData84[Section]=$A$4))),ROWS($BD$153:BD200)),"")</f>
        <v>QCNM Jhang, District Jail</v>
      </c>
    </row>
    <row r="201" spans="55:56" x14ac:dyDescent="0.3">
      <c r="BC201" t="s">
        <v>124</v>
      </c>
      <c r="BD201" t="str" cm="1">
        <f t="array" ref="BD201">IFERROR(INDEX(_xlfn._xlws.SORT(_xlfn._xlws.FILTER(SimpleDashData84[QCNM Name],IF($D$4&lt;&gt;"",SimpleDashData84[QCNM Name]=$D$4,IF($B$4="All Regions",1,SimpleDashData84[Region]=$B$4))*IF($A$4="All Sections",1,SimpleDashData84[Section]=$A$4))),ROWS($BD$153:BD201)),"")</f>
        <v>QCNM Karachi, Central Prison</v>
      </c>
    </row>
    <row r="202" spans="55:56" x14ac:dyDescent="0.3">
      <c r="BC202" t="s">
        <v>197</v>
      </c>
      <c r="BD202" t="str" cm="1">
        <f t="array" ref="BD202">IFERROR(INDEX(_xlfn._xlws.SORT(_xlfn._xlws.FILTER(SimpleDashData84[QCNM Name],IF($D$4&lt;&gt;"",SimpleDashData84[QCNM Name]=$D$4,IF($B$4="All Regions",1,SimpleDashData84[Region]=$B$4))*IF($A$4="All Sections",1,SimpleDashData84[Section]=$A$4))),ROWS($BD$153:BD202)),"")</f>
        <v>QCNM Karak, Central Jail</v>
      </c>
    </row>
    <row r="203" spans="55:56" x14ac:dyDescent="0.3">
      <c r="BC203" t="s">
        <v>157</v>
      </c>
      <c r="BD203" t="str" cm="1">
        <f t="array" ref="BD203">IFERROR(INDEX(_xlfn._xlws.SORT(_xlfn._xlws.FILTER(SimpleDashData84[QCNM Name],IF($D$4&lt;&gt;"",SimpleDashData84[QCNM Name]=$D$4,IF($B$4="All Regions",1,SimpleDashData84[Region]=$B$4))*IF($A$4="All Sections",1,SimpleDashData84[Section]=$A$4))),ROWS($BD$153:BD203)),"")</f>
        <v>QCNM Kasur, District Jail</v>
      </c>
    </row>
    <row r="204" spans="55:56" x14ac:dyDescent="0.3">
      <c r="BC204" t="s">
        <v>178</v>
      </c>
      <c r="BD204" t="str" cm="1">
        <f t="array" ref="BD204">IFERROR(INDEX(_xlfn._xlws.SORT(_xlfn._xlws.FILTER(SimpleDashData84[QCNM Name],IF($D$4&lt;&gt;"",SimpleDashData84[QCNM Name]=$D$4,IF($B$4="All Regions",1,SimpleDashData84[Region]=$B$4))*IF($A$4="All Sections",1,SimpleDashData84[Section]=$A$4))),ROWS($BD$153:BD204)),"")</f>
        <v>QCNM Khairpur, Central Jail</v>
      </c>
    </row>
    <row r="205" spans="55:56" x14ac:dyDescent="0.3">
      <c r="BC205" t="s">
        <v>198</v>
      </c>
      <c r="BD205" t="str" cm="1">
        <f t="array" ref="BD205">IFERROR(INDEX(_xlfn._xlws.SORT(_xlfn._xlws.FILTER(SimpleDashData84[QCNM Name],IF($D$4&lt;&gt;"",SimpleDashData84[QCNM Name]=$D$4,IF($B$4="All Regions",1,SimpleDashData84[Region]=$B$4))*IF($A$4="All Sections",1,SimpleDashData84[Section]=$A$4))),ROWS($BD$153:BD205)),"")</f>
        <v>QCNM Khanewal, District Jail</v>
      </c>
    </row>
    <row r="206" spans="55:56" x14ac:dyDescent="0.3">
      <c r="BC206" t="s">
        <v>112</v>
      </c>
      <c r="BD206" t="str" cm="1">
        <f t="array" ref="BD206">IFERROR(INDEX(_xlfn._xlws.SORT(_xlfn._xlws.FILTER(SimpleDashData84[QCNM Name],IF($D$4&lt;&gt;"",SimpleDashData84[QCNM Name]=$D$4,IF($B$4="All Regions",1,SimpleDashData84[Region]=$B$4))*IF($A$4="All Sections",1,SimpleDashData84[Section]=$A$4))),ROWS($BD$153:BD206)),"")</f>
        <v>QCNM Khuzdar(BUET) University</v>
      </c>
    </row>
    <row r="207" spans="55:56" x14ac:dyDescent="0.3">
      <c r="BC207" t="s">
        <v>73</v>
      </c>
      <c r="BD207" t="str" cm="1">
        <f t="array" ref="BD207">IFERROR(INDEX(_xlfn._xlws.SORT(_xlfn._xlws.FILTER(SimpleDashData84[QCNM Name],IF($D$4&lt;&gt;"",SimpleDashData84[QCNM Name]=$D$4,IF($B$4="All Regions",1,SimpleDashData84[Region]=$B$4))*IF($A$4="All Sections",1,SimpleDashData84[Section]=$A$4))),ROWS($BD$153:BD207)),"")</f>
        <v>QCNM Khuzdar, Central Jail</v>
      </c>
    </row>
    <row r="208" spans="55:56" x14ac:dyDescent="0.3">
      <c r="BC208" t="s">
        <v>202</v>
      </c>
      <c r="BD208" t="str" cm="1">
        <f t="array" ref="BD208">IFERROR(INDEX(_xlfn._xlws.SORT(_xlfn._xlws.FILTER(SimpleDashData84[QCNM Name],IF($D$4&lt;&gt;"",SimpleDashData84[QCNM Name]=$D$4,IF($B$4="All Regions",1,SimpleDashData84[Region]=$B$4))*IF($A$4="All Sections",1,SimpleDashData84[Section]=$A$4))),ROWS($BD$153:BD208)),"")</f>
        <v>QCNM Kisan Centre</v>
      </c>
    </row>
    <row r="209" spans="55:56" x14ac:dyDescent="0.3">
      <c r="BC209" t="s">
        <v>105</v>
      </c>
      <c r="BD209" t="str" cm="1">
        <f t="array" ref="BD209">IFERROR(INDEX(_xlfn._xlws.SORT(_xlfn._xlws.FILTER(SimpleDashData84[QCNM Name],IF($D$4&lt;&gt;"",SimpleDashData84[QCNM Name]=$D$4,IF($B$4="All Regions",1,SimpleDashData84[Region]=$B$4))*IF($A$4="All Sections",1,SimpleDashData84[Section]=$A$4))),ROWS($BD$153:BD209)),"")</f>
        <v>QCNM Kohat, District Jail</v>
      </c>
    </row>
    <row r="210" spans="55:56" x14ac:dyDescent="0.3">
      <c r="BC210" t="s">
        <v>106</v>
      </c>
      <c r="BD210" t="str" cm="1">
        <f t="array" ref="BD210">IFERROR(INDEX(_xlfn._xlws.SORT(_xlfn._xlws.FILTER(SimpleDashData84[QCNM Name],IF($D$4&lt;&gt;"",SimpleDashData84[QCNM Name]=$D$4,IF($B$4="All Regions",1,SimpleDashData84[Region]=$B$4))*IF($A$4="All Sections",1,SimpleDashData84[Section]=$A$4))),ROWS($BD$153:BD210)),"")</f>
        <v>QCNM Kotli District Jail</v>
      </c>
    </row>
    <row r="211" spans="55:56" x14ac:dyDescent="0.3">
      <c r="BC211" t="s">
        <v>101</v>
      </c>
      <c r="BD211" t="str" cm="1">
        <f t="array" ref="BD211">IFERROR(INDEX(_xlfn._xlws.SORT(_xlfn._xlws.FILTER(SimpleDashData84[QCNM Name],IF($D$4&lt;&gt;"",SimpleDashData84[QCNM Name]=$D$4,IF($B$4="All Regions",1,SimpleDashData84[Region]=$B$4))*IF($A$4="All Sections",1,SimpleDashData84[Section]=$A$4))),ROWS($BD$153:BD211)),"")</f>
        <v>QCNM Lahore, Al Mustafa Trust</v>
      </c>
    </row>
    <row r="212" spans="55:56" x14ac:dyDescent="0.3">
      <c r="BC212" t="s">
        <v>125</v>
      </c>
      <c r="BD212" t="str" cm="1">
        <f t="array" ref="BD212">IFERROR(INDEX(_xlfn._xlws.SORT(_xlfn._xlws.FILTER(SimpleDashData84[QCNM Name],IF($D$4&lt;&gt;"",SimpleDashData84[QCNM Name]=$D$4,IF($B$4="All Regions",1,SimpleDashData84[Region]=$B$4))*IF($A$4="All Sections",1,SimpleDashData84[Section]=$A$4))),ROWS($BD$153:BD212)),"")</f>
        <v>QCNM Lahore, Binnat School (Model Town)</v>
      </c>
    </row>
    <row r="213" spans="55:56" x14ac:dyDescent="0.3">
      <c r="BC213" t="s">
        <v>126</v>
      </c>
      <c r="BD213" t="str" cm="1">
        <f t="array" ref="BD213">IFERROR(INDEX(_xlfn._xlws.SORT(_xlfn._xlws.FILTER(SimpleDashData84[QCNM Name],IF($D$4&lt;&gt;"",SimpleDashData84[QCNM Name]=$D$4,IF($B$4="All Regions",1,SimpleDashData84[Region]=$B$4))*IF($A$4="All Sections",1,SimpleDashData84[Section]=$A$4))),ROWS($BD$153:BD213)),"")</f>
        <v>QCNM Lahore, Chauburji</v>
      </c>
    </row>
    <row r="214" spans="55:56" x14ac:dyDescent="0.3">
      <c r="BC214" t="s">
        <v>103</v>
      </c>
      <c r="BD214" t="str" cm="1">
        <f t="array" ref="BD214">IFERROR(INDEX(_xlfn._xlws.SORT(_xlfn._xlws.FILTER(SimpleDashData84[QCNM Name],IF($D$4&lt;&gt;"",SimpleDashData84[QCNM Name]=$D$4,IF($B$4="All Regions",1,SimpleDashData84[Region]=$B$4))*IF($A$4="All Sections",1,SimpleDashData84[Section]=$A$4))),ROWS($BD$153:BD214)),"")</f>
        <v>QCNM Lahore, District (Camp) Jail</v>
      </c>
    </row>
    <row r="215" spans="55:56" x14ac:dyDescent="0.3">
      <c r="BC215" t="s">
        <v>102</v>
      </c>
      <c r="BD215" t="str" cm="1">
        <f t="array" ref="BD215">IFERROR(INDEX(_xlfn._xlws.SORT(_xlfn._xlws.FILTER(SimpleDashData84[QCNM Name],IF($D$4&lt;&gt;"",SimpleDashData84[QCNM Name]=$D$4,IF($B$4="All Regions",1,SimpleDashData84[Region]=$B$4))*IF($A$4="All Sections",1,SimpleDashData84[Section]=$A$4))),ROWS($BD$153:BD215)),"")</f>
        <v>QCNM Lahore, Kot Lakhpat Jail</v>
      </c>
    </row>
    <row r="216" spans="55:56" x14ac:dyDescent="0.3">
      <c r="BC216" t="s">
        <v>131</v>
      </c>
      <c r="BD216" t="str" cm="1">
        <f t="array" ref="BD216">IFERROR(INDEX(_xlfn._xlws.SORT(_xlfn._xlws.FILTER(SimpleDashData84[QCNM Name],IF($D$4&lt;&gt;"",SimpleDashData84[QCNM Name]=$D$4,IF($B$4="All Regions",1,SimpleDashData84[Region]=$B$4))*IF($A$4="All Sections",1,SimpleDashData84[Section]=$A$4))),ROWS($BD$153:BD216)),"")</f>
        <v>QCNM Lahore, Molvi Najjar Ashiana Housing</v>
      </c>
    </row>
    <row r="217" spans="55:56" x14ac:dyDescent="0.3">
      <c r="BC217" t="s">
        <v>82</v>
      </c>
      <c r="BD217" t="str" cm="1">
        <f t="array" ref="BD217">IFERROR(INDEX(_xlfn._xlws.SORT(_xlfn._xlws.FILTER(SimpleDashData84[QCNM Name],IF($D$4&lt;&gt;"",SimpleDashData84[QCNM Name]=$D$4,IF($B$4="All Regions",1,SimpleDashData84[Region]=$B$4))*IF($A$4="All Sections",1,SimpleDashData84[Section]=$A$4))),ROWS($BD$153:BD217)),"")</f>
        <v>QCNM Lahore, Nonarian</v>
      </c>
    </row>
    <row r="218" spans="55:56" x14ac:dyDescent="0.3">
      <c r="BC218" t="s">
        <v>189</v>
      </c>
      <c r="BD218" t="str" cm="1">
        <f t="array" ref="BD218">IFERROR(INDEX(_xlfn._xlws.SORT(_xlfn._xlws.FILTER(SimpleDashData84[QCNM Name],IF($D$4&lt;&gt;"",SimpleDashData84[QCNM Name]=$D$4,IF($B$4="All Regions",1,SimpleDashData84[Region]=$B$4))*IF($A$4="All Sections",1,SimpleDashData84[Section]=$A$4))),ROWS($BD$153:BD218)),"")</f>
        <v>QCNM Lahore, Women Central Jail</v>
      </c>
    </row>
    <row r="219" spans="55:56" x14ac:dyDescent="0.3">
      <c r="BC219" t="s">
        <v>199</v>
      </c>
      <c r="BD219" t="str" cm="1">
        <f t="array" ref="BD219">IFERROR(INDEX(_xlfn._xlws.SORT(_xlfn._xlws.FILTER(SimpleDashData84[QCNM Name],IF($D$4&lt;&gt;"",SimpleDashData84[QCNM Name]=$D$4,IF($B$4="All Regions",1,SimpleDashData84[Region]=$B$4))*IF($A$4="All Sections",1,SimpleDashData84[Section]=$A$4))),ROWS($BD$153:BD219)),"")</f>
        <v>QCNM Lakki Marwat District Jail</v>
      </c>
    </row>
    <row r="220" spans="55:56" x14ac:dyDescent="0.3">
      <c r="BC220" t="s">
        <v>177</v>
      </c>
      <c r="BD220" t="str" cm="1">
        <f t="array" ref="BD220">IFERROR(INDEX(_xlfn._xlws.SORT(_xlfn._xlws.FILTER(SimpleDashData84[QCNM Name],IF($D$4&lt;&gt;"",SimpleDashData84[QCNM Name]=$D$4,IF($B$4="All Regions",1,SimpleDashData84[Region]=$B$4))*IF($A$4="All Sections",1,SimpleDashData84[Section]=$A$4))),ROWS($BD$153:BD220)),"")</f>
        <v>QCNM Larkana, Central Prison</v>
      </c>
    </row>
    <row r="221" spans="55:56" x14ac:dyDescent="0.3">
      <c r="BC221" t="s">
        <v>158</v>
      </c>
      <c r="BD221" t="str" cm="1">
        <f t="array" ref="BD221">IFERROR(INDEX(_xlfn._xlws.SORT(_xlfn._xlws.FILTER(SimpleDashData84[QCNM Name],IF($D$4&lt;&gt;"",SimpleDashData84[QCNM Name]=$D$4,IF($B$4="All Regions",1,SimpleDashData84[Region]=$B$4))*IF($A$4="All Sections",1,SimpleDashData84[Section]=$A$4))),ROWS($BD$153:BD221)),"")</f>
        <v>QCNM Larkana, District Jail</v>
      </c>
    </row>
    <row r="222" spans="55:56" x14ac:dyDescent="0.3">
      <c r="BC222" t="s">
        <v>159</v>
      </c>
      <c r="BD222" t="str" cm="1">
        <f t="array" ref="BD222">IFERROR(INDEX(_xlfn._xlws.SORT(_xlfn._xlws.FILTER(SimpleDashData84[QCNM Name],IF($D$4&lt;&gt;"",SimpleDashData84[QCNM Name]=$D$4,IF($B$4="All Regions",1,SimpleDashData84[Region]=$B$4))*IF($A$4="All Sections",1,SimpleDashData84[Section]=$A$4))),ROWS($BD$153:BD222)),"")</f>
        <v>QCNM Lasbela (LUWAMS) University</v>
      </c>
    </row>
    <row r="223" spans="55:56" x14ac:dyDescent="0.3">
      <c r="BC223" t="s">
        <v>171</v>
      </c>
      <c r="BD223" t="str" cm="1">
        <f t="array" ref="BD223">IFERROR(INDEX(_xlfn._xlws.SORT(_xlfn._xlws.FILTER(SimpleDashData84[QCNM Name],IF($D$4&lt;&gt;"",SimpleDashData84[QCNM Name]=$D$4,IF($B$4="All Regions",1,SimpleDashData84[Region]=$B$4))*IF($A$4="All Sections",1,SimpleDashData84[Section]=$A$4))),ROWS($BD$153:BD223)),"")</f>
        <v>QCNM Layyah, District Jail</v>
      </c>
    </row>
    <row r="224" spans="55:56" x14ac:dyDescent="0.3">
      <c r="BC224" t="s">
        <v>188</v>
      </c>
      <c r="BD224" t="str" cm="1">
        <f t="array" ref="BD224">IFERROR(INDEX(_xlfn._xlws.SORT(_xlfn._xlws.FILTER(SimpleDashData84[QCNM Name],IF($D$4&lt;&gt;"",SimpleDashData84[QCNM Name]=$D$4,IF($B$4="All Regions",1,SimpleDashData84[Region]=$B$4))*IF($A$4="All Sections",1,SimpleDashData84[Section]=$A$4))),ROWS($BD$153:BD224)),"")</f>
        <v>QCNM Lodhran, District Jail</v>
      </c>
    </row>
    <row r="225" spans="55:56" x14ac:dyDescent="0.3">
      <c r="BC225" t="s">
        <v>99</v>
      </c>
      <c r="BD225" t="str" cm="1">
        <f t="array" ref="BD225">IFERROR(INDEX(_xlfn._xlws.SORT(_xlfn._xlws.FILTER(SimpleDashData84[QCNM Name],IF($D$4&lt;&gt;"",SimpleDashData84[QCNM Name]=$D$4,IF($B$4="All Regions",1,SimpleDashData84[Region]=$B$4))*IF($A$4="All Sections",1,SimpleDashData84[Section]=$A$4))),ROWS($BD$153:BD225)),"")</f>
        <v>QCNM Loralai</v>
      </c>
    </row>
    <row r="226" spans="55:56" x14ac:dyDescent="0.3">
      <c r="BC226" t="s">
        <v>146</v>
      </c>
      <c r="BD226" t="str" cm="1">
        <f t="array" ref="BD226">IFERROR(INDEX(_xlfn._xlws.SORT(_xlfn._xlws.FILTER(SimpleDashData84[QCNM Name],IF($D$4&lt;&gt;"",SimpleDashData84[QCNM Name]=$D$4,IF($B$4="All Regions",1,SimpleDashData84[Region]=$B$4))*IF($A$4="All Sections",1,SimpleDashData84[Section]=$A$4))),ROWS($BD$153:BD226)),"")</f>
        <v>QCNM Loralai, District Jail</v>
      </c>
    </row>
    <row r="227" spans="55:56" x14ac:dyDescent="0.3">
      <c r="BC227" t="s">
        <v>75</v>
      </c>
      <c r="BD227" t="str" cm="1">
        <f t="array" ref="BD227">IFERROR(INDEX(_xlfn._xlws.SORT(_xlfn._xlws.FILTER(SimpleDashData84[QCNM Name],IF($D$4&lt;&gt;"",SimpleDashData84[QCNM Name]=$D$4,IF($B$4="All Regions",1,SimpleDashData84[Region]=$B$4))*IF($A$4="All Sections",1,SimpleDashData84[Section]=$A$4))),ROWS($BD$153:BD227)),"")</f>
        <v>QCNM Mamukanjan</v>
      </c>
    </row>
    <row r="228" spans="55:56" x14ac:dyDescent="0.3">
      <c r="BC228" t="s">
        <v>76</v>
      </c>
      <c r="BD228" t="str" cm="1">
        <f t="array" ref="BD228">IFERROR(INDEX(_xlfn._xlws.SORT(_xlfn._xlws.FILTER(SimpleDashData84[QCNM Name],IF($D$4&lt;&gt;"",SimpleDashData84[QCNM Name]=$D$4,IF($B$4="All Regions",1,SimpleDashData84[Region]=$B$4))*IF($A$4="All Sections",1,SimpleDashData84[Section]=$A$4))),ROWS($BD$153:BD228)),"")</f>
        <v>QCNM Mandibhaudin, District Jail</v>
      </c>
    </row>
    <row r="229" spans="55:56" x14ac:dyDescent="0.3">
      <c r="BC229" t="s">
        <v>209</v>
      </c>
      <c r="BD229" t="str" cm="1">
        <f t="array" ref="BD229">IFERROR(INDEX(_xlfn._xlws.SORT(_xlfn._xlws.FILTER(SimpleDashData84[QCNM Name],IF($D$4&lt;&gt;"",SimpleDashData84[QCNM Name]=$D$4,IF($B$4="All Regions",1,SimpleDashData84[Region]=$B$4))*IF($A$4="All Sections",1,SimpleDashData84[Section]=$A$4))),ROWS($BD$153:BD229)),"")</f>
        <v>QCNM Mansehra, District Jail</v>
      </c>
    </row>
    <row r="230" spans="55:56" x14ac:dyDescent="0.3">
      <c r="BC230" t="s">
        <v>147</v>
      </c>
      <c r="BD230" t="str" cm="1">
        <f t="array" ref="BD230">IFERROR(INDEX(_xlfn._xlws.SORT(_xlfn._xlws.FILTER(SimpleDashData84[QCNM Name],IF($D$4&lt;&gt;"",SimpleDashData84[QCNM Name]=$D$4,IF($B$4="All Regions",1,SimpleDashData84[Region]=$B$4))*IF($A$4="All Sections",1,SimpleDashData84[Section]=$A$4))),ROWS($BD$153:BD230)),"")</f>
        <v>QCNM Mardan, Central Jail</v>
      </c>
    </row>
    <row r="231" spans="55:56" x14ac:dyDescent="0.3">
      <c r="BC231" t="s">
        <v>138</v>
      </c>
      <c r="BD231" t="str" cm="1">
        <f t="array" ref="BD231">IFERROR(INDEX(_xlfn._xlws.SORT(_xlfn._xlws.FILTER(SimpleDashData84[QCNM Name],IF($D$4&lt;&gt;"",SimpleDashData84[QCNM Name]=$D$4,IF($B$4="All Regions",1,SimpleDashData84[Region]=$B$4))*IF($A$4="All Sections",1,SimpleDashData84[Section]=$A$4))),ROWS($BD$153:BD231)),"")</f>
        <v>QCNM Mianwali, Central Jail</v>
      </c>
    </row>
    <row r="232" spans="55:56" x14ac:dyDescent="0.3">
      <c r="BC232" t="s">
        <v>201</v>
      </c>
      <c r="BD232" t="str" cm="1">
        <f t="array" ref="BD232">IFERROR(INDEX(_xlfn._xlws.SORT(_xlfn._xlws.FILTER(SimpleDashData84[QCNM Name],IF($D$4&lt;&gt;"",SimpleDashData84[QCNM Name]=$D$4,IF($B$4="All Regions",1,SimpleDashData84[Region]=$B$4))*IF($A$4="All Sections",1,SimpleDashData84[Section]=$A$4))),ROWS($BD$153:BD232)),"")</f>
        <v>QCNM Minchinabad Jamia</v>
      </c>
    </row>
    <row r="233" spans="55:56" x14ac:dyDescent="0.3">
      <c r="BC233" t="s">
        <v>195</v>
      </c>
      <c r="BD233" t="str" cm="1">
        <f t="array" ref="BD233">IFERROR(INDEX(_xlfn._xlws.SORT(_xlfn._xlws.FILTER(SimpleDashData84[QCNM Name],IF($D$4&lt;&gt;"",SimpleDashData84[QCNM Name]=$D$4,IF($B$4="All Regions",1,SimpleDashData84[Region]=$B$4))*IF($A$4="All Sections",1,SimpleDashData84[Section]=$A$4))),ROWS($BD$153:BD233)),"")</f>
        <v>QCNM Mirpur Central Jail</v>
      </c>
    </row>
    <row r="234" spans="55:56" x14ac:dyDescent="0.3">
      <c r="BC234" t="s">
        <v>160</v>
      </c>
      <c r="BD234" t="str" cm="1">
        <f t="array" ref="BD234">IFERROR(INDEX(_xlfn._xlws.SORT(_xlfn._xlws.FILTER(SimpleDashData84[QCNM Name],IF($D$4&lt;&gt;"",SimpleDashData84[QCNM Name]=$D$4,IF($B$4="All Regions",1,SimpleDashData84[Region]=$B$4))*IF($A$4="All Sections",1,SimpleDashData84[Section]=$A$4))),ROWS($BD$153:BD234)),"")</f>
        <v>QCNM Mirpur khas CJ Jail</v>
      </c>
    </row>
    <row r="235" spans="55:56" x14ac:dyDescent="0.3">
      <c r="BC235" t="s">
        <v>161</v>
      </c>
      <c r="BD235" t="str" cm="1">
        <f t="array" ref="BD235">IFERROR(INDEX(_xlfn._xlws.SORT(_xlfn._xlws.FILTER(SimpleDashData84[QCNM Name],IF($D$4&lt;&gt;"",SimpleDashData84[QCNM Name]=$D$4,IF($B$4="All Regions",1,SimpleDashData84[Region]=$B$4))*IF($A$4="All Sections",1,SimpleDashData84[Section]=$A$4))),ROWS($BD$153:BD235)),"")</f>
        <v>QCNM Multan, Central Jail</v>
      </c>
    </row>
    <row r="236" spans="55:56" x14ac:dyDescent="0.3">
      <c r="BC236" t="s">
        <v>108</v>
      </c>
      <c r="BD236" t="str" cm="1">
        <f t="array" ref="BD236">IFERROR(INDEX(_xlfn._xlws.SORT(_xlfn._xlws.FILTER(SimpleDashData84[QCNM Name],IF($D$4&lt;&gt;"",SimpleDashData84[QCNM Name]=$D$4,IF($B$4="All Regions",1,SimpleDashData84[Region]=$B$4))*IF($A$4="All Sections",1,SimpleDashData84[Section]=$A$4))),ROWS($BD$153:BD236)),"")</f>
        <v>QCNM Multan, District Jail</v>
      </c>
    </row>
    <row r="237" spans="55:56" x14ac:dyDescent="0.3">
      <c r="BC237" t="s">
        <v>200</v>
      </c>
      <c r="BD237" t="str" cm="1">
        <f t="array" ref="BD237">IFERROR(INDEX(_xlfn._xlws.SORT(_xlfn._xlws.FILTER(SimpleDashData84[QCNM Name],IF($D$4&lt;&gt;"",SimpleDashData84[QCNM Name]=$D$4,IF($B$4="All Regions",1,SimpleDashData84[Region]=$B$4))*IF($A$4="All Sections",1,SimpleDashData84[Section]=$A$4))),ROWS($BD$153:BD237)),"")</f>
        <v>QCNM Muridke, Disp</v>
      </c>
    </row>
    <row r="238" spans="55:56" x14ac:dyDescent="0.3">
      <c r="BC238" t="s">
        <v>162</v>
      </c>
      <c r="BD238" t="str" cm="1">
        <f t="array" ref="BD238">IFERROR(INDEX(_xlfn._xlws.SORT(_xlfn._xlws.FILTER(SimpleDashData84[QCNM Name],IF($D$4&lt;&gt;"",SimpleDashData84[QCNM Name]=$D$4,IF($B$4="All Regions",1,SimpleDashData84[Region]=$B$4))*IF($A$4="All Sections",1,SimpleDashData84[Section]=$A$4))),ROWS($BD$153:BD238)),"")</f>
        <v>QCNM Muzaffarabad Central Jail</v>
      </c>
    </row>
    <row r="239" spans="55:56" x14ac:dyDescent="0.3">
      <c r="BC239" t="s">
        <v>127</v>
      </c>
      <c r="BD239" t="str" cm="1">
        <f t="array" ref="BD239">IFERROR(INDEX(_xlfn._xlws.SORT(_xlfn._xlws.FILTER(SimpleDashData84[QCNM Name],IF($D$4&lt;&gt;"",SimpleDashData84[QCNM Name]=$D$4,IF($B$4="All Regions",1,SimpleDashData84[Region]=$B$4))*IF($A$4="All Sections",1,SimpleDashData84[Section]=$A$4))),ROWS($BD$153:BD239)),"")</f>
        <v>QCNM Muzaffargarh, District Jail</v>
      </c>
    </row>
    <row r="240" spans="55:56" x14ac:dyDescent="0.3">
      <c r="BC240" t="s">
        <v>93</v>
      </c>
      <c r="BD240" t="str" cm="1">
        <f t="array" ref="BD240">IFERROR(INDEX(_xlfn._xlws.SORT(_xlfn._xlws.FILTER(SimpleDashData84[QCNM Name],IF($D$4&lt;&gt;"",SimpleDashData84[QCNM Name]=$D$4,IF($B$4="All Regions",1,SimpleDashData84[Region]=$B$4))*IF($A$4="All Sections",1,SimpleDashData84[Section]=$A$4))),ROWS($BD$153:BD240)),"")</f>
        <v>QCNM Narowal, Disst Jail</v>
      </c>
    </row>
    <row r="241" spans="55:56" x14ac:dyDescent="0.3">
      <c r="BC241" t="s">
        <v>164</v>
      </c>
      <c r="BD241" t="str" cm="1">
        <f t="array" ref="BD241">IFERROR(INDEX(_xlfn._xlws.SORT(_xlfn._xlws.FILTER(SimpleDashData84[QCNM Name],IF($D$4&lt;&gt;"",SimpleDashData84[QCNM Name]=$D$4,IF($B$4="All Regions",1,SimpleDashData84[Region]=$B$4))*IF($A$4="All Sections",1,SimpleDashData84[Section]=$A$4))),ROWS($BD$153:BD241)),"")</f>
        <v>QCNM Nowshera, Sub Jail</v>
      </c>
    </row>
    <row r="242" spans="55:56" x14ac:dyDescent="0.3">
      <c r="BC242" t="s">
        <v>55</v>
      </c>
      <c r="BD242" t="str" cm="1">
        <f t="array" ref="BD242">IFERROR(INDEX(_xlfn._xlws.SORT(_xlfn._xlws.FILTER(SimpleDashData84[QCNM Name],IF($D$4&lt;&gt;"",SimpleDashData84[QCNM Name]=$D$4,IF($B$4="All Regions",1,SimpleDashData84[Region]=$B$4))*IF($A$4="All Sections",1,SimpleDashData84[Section]=$A$4))),ROWS($BD$153:BD242)),"")</f>
        <v>QCNM Okara, District Jail</v>
      </c>
    </row>
    <row r="243" spans="55:56" x14ac:dyDescent="0.3">
      <c r="BC243" t="s">
        <v>44</v>
      </c>
      <c r="BD243" t="str" cm="1">
        <f t="array" ref="BD243">IFERROR(INDEX(_xlfn._xlws.SORT(_xlfn._xlws.FILTER(SimpleDashData84[QCNM Name],IF($D$4&lt;&gt;"",SimpleDashData84[QCNM Name]=$D$4,IF($B$4="All Regions",1,SimpleDashData84[Region]=$B$4))*IF($A$4="All Sections",1,SimpleDashData84[Section]=$A$4))),ROWS($BD$153:BD243)),"")</f>
        <v>QCNM Pak Pattan, District Jail</v>
      </c>
    </row>
    <row r="244" spans="55:56" x14ac:dyDescent="0.3">
      <c r="BC244" t="s">
        <v>165</v>
      </c>
      <c r="BD244" t="str" cm="1">
        <f t="array" ref="BD244">IFERROR(INDEX(_xlfn._xlws.SORT(_xlfn._xlws.FILTER(SimpleDashData84[QCNM Name],IF($D$4&lt;&gt;"",SimpleDashData84[QCNM Name]=$D$4,IF($B$4="All Regions",1,SimpleDashData84[Region]=$B$4))*IF($A$4="All Sections",1,SimpleDashData84[Section]=$A$4))),ROWS($BD$153:BD244)),"")</f>
        <v>QCNM Peshawar, Central Prison</v>
      </c>
    </row>
    <row r="245" spans="55:56" x14ac:dyDescent="0.3">
      <c r="BC245" t="s">
        <v>77</v>
      </c>
      <c r="BD245" t="str" cm="1">
        <f t="array" ref="BD245">IFERROR(INDEX(_xlfn._xlws.SORT(_xlfn._xlws.FILTER(SimpleDashData84[QCNM Name],IF($D$4&lt;&gt;"",SimpleDashData84[QCNM Name]=$D$4,IF($B$4="All Regions",1,SimpleDashData84[Region]=$B$4))*IF($A$4="All Sections",1,SimpleDashData84[Section]=$A$4))),ROWS($BD$153:BD245)),"")</f>
        <v>QCNM PHQ Gilgit</v>
      </c>
    </row>
    <row r="246" spans="55:56" x14ac:dyDescent="0.3">
      <c r="BC246" t="s">
        <v>210</v>
      </c>
      <c r="BD246" t="str" cm="1">
        <f t="array" ref="BD246">IFERROR(INDEX(_xlfn._xlws.SORT(_xlfn._xlws.FILTER(SimpleDashData84[QCNM Name],IF($D$4&lt;&gt;"",SimpleDashData84[QCNM Name]=$D$4,IF($B$4="All Regions",1,SimpleDashData84[Region]=$B$4))*IF($A$4="All Sections",1,SimpleDashData84[Section]=$A$4))),ROWS($BD$153:BD246)),"")</f>
        <v>QCNM PTC Gilgit</v>
      </c>
    </row>
    <row r="247" spans="55:56" x14ac:dyDescent="0.3">
      <c r="BC247" t="s">
        <v>191</v>
      </c>
      <c r="BD247" t="str" cm="1">
        <f t="array" ref="BD247">IFERROR(INDEX(_xlfn._xlws.SORT(_xlfn._xlws.FILTER(SimpleDashData84[QCNM Name],IF($D$4&lt;&gt;"",SimpleDashData84[QCNM Name]=$D$4,IF($B$4="All Regions",1,SimpleDashData84[Region]=$B$4))*IF($A$4="All Sections",1,SimpleDashData84[Section]=$A$4))),ROWS($BD$153:BD247)),"")</f>
        <v xml:space="preserve">QCNM QCNM Lums </v>
      </c>
    </row>
    <row r="248" spans="55:56" x14ac:dyDescent="0.3">
      <c r="BC248" t="s">
        <v>139</v>
      </c>
      <c r="BD248" t="str" cm="1">
        <f t="array" ref="BD248">IFERROR(INDEX(_xlfn._xlws.SORT(_xlfn._xlws.FILTER(SimpleDashData84[QCNM Name],IF($D$4&lt;&gt;"",SimpleDashData84[QCNM Name]=$D$4,IF($B$4="All Regions",1,SimpleDashData84[Region]=$B$4))*IF($A$4="All Sections",1,SimpleDashData84[Section]=$A$4))),ROWS($BD$153:BD248)),"")</f>
        <v>QCNM Quetta, District Jail</v>
      </c>
    </row>
    <row r="249" spans="55:56" x14ac:dyDescent="0.3">
      <c r="BC249" t="s">
        <v>186</v>
      </c>
      <c r="BD249" t="str" cm="1">
        <f t="array" ref="BD249">IFERROR(INDEX(_xlfn._xlws.SORT(_xlfn._xlws.FILTER(SimpleDashData84[QCNM Name],IF($D$4&lt;&gt;"",SimpleDashData84[QCNM Name]=$D$4,IF($B$4="All Regions",1,SimpleDashData84[Region]=$B$4))*IF($A$4="All Sections",1,SimpleDashData84[Section]=$A$4))),ROWS($BD$153:BD249)),"")</f>
        <v>QCNM Rahim Yar Khan, District Jail</v>
      </c>
    </row>
    <row r="250" spans="55:56" x14ac:dyDescent="0.3">
      <c r="BC250" t="s">
        <v>54</v>
      </c>
      <c r="BD250" t="str" cm="1">
        <f t="array" ref="BD250">IFERROR(INDEX(_xlfn._xlws.SORT(_xlfn._xlws.FILTER(SimpleDashData84[QCNM Name],IF($D$4&lt;&gt;"",SimpleDashData84[QCNM Name]=$D$4,IF($B$4="All Regions",1,SimpleDashData84[Region]=$B$4))*IF($A$4="All Sections",1,SimpleDashData84[Section]=$A$4))),ROWS($BD$153:BD250)),"")</f>
        <v>QCNM RAHMA Hospital Janpur</v>
      </c>
    </row>
    <row r="251" spans="55:56" x14ac:dyDescent="0.3">
      <c r="BC251" t="s">
        <v>56</v>
      </c>
      <c r="BD251" t="str" cm="1">
        <f t="array" ref="BD251">IFERROR(INDEX(_xlfn._xlws.SORT(_xlfn._xlws.FILTER(SimpleDashData84[QCNM Name],IF($D$4&lt;&gt;"",SimpleDashData84[QCNM Name]=$D$4,IF($B$4="All Regions",1,SimpleDashData84[Region]=$B$4))*IF($A$4="All Sections",1,SimpleDashData84[Section]=$A$4))),ROWS($BD$153:BD251)),"")</f>
        <v>QCNM Rajanpur, Distrit jail</v>
      </c>
    </row>
    <row r="252" spans="55:56" x14ac:dyDescent="0.3">
      <c r="BC252" t="s">
        <v>167</v>
      </c>
      <c r="BD252" t="str" cm="1">
        <f t="array" ref="BD252">IFERROR(INDEX(_xlfn._xlws.SORT(_xlfn._xlws.FILTER(SimpleDashData84[QCNM Name],IF($D$4&lt;&gt;"",SimpleDashData84[QCNM Name]=$D$4,IF($B$4="All Regions",1,SimpleDashData84[Region]=$B$4))*IF($A$4="All Sections",1,SimpleDashData84[Section]=$A$4))),ROWS($BD$153:BD252)),"")</f>
        <v>QCNM Rawalakot District Jail</v>
      </c>
    </row>
    <row r="253" spans="55:56" x14ac:dyDescent="0.3">
      <c r="BC253" t="s">
        <v>166</v>
      </c>
      <c r="BD253" t="str" cm="1">
        <f t="array" ref="BD253">IFERROR(INDEX(_xlfn._xlws.SORT(_xlfn._xlws.FILTER(SimpleDashData84[QCNM Name],IF($D$4&lt;&gt;"",SimpleDashData84[QCNM Name]=$D$4,IF($B$4="All Regions",1,SimpleDashData84[Region]=$B$4))*IF($A$4="All Sections",1,SimpleDashData84[Section]=$A$4))),ROWS($BD$153:BD253)),"")</f>
        <v>QCNM Rawalakot, University of Poonch</v>
      </c>
    </row>
    <row r="254" spans="55:56" x14ac:dyDescent="0.3">
      <c r="BC254" t="s">
        <v>203</v>
      </c>
      <c r="BD254" t="str" cm="1">
        <f t="array" ref="BD254">IFERROR(INDEX(_xlfn._xlws.SORT(_xlfn._xlws.FILTER(SimpleDashData84[QCNM Name],IF($D$4&lt;&gt;"",SimpleDashData84[QCNM Name]=$D$4,IF($B$4="All Regions",1,SimpleDashData84[Region]=$B$4))*IF($A$4="All Sections",1,SimpleDashData84[Section]=$A$4))),ROWS($BD$153:BD254)),"")</f>
        <v>QCNM Rawalpindi Adayala Jail</v>
      </c>
    </row>
    <row r="255" spans="55:56" x14ac:dyDescent="0.3">
      <c r="BC255" t="s">
        <v>183</v>
      </c>
      <c r="BD255" t="str" cm="1">
        <f t="array" ref="BD255">IFERROR(INDEX(_xlfn._xlws.SORT(_xlfn._xlws.FILTER(SimpleDashData84[QCNM Name],IF($D$4&lt;&gt;"",SimpleDashData84[QCNM Name]=$D$4,IF($B$4="All Regions",1,SimpleDashData84[Region]=$B$4))*IF($A$4="All Sections",1,SimpleDashData84[Section]=$A$4))),ROWS($BD$153:BD255)),"")</f>
        <v>QCNM RHC Washbood</v>
      </c>
    </row>
    <row r="256" spans="55:56" x14ac:dyDescent="0.3">
      <c r="BC256" t="s">
        <v>148</v>
      </c>
      <c r="BD256" t="str" cm="1">
        <f t="array" ref="BD256">IFERROR(INDEX(_xlfn._xlws.SORT(_xlfn._xlws.FILTER(SimpleDashData84[QCNM Name],IF($D$4&lt;&gt;"",SimpleDashData84[QCNM Name]=$D$4,IF($B$4="All Regions",1,SimpleDashData84[Region]=$B$4))*IF($A$4="All Sections",1,SimpleDashData84[Section]=$A$4))),ROWS($BD$153:BD256)),"")</f>
        <v>QCNM RHQ Chillas</v>
      </c>
    </row>
    <row r="257" spans="55:56" x14ac:dyDescent="0.3">
      <c r="BC257" t="s">
        <v>57</v>
      </c>
      <c r="BD257" t="str" cm="1">
        <f t="array" ref="BD257">IFERROR(INDEX(_xlfn._xlws.SORT(_xlfn._xlws.FILTER(SimpleDashData84[QCNM Name],IF($D$4&lt;&gt;"",SimpleDashData84[QCNM Name]=$D$4,IF($B$4="All Regions",1,SimpleDashData84[Region]=$B$4))*IF($A$4="All Sections",1,SimpleDashData84[Section]=$A$4))),ROWS($BD$153:BD257)),"")</f>
        <v>QCNM RHQ- Hospital Skardu</v>
      </c>
    </row>
    <row r="258" spans="55:56" x14ac:dyDescent="0.3">
      <c r="BC258" t="s">
        <v>92</v>
      </c>
      <c r="BD258" t="str" cm="1">
        <f t="array" ref="BD258">IFERROR(INDEX(_xlfn._xlws.SORT(_xlfn._xlws.FILTER(SimpleDashData84[QCNM Name],IF($D$4&lt;&gt;"",SimpleDashData84[QCNM Name]=$D$4,IF($B$4="All Regions",1,SimpleDashData84[Region]=$B$4))*IF($A$4="All Sections",1,SimpleDashData84[Section]=$A$4))),ROWS($BD$153:BD258)),"")</f>
        <v>QCNM Sadda, Sub Jail</v>
      </c>
    </row>
    <row r="259" spans="55:56" x14ac:dyDescent="0.3">
      <c r="BC259" t="s">
        <v>168</v>
      </c>
      <c r="BD259" t="str" cm="1">
        <f t="array" ref="BD259">IFERROR(INDEX(_xlfn._xlws.SORT(_xlfn._xlws.FILTER(SimpleDashData84[QCNM Name],IF($D$4&lt;&gt;"",SimpleDashData84[QCNM Name]=$D$4,IF($B$4="All Regions",1,SimpleDashData84[Region]=$B$4))*IF($A$4="All Sections",1,SimpleDashData84[Section]=$A$4))),ROWS($BD$153:BD259)),"")</f>
        <v>QCNM Sahiwal, Central Jail</v>
      </c>
    </row>
    <row r="260" spans="55:56" x14ac:dyDescent="0.3">
      <c r="BC260" t="s">
        <v>170</v>
      </c>
      <c r="BD260" t="str" cm="1">
        <f t="array" ref="BD260">IFERROR(INDEX(_xlfn._xlws.SORT(_xlfn._xlws.FILTER(SimpleDashData84[QCNM Name],IF($D$4&lt;&gt;"",SimpleDashData84[QCNM Name]=$D$4,IF($B$4="All Regions",1,SimpleDashData84[Region]=$B$4))*IF($A$4="All Sections",1,SimpleDashData84[Section]=$A$4))),ROWS($BD$153:BD260)),"")</f>
        <v>QCNM Sahiwal, High Security Prison</v>
      </c>
    </row>
    <row r="261" spans="55:56" x14ac:dyDescent="0.3">
      <c r="BC261" t="s">
        <v>176</v>
      </c>
      <c r="BD261" t="str" cm="1">
        <f t="array" ref="BD261">IFERROR(INDEX(_xlfn._xlws.SORT(_xlfn._xlws.FILTER(SimpleDashData84[QCNM Name],IF($D$4&lt;&gt;"",SimpleDashData84[QCNM Name]=$D$4,IF($B$4="All Regions",1,SimpleDashData84[Region]=$B$4))*IF($A$4="All Sections",1,SimpleDashData84[Section]=$A$4))),ROWS($BD$153:BD261)),"")</f>
        <v>QCNM Sardar Bahdur Khan University</v>
      </c>
    </row>
    <row r="262" spans="55:56" x14ac:dyDescent="0.3">
      <c r="BC262" t="s">
        <v>149</v>
      </c>
      <c r="BD262" t="str" cm="1">
        <f t="array" ref="BD262">IFERROR(INDEX(_xlfn._xlws.SORT(_xlfn._xlws.FILTER(SimpleDashData84[QCNM Name],IF($D$4&lt;&gt;"",SimpleDashData84[QCNM Name]=$D$4,IF($B$4="All Regions",1,SimpleDashData84[Region]=$B$4))*IF($A$4="All Sections",1,SimpleDashData84[Section]=$A$4))),ROWS($BD$153:BD262)),"")</f>
        <v>QCNM Sargodha, District Jail</v>
      </c>
    </row>
    <row r="263" spans="55:56" x14ac:dyDescent="0.3">
      <c r="BC263" t="s">
        <v>150</v>
      </c>
      <c r="BD263" t="str" cm="1">
        <f t="array" ref="BD263">IFERROR(INDEX(_xlfn._xlws.SORT(_xlfn._xlws.FILTER(SimpleDashData84[QCNM Name],IF($D$4&lt;&gt;"",SimpleDashData84[QCNM Name]=$D$4,IF($B$4="All Regions",1,SimpleDashData84[Region]=$B$4))*IF($A$4="All Sections",1,SimpleDashData84[Section]=$A$4))),ROWS($BD$153:BD263)),"")</f>
        <v>QCNM Shahpur, Dist Jail</v>
      </c>
    </row>
    <row r="264" spans="55:56" x14ac:dyDescent="0.3">
      <c r="BC264" t="s">
        <v>128</v>
      </c>
      <c r="BD264" t="str" cm="1">
        <f t="array" ref="BD264">IFERROR(INDEX(_xlfn._xlws.SORT(_xlfn._xlws.FILTER(SimpleDashData84[QCNM Name],IF($D$4&lt;&gt;"",SimpleDashData84[QCNM Name]=$D$4,IF($B$4="All Regions",1,SimpleDashData84[Region]=$B$4))*IF($A$4="All Sections",1,SimpleDashData84[Section]=$A$4))),ROWS($BD$153:BD264)),"")</f>
        <v>QCNM Sheikhupura, District Jail</v>
      </c>
    </row>
    <row r="265" spans="55:56" x14ac:dyDescent="0.3">
      <c r="BC265" t="s">
        <v>129</v>
      </c>
      <c r="BD265" t="str" cm="1">
        <f t="array" ref="BD265">IFERROR(INDEX(_xlfn._xlws.SORT(_xlfn._xlws.FILTER(SimpleDashData84[QCNM Name],IF($D$4&lt;&gt;"",SimpleDashData84[QCNM Name]=$D$4,IF($B$4="All Regions",1,SimpleDashData84[Region]=$B$4))*IF($A$4="All Sections",1,SimpleDashData84[Section]=$A$4))),ROWS($BD$153:BD265)),"")</f>
        <v>QCNM Sialkot, District Jail</v>
      </c>
    </row>
    <row r="266" spans="55:56" x14ac:dyDescent="0.3">
      <c r="BC266" t="s">
        <v>85</v>
      </c>
      <c r="BD266" t="str" cm="1">
        <f t="array" ref="BD266">IFERROR(INDEX(_xlfn._xlws.SORT(_xlfn._xlws.FILTER(SimpleDashData84[QCNM Name],IF($D$4&lt;&gt;"",SimpleDashData84[QCNM Name]=$D$4,IF($B$4="All Regions",1,SimpleDashData84[Region]=$B$4))*IF($A$4="All Sections",1,SimpleDashData84[Section]=$A$4))),ROWS($BD$153:BD266)),"")</f>
        <v>QCNM Skardu District Jail</v>
      </c>
    </row>
    <row r="267" spans="55:56" x14ac:dyDescent="0.3">
      <c r="BC267" t="s">
        <v>145</v>
      </c>
      <c r="BD267" t="str" cm="1">
        <f t="array" ref="BD267">IFERROR(INDEX(_xlfn._xlws.SORT(_xlfn._xlws.FILTER(SimpleDashData84[QCNM Name],IF($D$4&lt;&gt;"",SimpleDashData84[QCNM Name]=$D$4,IF($B$4="All Regions",1,SimpleDashData84[Region]=$B$4))*IF($A$4="All Sections",1,SimpleDashData84[Section]=$A$4))),ROWS($BD$153:BD267)),"")</f>
        <v>QCNM SSGT Gilgit</v>
      </c>
    </row>
    <row r="268" spans="55:56" x14ac:dyDescent="0.3">
      <c r="BC268" t="s">
        <v>98</v>
      </c>
      <c r="BD268" t="str" cm="1">
        <f t="array" ref="BD268">IFERROR(INDEX(_xlfn._xlws.SORT(_xlfn._xlws.FILTER(SimpleDashData84[QCNM Name],IF($D$4&lt;&gt;"",SimpleDashData84[QCNM Name]=$D$4,IF($B$4="All Regions",1,SimpleDashData84[Region]=$B$4))*IF($A$4="All Sections",1,SimpleDashData84[Section]=$A$4))),ROWS($BD$153:BD268)),"")</f>
        <v>QCNM Sub Jail, Chakwal</v>
      </c>
    </row>
    <row r="269" spans="55:56" x14ac:dyDescent="0.3">
      <c r="BC269" t="s">
        <v>192</v>
      </c>
      <c r="BD269" t="str" cm="1">
        <f t="array" ref="BD269">IFERROR(INDEX(_xlfn._xlws.SORT(_xlfn._xlws.FILTER(SimpleDashData84[QCNM Name],IF($D$4&lt;&gt;"",SimpleDashData84[QCNM Name]=$D$4,IF($B$4="All Regions",1,SimpleDashData84[Region]=$B$4))*IF($A$4="All Sections",1,SimpleDashData84[Section]=$A$4))),ROWS($BD$153:BD269)),"")</f>
        <v>QCNM Subjail Parachinar</v>
      </c>
    </row>
    <row r="270" spans="55:56" x14ac:dyDescent="0.3">
      <c r="BC270" t="s">
        <v>88</v>
      </c>
      <c r="BD270" t="str" cm="1">
        <f t="array" ref="BD270">IFERROR(INDEX(_xlfn._xlws.SORT(_xlfn._xlws.FILTER(SimpleDashData84[QCNM Name],IF($D$4&lt;&gt;"",SimpleDashData84[QCNM Name]=$D$4,IF($B$4="All Regions",1,SimpleDashData84[Region]=$B$4))*IF($A$4="All Sections",1,SimpleDashData84[Section]=$A$4))),ROWS($BD$153:BD270)),"")</f>
        <v>QCNM Sukkur, Central Jail</v>
      </c>
    </row>
    <row r="271" spans="55:56" x14ac:dyDescent="0.3">
      <c r="BC271" t="s">
        <v>78</v>
      </c>
      <c r="BD271" t="str" cm="1">
        <f t="array" ref="BD271">IFERROR(INDEX(_xlfn._xlws.SORT(_xlfn._xlws.FILTER(SimpleDashData84[QCNM Name],IF($D$4&lt;&gt;"",SimpleDashData84[QCNM Name]=$D$4,IF($B$4="All Regions",1,SimpleDashData84[Region]=$B$4))*IF($A$4="All Sections",1,SimpleDashData84[Section]=$A$4))),ROWS($BD$153:BD271)),"")</f>
        <v>QCNM Swabi, Sub Jail</v>
      </c>
    </row>
    <row r="272" spans="55:56" x14ac:dyDescent="0.3">
      <c r="BC272" t="s">
        <v>95</v>
      </c>
      <c r="BD272" t="str" cm="1">
        <f t="array" ref="BD272">IFERROR(INDEX(_xlfn._xlws.SORT(_xlfn._xlws.FILTER(SimpleDashData84[QCNM Name],IF($D$4&lt;&gt;"",SimpleDashData84[QCNM Name]=$D$4,IF($B$4="All Regions",1,SimpleDashData84[Region]=$B$4))*IF($A$4="All Sections",1,SimpleDashData84[Section]=$A$4))),ROWS($BD$153:BD272)),"")</f>
        <v>QCNM Swat, District Jail</v>
      </c>
    </row>
    <row r="273" spans="55:56" x14ac:dyDescent="0.3">
      <c r="BC273" t="s">
        <v>141</v>
      </c>
      <c r="BD273" t="str" cm="1">
        <f t="array" ref="BD273">IFERROR(INDEX(_xlfn._xlws.SORT(_xlfn._xlws.FILTER(SimpleDashData84[QCNM Name],IF($D$4&lt;&gt;"",SimpleDashData84[QCNM Name]=$D$4,IF($B$4="All Regions",1,SimpleDashData84[Region]=$B$4))*IF($A$4="All Sections",1,SimpleDashData84[Section]=$A$4))),ROWS($BD$153:BD273)),"")</f>
        <v>QCNM Tank, Sub Jail</v>
      </c>
    </row>
    <row r="274" spans="55:56" x14ac:dyDescent="0.3">
      <c r="BC274" t="s">
        <v>90</v>
      </c>
      <c r="BD274" t="str" cm="1">
        <f t="array" ref="BD274">IFERROR(INDEX(_xlfn._xlws.SORT(_xlfn._xlws.FILTER(SimpleDashData84[QCNM Name],IF($D$4&lt;&gt;"",SimpleDashData84[QCNM Name]=$D$4,IF($B$4="All Regions",1,SimpleDashData84[Region]=$B$4))*IF($A$4="All Sections",1,SimpleDashData84[Section]=$A$4))),ROWS($BD$153:BD274)),"")</f>
        <v>QCNM The Islamia Uni of Bahawalpur</v>
      </c>
    </row>
    <row r="275" spans="55:56" x14ac:dyDescent="0.3">
      <c r="BC275" t="s">
        <v>130</v>
      </c>
      <c r="BD275" t="str" cm="1">
        <f t="array" ref="BD275">IFERROR(INDEX(_xlfn._xlws.SORT(_xlfn._xlws.FILTER(SimpleDashData84[QCNM Name],IF($D$4&lt;&gt;"",SimpleDashData84[QCNM Name]=$D$4,IF($B$4="All Regions",1,SimpleDashData84[Region]=$B$4))*IF($A$4="All Sections",1,SimpleDashData84[Section]=$A$4))),ROWS($BD$153:BD275)),"")</f>
        <v>QCNM Timergara, District Jail</v>
      </c>
    </row>
    <row r="276" spans="55:56" x14ac:dyDescent="0.3">
      <c r="BC276" t="s">
        <v>184</v>
      </c>
      <c r="BD276" t="str" cm="1">
        <f t="array" ref="BD276">IFERROR(INDEX(_xlfn._xlws.SORT(_xlfn._xlws.FILTER(SimpleDashData84[QCNM Name],IF($D$4&lt;&gt;"",SimpleDashData84[QCNM Name]=$D$4,IF($B$4="All Regions",1,SimpleDashData84[Region]=$B$4))*IF($A$4="All Sections",1,SimpleDashData84[Section]=$A$4))),ROWS($BD$153:BD276)),"")</f>
        <v>QCNM Toba Tek singh,District Jail</v>
      </c>
    </row>
    <row r="277" spans="55:56" x14ac:dyDescent="0.3">
      <c r="BC277" t="s">
        <v>211</v>
      </c>
      <c r="BD277" t="str" cm="1">
        <f t="array" ref="BD277">IFERROR(INDEX(_xlfn._xlws.SORT(_xlfn._xlws.FILTER(SimpleDashData84[QCNM Name],IF($D$4&lt;&gt;"",SimpleDashData84[QCNM Name]=$D$4,IF($B$4="All Regions",1,SimpleDashData84[Region]=$B$4))*IF($A$4="All Sections",1,SimpleDashData84[Section]=$A$4))),ROWS($BD$153:BD277)),"")</f>
        <v>QCNM University of AJK, MZD</v>
      </c>
    </row>
    <row r="278" spans="55:56" x14ac:dyDescent="0.3">
      <c r="BC278" t="s">
        <v>174</v>
      </c>
      <c r="BD278" t="str" cm="1">
        <f t="array" ref="BD278">IFERROR(INDEX(_xlfn._xlws.SORT(_xlfn._xlws.FILTER(SimpleDashData84[QCNM Name],IF($D$4&lt;&gt;"",SimpleDashData84[QCNM Name]=$D$4,IF($B$4="All Regions",1,SimpleDashData84[Region]=$B$4))*IF($A$4="All Sections",1,SimpleDashData84[Section]=$A$4))),ROWS($BD$153:BD278)),"")</f>
        <v xml:space="preserve">QCNM University of Balochistan </v>
      </c>
    </row>
    <row r="279" spans="55:56" x14ac:dyDescent="0.3">
      <c r="BC279" t="s">
        <v>185</v>
      </c>
      <c r="BD279" t="str" cm="1">
        <f t="array" ref="BD279">IFERROR(INDEX(_xlfn._xlws.SORT(_xlfn._xlws.FILTER(SimpleDashData84[QCNM Name],IF($D$4&lt;&gt;"",SimpleDashData84[QCNM Name]=$D$4,IF($B$4="All Regions",1,SimpleDashData84[Region]=$B$4))*IF($A$4="All Sections",1,SimpleDashData84[Section]=$A$4))),ROWS($BD$153:BD279)),"")</f>
        <v>QCNM University of Karachi</v>
      </c>
    </row>
    <row r="280" spans="55:56" x14ac:dyDescent="0.3">
      <c r="BC280" t="s">
        <v>181</v>
      </c>
      <c r="BD280" t="str" cm="1">
        <f t="array" ref="BD280">IFERROR(INDEX(_xlfn._xlws.SORT(_xlfn._xlws.FILTER(SimpleDashData84[QCNM Name],IF($D$4&lt;&gt;"",SimpleDashData84[QCNM Name]=$D$4,IF($B$4="All Regions",1,SimpleDashData84[Region]=$B$4))*IF($A$4="All Sections",1,SimpleDashData84[Section]=$A$4))),ROWS($BD$153:BD280)),"")</f>
        <v>QCNM University of Kotli</v>
      </c>
    </row>
    <row r="281" spans="55:56" x14ac:dyDescent="0.3">
      <c r="BC281" t="s">
        <v>140</v>
      </c>
      <c r="BD281" t="str" cm="1">
        <f t="array" ref="BD281">IFERROR(INDEX(_xlfn._xlws.SORT(_xlfn._xlws.FILTER(SimpleDashData84[QCNM Name],IF($D$4&lt;&gt;"",SimpleDashData84[QCNM Name]=$D$4,IF($B$4="All Regions",1,SimpleDashData84[Region]=$B$4))*IF($A$4="All Sections",1,SimpleDashData84[Section]=$A$4))),ROWS($BD$153:BD281)),"")</f>
        <v>QCNM University of Loralai</v>
      </c>
    </row>
    <row r="282" spans="55:56" x14ac:dyDescent="0.3">
      <c r="BC282" t="s">
        <v>180</v>
      </c>
      <c r="BD282" t="str" cm="1">
        <f t="array" ref="BD282">IFERROR(INDEX(_xlfn._xlws.SORT(_xlfn._xlws.FILTER(SimpleDashData84[QCNM Name],IF($D$4&lt;&gt;"",SimpleDashData84[QCNM Name]=$D$4,IF($B$4="All Regions",1,SimpleDashData84[Region]=$B$4))*IF($A$4="All Sections",1,SimpleDashData84[Section]=$A$4))),ROWS($BD$153:BD282)),"")</f>
        <v>QCNM University of Okara</v>
      </c>
    </row>
    <row r="283" spans="55:56" x14ac:dyDescent="0.3">
      <c r="BC283" t="s">
        <v>169</v>
      </c>
      <c r="BD283" t="str" cm="1">
        <f t="array" ref="BD283">IFERROR(INDEX(_xlfn._xlws.SORT(_xlfn._xlws.FILTER(SimpleDashData84[QCNM Name],IF($D$4&lt;&gt;"",SimpleDashData84[QCNM Name]=$D$4,IF($B$4="All Regions",1,SimpleDashData84[Region]=$B$4))*IF($A$4="All Sections",1,SimpleDashData84[Section]=$A$4))),ROWS($BD$153:BD283)),"")</f>
        <v>QCNM University of Sindh</v>
      </c>
    </row>
    <row r="284" spans="55:56" x14ac:dyDescent="0.3">
      <c r="BC284" t="s">
        <v>163</v>
      </c>
      <c r="BD284" t="str" cm="1">
        <f t="array" ref="BD284">IFERROR(INDEX(_xlfn._xlws.SORT(_xlfn._xlws.FILTER(SimpleDashData84[QCNM Name],IF($D$4&lt;&gt;"",SimpleDashData84[QCNM Name]=$D$4,IF($B$4="All Regions",1,SimpleDashData84[Region]=$B$4))*IF($A$4="All Sections",1,SimpleDashData84[Section]=$A$4))),ROWS($BD$153:BD284)),"")</f>
        <v>QCNM Vehari, District Jail</v>
      </c>
    </row>
    <row r="285" spans="55:56" x14ac:dyDescent="0.3">
      <c r="BC285" t="s">
        <v>194</v>
      </c>
      <c r="BD285" t="str" cm="1">
        <f t="array" ref="BD285">IFERROR(INDEX(_xlfn._xlws.SORT(_xlfn._xlws.FILTER(SimpleDashData84[QCNM Name],IF($D$4&lt;&gt;"",SimpleDashData84[QCNM Name]=$D$4,IF($B$4="All Regions",1,SimpleDashData84[Region]=$B$4))*IF($A$4="All Sections",1,SimpleDashData84[Section]=$A$4))),ROWS($BD$153:BD285)),"")</f>
        <v>QCNM Woman Jail, Multan</v>
      </c>
    </row>
    <row r="286" spans="55:56" x14ac:dyDescent="0.3">
      <c r="BC286" t="s">
        <v>173</v>
      </c>
      <c r="BD286" t="str" cm="1">
        <f t="array" ref="BD286">IFERROR(INDEX(_xlfn._xlws.SORT(_xlfn._xlws.FILTER(SimpleDashData84[QCNM Name],IF($D$4&lt;&gt;"",SimpleDashData84[QCNM Name]=$D$4,IF($B$4="All Regions",1,SimpleDashData84[Region]=$B$4))*IF($A$4="All Sections",1,SimpleDashData84[Section]=$A$4))),ROWS($BD$153:BD286)),"")</f>
        <v>QCNM Women Jail Karachi</v>
      </c>
    </row>
    <row r="287" spans="55:56" x14ac:dyDescent="0.3">
      <c r="BC287" t="s">
        <v>116</v>
      </c>
      <c r="BD287" t="str" cm="1">
        <f t="array" ref="BD287">IFERROR(INDEX(_xlfn._xlws.SORT(_xlfn._xlws.FILTER(SimpleDashData84[QCNM Name],IF($D$4&lt;&gt;"",SimpleDashData84[QCNM Name]=$D$4,IF($B$4="All Regions",1,SimpleDashData84[Region]=$B$4))*IF($A$4="All Sections",1,SimpleDashData84[Section]=$A$4))),ROWS($BD$153:BD287)),"")</f>
        <v>QCNM, Fedral Urdu University</v>
      </c>
    </row>
    <row r="288" spans="55:56" x14ac:dyDescent="0.3">
      <c r="BD288" t="str" cm="1">
        <f t="array" ref="BD288">IFERROR(INDEX(_xlfn._xlws.SORT(_xlfn._xlws.FILTER(SimpleDashData84[QCNM Name],IF($D$4&lt;&gt;"",SimpleDashData84[QCNM Name]=$D$4,IF($B$4="All Regions",1,SimpleDashData84[Region]=$B$4))*IF($A$4="All Sections",1,SimpleDashData84[Section]=$A$4))),ROWS($BD$153:BD288)),"")</f>
        <v>QCNM, ZCD Hospital Toba tek Singh</v>
      </c>
    </row>
    <row r="289" spans="56:56" x14ac:dyDescent="0.3">
      <c r="BD289" t="str" cm="1">
        <f t="array" ref="BD289">IFERROR(INDEX(_xlfn._xlws.SORT(_xlfn._xlws.FILTER(SimpleDashData84[QCNM Name],IF($D$4&lt;&gt;"",SimpleDashData84[QCNM Name]=$D$4,IF($B$4="All Regions",1,SimpleDashData84[Region]=$B$4))*IF($A$4="All Sections",1,SimpleDashData84[Section]=$A$4))),ROWS($BD$153:BD289)),"")</f>
        <v/>
      </c>
    </row>
    <row r="290" spans="56:56" x14ac:dyDescent="0.3">
      <c r="BD290" t="str" cm="1">
        <f t="array" ref="BD290">IFERROR(INDEX(_xlfn._xlws.SORT(_xlfn._xlws.FILTER(SimpleDashData84[QCNM Name],IF($D$4&lt;&gt;"",SimpleDashData84[QCNM Name]=$D$4,IF($B$4="All Regions",1,SimpleDashData84[Region]=$B$4))*IF($A$4="All Sections",1,SimpleDashData84[Section]=$A$4))),ROWS($BD$153:BD290)),"")</f>
        <v/>
      </c>
    </row>
    <row r="291" spans="56:56" x14ac:dyDescent="0.3">
      <c r="BD291" t="str" cm="1">
        <f t="array" ref="BD291">IFERROR(INDEX(_xlfn._xlws.SORT(_xlfn._xlws.FILTER(SimpleDashData84[QCNM Name],IF($D$4&lt;&gt;"",SimpleDashData84[QCNM Name]=$D$4,IF($B$4="All Regions",1,SimpleDashData84[Region]=$B$4))*IF($A$4="All Sections",1,SimpleDashData84[Section]=$A$4))),ROWS($BD$153:BD291)),"")</f>
        <v/>
      </c>
    </row>
    <row r="292" spans="56:56" x14ac:dyDescent="0.3">
      <c r="BD292" t="str" cm="1">
        <f t="array" ref="BD292">IFERROR(INDEX(_xlfn._xlws.SORT(_xlfn._xlws.FILTER(SimpleDashData84[QCNM Name],IF($D$4&lt;&gt;"",SimpleDashData84[QCNM Name]=$D$4,IF($B$4="All Regions",1,SimpleDashData84[Region]=$B$4))*IF($A$4="All Sections",1,SimpleDashData84[Section]=$A$4))),ROWS($BD$153:BD292)),"")</f>
        <v/>
      </c>
    </row>
    <row r="293" spans="56:56" x14ac:dyDescent="0.3">
      <c r="BD293" t="str" cm="1">
        <f t="array" ref="BD293">IFERROR(INDEX(_xlfn._xlws.SORT(_xlfn._xlws.FILTER(SimpleDashData84[QCNM Name],IF($D$4&lt;&gt;"",SimpleDashData84[QCNM Name]=$D$4,IF($B$4="All Regions",1,SimpleDashData84[Region]=$B$4))*IF($A$4="All Sections",1,SimpleDashData84[Section]=$A$4))),ROWS($BD$153:BD293)),"")</f>
        <v/>
      </c>
    </row>
    <row r="294" spans="56:56" x14ac:dyDescent="0.3">
      <c r="BD294" t="str" cm="1">
        <f t="array" ref="BD294">IFERROR(INDEX(_xlfn._xlws.SORT(_xlfn._xlws.FILTER(SimpleDashData84[QCNM Name],IF($D$4&lt;&gt;"",SimpleDashData84[QCNM Name]=$D$4,IF($B$4="All Regions",1,SimpleDashData84[Region]=$B$4))*IF($A$4="All Sections",1,SimpleDashData84[Section]=$A$4))),ROWS($BD$153:BD294)),"")</f>
        <v/>
      </c>
    </row>
    <row r="295" spans="56:56" x14ac:dyDescent="0.3">
      <c r="BD295" t="str" cm="1">
        <f t="array" ref="BD295">IFERROR(INDEX(_xlfn._xlws.SORT(_xlfn._xlws.FILTER(SimpleDashData84[QCNM Name],IF($D$4&lt;&gt;"",SimpleDashData84[QCNM Name]=$D$4,IF($B$4="All Regions",1,SimpleDashData84[Region]=$B$4))*IF($A$4="All Sections",1,SimpleDashData84[Section]=$A$4))),ROWS($BD$153:BD295)),"")</f>
        <v/>
      </c>
    </row>
    <row r="296" spans="56:56" x14ac:dyDescent="0.3">
      <c r="BD296" t="str" cm="1">
        <f t="array" ref="BD296">IFERROR(INDEX(_xlfn._xlws.SORT(_xlfn._xlws.FILTER(SimpleDashData84[QCNM Name],IF($D$4&lt;&gt;"",SimpleDashData84[QCNM Name]=$D$4,IF($B$4="All Regions",1,SimpleDashData84[Region]=$B$4))*IF($A$4="All Sections",1,SimpleDashData84[Section]=$A$4))),ROWS($BD$153:BD296)),"")</f>
        <v/>
      </c>
    </row>
    <row r="297" spans="56:56" x14ac:dyDescent="0.3">
      <c r="BD297" t="str" cm="1">
        <f t="array" ref="BD297">IFERROR(INDEX(_xlfn._xlws.SORT(_xlfn._xlws.FILTER(SimpleDashData84[QCNM Name],IF($D$4&lt;&gt;"",SimpleDashData84[QCNM Name]=$D$4,IF($B$4="All Regions",1,SimpleDashData84[Region]=$B$4))*IF($A$4="All Sections",1,SimpleDashData84[Section]=$A$4))),ROWS($BD$153:BD297)),"")</f>
        <v/>
      </c>
    </row>
    <row r="298" spans="56:56" x14ac:dyDescent="0.3">
      <c r="BD298" t="str" cm="1">
        <f t="array" ref="BD298">IFERROR(INDEX(_xlfn._xlws.SORT(_xlfn._xlws.FILTER(SimpleDashData84[QCNM Name],IF($D$4&lt;&gt;"",SimpleDashData84[QCNM Name]=$D$4,IF($B$4="All Regions",1,SimpleDashData84[Region]=$B$4))*IF($A$4="All Sections",1,SimpleDashData84[Section]=$A$4))),ROWS($BD$153:BD298)),"")</f>
        <v/>
      </c>
    </row>
    <row r="299" spans="56:56" x14ac:dyDescent="0.3">
      <c r="BD299" t="str" cm="1">
        <f t="array" ref="BD299">IFERROR(INDEX(_xlfn._xlws.SORT(_xlfn._xlws.FILTER(SimpleDashData84[QCNM Name],IF($D$4&lt;&gt;"",SimpleDashData84[QCNM Name]=$D$4,IF($B$4="All Regions",1,SimpleDashData84[Region]=$B$4))*IF($A$4="All Sections",1,SimpleDashData84[Section]=$A$4))),ROWS($BD$153:BD299)),"")</f>
        <v/>
      </c>
    </row>
    <row r="300" spans="56:56" x14ac:dyDescent="0.3">
      <c r="BD300" t="str" cm="1">
        <f t="array" ref="BD300">IFERROR(INDEX(_xlfn._xlws.SORT(_xlfn._xlws.FILTER(SimpleDashData84[QCNM Name],IF($D$4&lt;&gt;"",SimpleDashData84[QCNM Name]=$D$4,IF($B$4="All Regions",1,SimpleDashData84[Region]=$B$4))*IF($A$4="All Sections",1,SimpleDashData84[Section]=$A$4))),ROWS($BD$153:BD300)),"")</f>
        <v/>
      </c>
    </row>
    <row r="301" spans="56:56" x14ac:dyDescent="0.3">
      <c r="BD301" t="str" cm="1">
        <f t="array" ref="BD301">IFERROR(INDEX(_xlfn._xlws.SORT(_xlfn._xlws.FILTER(SimpleDashData84[QCNM Name],IF($D$4&lt;&gt;"",SimpleDashData84[QCNM Name]=$D$4,IF($B$4="All Regions",1,SimpleDashData84[Region]=$B$4))*IF($A$4="All Sections",1,SimpleDashData84[Section]=$A$4))),ROWS($BD$153:BD301)),"")</f>
        <v/>
      </c>
    </row>
  </sheetData>
  <mergeCells count="12">
    <mergeCell ref="P17:P19"/>
    <mergeCell ref="J23:N23"/>
    <mergeCell ref="P23:T23"/>
    <mergeCell ref="V23:X23"/>
    <mergeCell ref="A1:O1"/>
    <mergeCell ref="A2:O2"/>
    <mergeCell ref="B3:C3"/>
    <mergeCell ref="D4:E4"/>
    <mergeCell ref="G3:I3"/>
    <mergeCell ref="B4:C4"/>
    <mergeCell ref="G4:I4"/>
    <mergeCell ref="D3:E3"/>
  </mergeCells>
  <dataValidations count="6">
    <dataValidation type="list" allowBlank="1" showInputMessage="1" showErrorMessage="1" errorTitle="Select a patient rank" error="Choose Expense Rank, Total, Male, Female, or Child." sqref="L4" xr:uid="{815F654B-A3A8-46FE-BCA4-6529C1DC8904}">
      <formula1>$AL$2:$AL$6</formula1>
    </dataValidation>
    <dataValidation type="list" allowBlank="1" showInputMessage="1" showErrorMessage="1" errorTitle="Select a budget head" error="Choose a value from the budget-head list." sqref="K4" xr:uid="{8E4F1B9E-EE28-4E70-A6F0-924288D66F01}">
      <formula1>$AK$2:$AK$12</formula1>
    </dataValidation>
    <dataValidation type="list" allowBlank="1" showInputMessage="1" showErrorMessage="1" promptTitle="Clinic Search" prompt="Type or choose one clinic name. Clear D3 to return to the Region/Clinic menus." sqref="D4" xr:uid="{7FDE9795-6DD8-4B73-8B55-E47FDEDEF2B5}">
      <formula1>$BB$2:$BB$137</formula1>
    </dataValidation>
    <dataValidation type="list" allowBlank="1" showInputMessage="1" showErrorMessage="1" sqref="G4" xr:uid="{8E3F7D3E-3BC4-49E6-93FD-5F584578D334}">
      <formula1>$BD$151:$BD$300</formula1>
    </dataValidation>
    <dataValidation type="list" allowBlank="1" showInputMessage="1" showErrorMessage="1" sqref="B4" xr:uid="{EA04A84D-72D7-4C66-B5B5-15A944A48A49}">
      <formula1>$BB$151:$BB$155</formula1>
    </dataValidation>
    <dataValidation type="list" allowBlank="1" showInputMessage="1" showErrorMessage="1" sqref="A4" xr:uid="{1F7A93C2-21CB-4205-B35E-790F233C07A7}">
      <formula1>"All Sections,Public,Prison"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4253-2BC7-4255-9647-A8688860AAC4}">
  <dimension ref="A1:CA301"/>
  <sheetViews>
    <sheetView topLeftCell="C1" zoomScale="85" zoomScaleNormal="85" workbookViewId="0">
      <selection activeCell="H10" sqref="H10"/>
    </sheetView>
  </sheetViews>
  <sheetFormatPr defaultRowHeight="14.4" x14ac:dyDescent="0.3"/>
  <cols>
    <col min="1" max="1" width="12.6640625" customWidth="1"/>
    <col min="2" max="2" width="37.5546875" customWidth="1"/>
    <col min="3" max="3" width="12.6640625" customWidth="1"/>
    <col min="4" max="4" width="12.5546875" bestFit="1" customWidth="1"/>
    <col min="5" max="5" width="6.77734375" customWidth="1"/>
    <col min="6" max="6" width="12.33203125" bestFit="1" customWidth="1"/>
    <col min="7" max="7" width="15.44140625" bestFit="1" customWidth="1"/>
    <col min="8" max="8" width="11.109375" bestFit="1" customWidth="1"/>
    <col min="9" max="9" width="11.109375" customWidth="1"/>
    <col min="10" max="10" width="13.6640625" bestFit="1" customWidth="1"/>
    <col min="11" max="12" width="16.33203125" customWidth="1"/>
    <col min="13" max="13" width="8.5546875" customWidth="1"/>
    <col min="14" max="14" width="18.5546875" bestFit="1" customWidth="1"/>
    <col min="15" max="15" width="11.33203125" customWidth="1"/>
    <col min="16" max="16" width="8.33203125" customWidth="1"/>
    <col min="17" max="17" width="13.109375" bestFit="1" customWidth="1"/>
    <col min="18" max="18" width="12.88671875" bestFit="1" customWidth="1"/>
    <col min="19" max="19" width="7.109375" bestFit="1" customWidth="1"/>
    <col min="20" max="20" width="19.33203125" customWidth="1"/>
    <col min="21" max="21" width="7.109375" bestFit="1" customWidth="1"/>
    <col min="22" max="22" width="6.77734375" bestFit="1" customWidth="1"/>
    <col min="23" max="23" width="18.6640625" customWidth="1"/>
    <col min="24" max="24" width="17.6640625" customWidth="1"/>
    <col min="25" max="25" width="7.88671875" bestFit="1" customWidth="1"/>
    <col min="26" max="26" width="12.88671875" bestFit="1" customWidth="1"/>
    <col min="27" max="27" width="7.109375" bestFit="1" customWidth="1"/>
    <col min="28" max="28" width="15.88671875" bestFit="1" customWidth="1"/>
    <col min="30" max="30" width="5.33203125" bestFit="1" customWidth="1"/>
    <col min="31" max="31" width="11.88671875" bestFit="1" customWidth="1"/>
    <col min="32" max="32" width="12.5546875" bestFit="1" customWidth="1"/>
    <col min="33" max="33" width="17" bestFit="1" customWidth="1"/>
    <col min="35" max="35" width="17.21875" bestFit="1" customWidth="1"/>
    <col min="36" max="36" width="7.5546875" bestFit="1" customWidth="1"/>
    <col min="37" max="38" width="0" hidden="1" customWidth="1"/>
    <col min="53" max="53" width="7.6640625" bestFit="1" customWidth="1"/>
    <col min="54" max="56" width="43" bestFit="1" customWidth="1"/>
    <col min="57" max="57" width="25.77734375" bestFit="1" customWidth="1"/>
    <col min="58" max="58" width="10.77734375" bestFit="1" customWidth="1"/>
    <col min="59" max="59" width="13.21875" bestFit="1" customWidth="1"/>
    <col min="60" max="60" width="12.33203125" bestFit="1" customWidth="1"/>
    <col min="61" max="61" width="9" bestFit="1" customWidth="1"/>
    <col min="62" max="63" width="9.77734375" bestFit="1" customWidth="1"/>
    <col min="64" max="64" width="9.6640625" bestFit="1" customWidth="1"/>
    <col min="65" max="65" width="8.6640625" bestFit="1" customWidth="1"/>
    <col min="66" max="66" width="11.77734375" bestFit="1" customWidth="1"/>
    <col min="67" max="67" width="9.88671875" bestFit="1" customWidth="1"/>
    <col min="68" max="68" width="7.109375" bestFit="1" customWidth="1"/>
    <col min="69" max="69" width="14.5546875" bestFit="1" customWidth="1"/>
    <col min="70" max="70" width="7.21875" bestFit="1" customWidth="1"/>
    <col min="71" max="71" width="9.44140625" bestFit="1" customWidth="1"/>
    <col min="72" max="72" width="7.6640625" bestFit="1" customWidth="1"/>
    <col min="73" max="73" width="14.5546875" bestFit="1" customWidth="1"/>
    <col min="74" max="74" width="14.33203125" bestFit="1" customWidth="1"/>
    <col min="75" max="75" width="15.33203125" bestFit="1" customWidth="1"/>
    <col min="76" max="76" width="18.5546875" bestFit="1" customWidth="1"/>
    <col min="77" max="77" width="27.33203125" bestFit="1" customWidth="1"/>
    <col min="78" max="78" width="19.77734375" bestFit="1" customWidth="1"/>
    <col min="79" max="79" width="21" bestFit="1" customWidth="1"/>
  </cols>
  <sheetData>
    <row r="1" spans="1:79" ht="23.4" x14ac:dyDescent="0.4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AK1" t="s">
        <v>1</v>
      </c>
      <c r="AL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10</v>
      </c>
      <c r="BI1" t="s">
        <v>11</v>
      </c>
      <c r="BJ1" t="s">
        <v>12</v>
      </c>
      <c r="BK1" t="s">
        <v>13</v>
      </c>
      <c r="BL1" t="s">
        <v>14</v>
      </c>
      <c r="BM1" t="s">
        <v>15</v>
      </c>
      <c r="BN1" t="s">
        <v>16</v>
      </c>
      <c r="BO1" t="s">
        <v>17</v>
      </c>
      <c r="BP1" t="s">
        <v>18</v>
      </c>
      <c r="BQ1" t="s">
        <v>19</v>
      </c>
      <c r="BR1" t="s">
        <v>20</v>
      </c>
      <c r="BS1" t="s">
        <v>21</v>
      </c>
      <c r="BT1" t="s">
        <v>22</v>
      </c>
      <c r="BU1" t="s">
        <v>23</v>
      </c>
      <c r="BV1" t="s">
        <v>24</v>
      </c>
      <c r="BW1" t="s">
        <v>25</v>
      </c>
      <c r="BX1" t="s">
        <v>26</v>
      </c>
      <c r="BY1" t="s">
        <v>27</v>
      </c>
      <c r="BZ1" t="s">
        <v>28</v>
      </c>
      <c r="CA1" t="s">
        <v>29</v>
      </c>
    </row>
    <row r="2" spans="1:79" ht="15" thickBot="1" x14ac:dyDescent="0.35">
      <c r="A2" s="70" t="s">
        <v>228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AK2" t="s">
        <v>19</v>
      </c>
      <c r="AL2" t="s">
        <v>31</v>
      </c>
      <c r="BA2">
        <v>1</v>
      </c>
      <c r="BB2" t="s">
        <v>32</v>
      </c>
      <c r="BC2">
        <v>2010210</v>
      </c>
      <c r="BD2" t="s">
        <v>33</v>
      </c>
      <c r="BE2" t="s">
        <v>34</v>
      </c>
      <c r="BF2" t="s">
        <v>35</v>
      </c>
      <c r="BG2">
        <f>'[1]Expense Master June-26'!G7</f>
        <v>1370</v>
      </c>
      <c r="BH2">
        <f>'[1]Expense Master June-26'!H7</f>
        <v>0</v>
      </c>
      <c r="BI2">
        <f>'[1]Expense Master June-26'!I7</f>
        <v>0</v>
      </c>
      <c r="BJ2">
        <f>'[1]Expense Master June-26'!J7</f>
        <v>7150</v>
      </c>
      <c r="BK2">
        <f>'[1]Expense Master June-26'!K7</f>
        <v>0</v>
      </c>
      <c r="BL2">
        <f>'[1]Expense Master June-26'!L7</f>
        <v>0</v>
      </c>
      <c r="BM2">
        <f>'[1]Expense Master June-26'!M7</f>
        <v>0</v>
      </c>
      <c r="BN2">
        <f>'[1]Expense Master June-26'!N7</f>
        <v>0</v>
      </c>
      <c r="BO2">
        <f>'[1]Expense Master June-26'!O7</f>
        <v>1000</v>
      </c>
      <c r="BP2">
        <f>'[1]Expense Master June-26'!P7</f>
        <v>0</v>
      </c>
      <c r="BQ2">
        <f>SUM(SimpleDashData8[[#This Row],[Convayance]:[Misc]])</f>
        <v>9520</v>
      </c>
      <c r="BR2">
        <f>'[1]Expense Master June-26'!R7</f>
        <v>1304</v>
      </c>
      <c r="BS2">
        <f>'[1]Expense Master June-26'!S7</f>
        <v>539</v>
      </c>
      <c r="BT2">
        <f>'[1]Expense Master June-26'!T7</f>
        <v>249</v>
      </c>
      <c r="BU2">
        <f>SUM(SimpleDashData8[[#This Row],[Male]:[Child]])</f>
        <v>2092</v>
      </c>
      <c r="BV2">
        <f>'[1]Expense Master June-26'!V7</f>
        <v>2880</v>
      </c>
      <c r="BW2">
        <f>'[1]Expense Master June-26'!W7</f>
        <v>0</v>
      </c>
      <c r="BZ2">
        <f>SimpleDashData8[[#This Row],[Total Expense]]/SimpleDashData8[[#This Row],[Total Patients]]</f>
        <v>4.5506692160611859</v>
      </c>
      <c r="CA2">
        <v>0</v>
      </c>
    </row>
    <row r="3" spans="1:79" ht="25.05" customHeight="1" thickTop="1" thickBot="1" x14ac:dyDescent="0.35">
      <c r="A3" s="58" t="s">
        <v>225</v>
      </c>
      <c r="B3" s="80" t="s">
        <v>36</v>
      </c>
      <c r="C3" s="80"/>
      <c r="D3" s="84" t="s">
        <v>226</v>
      </c>
      <c r="E3" s="84"/>
      <c r="F3" s="1"/>
      <c r="G3" s="80" t="s">
        <v>37</v>
      </c>
      <c r="H3" s="80"/>
      <c r="I3" s="80"/>
      <c r="K3" s="56" t="s">
        <v>38</v>
      </c>
      <c r="L3" s="56" t="s">
        <v>39</v>
      </c>
      <c r="AK3" t="s">
        <v>9</v>
      </c>
      <c r="AL3" t="s">
        <v>40</v>
      </c>
      <c r="BA3">
        <v>2</v>
      </c>
      <c r="BB3" t="s">
        <v>41</v>
      </c>
      <c r="BC3">
        <v>2010215</v>
      </c>
      <c r="BD3" t="s">
        <v>33</v>
      </c>
      <c r="BE3" t="s">
        <v>34</v>
      </c>
      <c r="BF3" t="s">
        <v>35</v>
      </c>
      <c r="BG3">
        <f>'[1]Expense Master June-26'!G8</f>
        <v>700</v>
      </c>
      <c r="BH3">
        <f>'[1]Expense Master June-26'!H8</f>
        <v>0</v>
      </c>
      <c r="BI3">
        <f>'[1]Expense Master June-26'!I8</f>
        <v>0</v>
      </c>
      <c r="BJ3">
        <f>'[1]Expense Master June-26'!J8</f>
        <v>0</v>
      </c>
      <c r="BK3">
        <f>'[1]Expense Master June-26'!K8</f>
        <v>0</v>
      </c>
      <c r="BL3">
        <f>'[1]Expense Master June-26'!L8</f>
        <v>0</v>
      </c>
      <c r="BM3">
        <f>'[1]Expense Master June-26'!M8</f>
        <v>0</v>
      </c>
      <c r="BN3">
        <f>'[1]Expense Master June-26'!N8</f>
        <v>0</v>
      </c>
      <c r="BO3">
        <f>'[1]Expense Master June-26'!O8</f>
        <v>1000</v>
      </c>
      <c r="BP3">
        <f>'[1]Expense Master June-26'!P8</f>
        <v>0</v>
      </c>
      <c r="BQ3">
        <f>SUM(SimpleDashData8[[#This Row],[Convayance]:[Misc]])</f>
        <v>1700</v>
      </c>
      <c r="BR3">
        <f>'[1]Expense Master June-26'!R8</f>
        <v>366</v>
      </c>
      <c r="BS3">
        <f>'[1]Expense Master June-26'!S8</f>
        <v>240</v>
      </c>
      <c r="BT3">
        <f>'[1]Expense Master June-26'!T8</f>
        <v>318</v>
      </c>
      <c r="BU3">
        <f>SUM(SimpleDashData8[[#This Row],[Male]:[Child]])</f>
        <v>924</v>
      </c>
      <c r="BV3">
        <f>'[1]Expense Master June-26'!V8</f>
        <v>1482</v>
      </c>
      <c r="BW3">
        <f>'[1]Expense Master June-26'!W8</f>
        <v>0</v>
      </c>
      <c r="BZ3">
        <f>SimpleDashData8[[#This Row],[Total Expense]]/SimpleDashData8[[#This Row],[Total Patients]]</f>
        <v>1.8398268398268398</v>
      </c>
      <c r="CA3">
        <v>0</v>
      </c>
    </row>
    <row r="4" spans="1:79" ht="25.05" customHeight="1" thickTop="1" thickBot="1" x14ac:dyDescent="0.35">
      <c r="A4" s="59" t="s">
        <v>224</v>
      </c>
      <c r="B4" s="88" t="s">
        <v>42</v>
      </c>
      <c r="C4" s="88"/>
      <c r="D4" s="86"/>
      <c r="E4" s="87"/>
      <c r="F4" s="1"/>
      <c r="G4" s="83" t="s">
        <v>43</v>
      </c>
      <c r="H4" s="83"/>
      <c r="I4" s="83"/>
      <c r="K4" s="57" t="s">
        <v>19</v>
      </c>
      <c r="L4" s="57" t="s">
        <v>40</v>
      </c>
      <c r="AK4" t="s">
        <v>10</v>
      </c>
      <c r="AL4" t="s">
        <v>20</v>
      </c>
      <c r="BA4">
        <v>3</v>
      </c>
      <c r="BB4" t="s">
        <v>44</v>
      </c>
      <c r="BC4">
        <v>2010298</v>
      </c>
      <c r="BD4" t="s">
        <v>33</v>
      </c>
      <c r="BE4" t="s">
        <v>34</v>
      </c>
      <c r="BF4" t="s">
        <v>35</v>
      </c>
      <c r="BG4">
        <f>'[1]Expense Master June-26'!G9</f>
        <v>0</v>
      </c>
      <c r="BH4">
        <f>'[1]Expense Master June-26'!H9</f>
        <v>0</v>
      </c>
      <c r="BI4">
        <f>'[1]Expense Master June-26'!I9</f>
        <v>0</v>
      </c>
      <c r="BJ4">
        <f>'[1]Expense Master June-26'!J9</f>
        <v>0</v>
      </c>
      <c r="BK4">
        <f>'[1]Expense Master June-26'!K9</f>
        <v>0</v>
      </c>
      <c r="BL4">
        <f>'[1]Expense Master June-26'!L9</f>
        <v>0</v>
      </c>
      <c r="BM4">
        <f>'[1]Expense Master June-26'!M9</f>
        <v>0</v>
      </c>
      <c r="BN4">
        <f>'[1]Expense Master June-26'!N9</f>
        <v>0</v>
      </c>
      <c r="BO4">
        <f>'[1]Expense Master June-26'!O9</f>
        <v>0</v>
      </c>
      <c r="BP4">
        <f>'[1]Expense Master June-26'!P9</f>
        <v>0</v>
      </c>
      <c r="BQ4">
        <f>SUM(SimpleDashData8[[#This Row],[Convayance]:[Misc]])</f>
        <v>0</v>
      </c>
      <c r="BR4">
        <f>'[1]Expense Master June-26'!R9</f>
        <v>507</v>
      </c>
      <c r="BS4">
        <f>'[1]Expense Master June-26'!S9</f>
        <v>0</v>
      </c>
      <c r="BT4">
        <f>'[1]Expense Master June-26'!T9</f>
        <v>0</v>
      </c>
      <c r="BU4">
        <f>SUM(SimpleDashData8[[#This Row],[Male]:[Child]])</f>
        <v>507</v>
      </c>
      <c r="BV4">
        <f>'[1]Expense Master June-26'!V9</f>
        <v>507</v>
      </c>
      <c r="BW4">
        <f>'[1]Expense Master June-26'!W9</f>
        <v>0</v>
      </c>
      <c r="BZ4">
        <f>SimpleDashData8[[#This Row],[Total Expense]]/SimpleDashData8[[#This Row],[Total Patients]]</f>
        <v>0</v>
      </c>
      <c r="CA4">
        <v>0</v>
      </c>
    </row>
    <row r="5" spans="1:79" ht="15" thickTop="1" x14ac:dyDescent="0.3">
      <c r="AI5" t="s">
        <v>45</v>
      </c>
      <c r="AJ5" t="s">
        <v>46</v>
      </c>
      <c r="AK5" t="s">
        <v>11</v>
      </c>
      <c r="AL5" t="s">
        <v>21</v>
      </c>
      <c r="BA5">
        <v>4</v>
      </c>
      <c r="BB5" t="s">
        <v>47</v>
      </c>
      <c r="BD5" t="s">
        <v>33</v>
      </c>
      <c r="BE5" t="s">
        <v>34</v>
      </c>
      <c r="BF5" t="s">
        <v>35</v>
      </c>
      <c r="BG5">
        <f>'[1]Expense Master June-26'!G10</f>
        <v>16589</v>
      </c>
      <c r="BH5">
        <f>'[1]Expense Master June-26'!H10</f>
        <v>2180</v>
      </c>
      <c r="BI5">
        <f>'[1]Expense Master June-26'!I10</f>
        <v>0</v>
      </c>
      <c r="BJ5">
        <f>'[1]Expense Master June-26'!J10</f>
        <v>0</v>
      </c>
      <c r="BK5">
        <f>'[1]Expense Master June-26'!K10</f>
        <v>0</v>
      </c>
      <c r="BL5">
        <f>'[1]Expense Master June-26'!L10</f>
        <v>0</v>
      </c>
      <c r="BM5">
        <f>'[1]Expense Master June-26'!M10</f>
        <v>350</v>
      </c>
      <c r="BN5">
        <f>'[1]Expense Master June-26'!N10</f>
        <v>1500</v>
      </c>
      <c r="BO5">
        <f>'[1]Expense Master June-26'!O10</f>
        <v>0</v>
      </c>
      <c r="BP5">
        <f>'[1]Expense Master June-26'!P10</f>
        <v>1000</v>
      </c>
      <c r="BQ5">
        <f>SUM(SimpleDashData8[[#This Row],[Convayance]:[Misc]])</f>
        <v>21619</v>
      </c>
      <c r="BR5">
        <f>'[1]Expense Master June-26'!R10</f>
        <v>882</v>
      </c>
      <c r="BS5">
        <f>'[1]Expense Master June-26'!S10</f>
        <v>823</v>
      </c>
      <c r="BT5">
        <f>'[1]Expense Master June-26'!T10</f>
        <v>402</v>
      </c>
      <c r="BU5">
        <f>SUM(SimpleDashData8[[#This Row],[Male]:[Child]])</f>
        <v>2107</v>
      </c>
      <c r="BV5">
        <f>'[1]Expense Master June-26'!V10</f>
        <v>3332</v>
      </c>
      <c r="BW5">
        <f>'[1]Expense Master June-26'!W10</f>
        <v>0</v>
      </c>
      <c r="BZ5">
        <f>SimpleDashData8[[#This Row],[Total Expense]]/SimpleDashData8[[#This Row],[Total Patients]]</f>
        <v>10.260560037968675</v>
      </c>
      <c r="CA5">
        <v>0</v>
      </c>
    </row>
    <row r="6" spans="1:79" x14ac:dyDescent="0.3">
      <c r="AI6" t="s">
        <v>9</v>
      </c>
      <c r="AJ6" s="2">
        <f>SUMIFS(SimpleDashData8[Convayance],SimpleDashData8[Section],IF($A$4="All Sections","&lt;&gt;",$A$4))</f>
        <v>147931</v>
      </c>
      <c r="AK6" t="s">
        <v>12</v>
      </c>
      <c r="AL6" t="s">
        <v>22</v>
      </c>
      <c r="BA6">
        <v>5</v>
      </c>
      <c r="BB6" t="s">
        <v>48</v>
      </c>
      <c r="BD6" t="s">
        <v>33</v>
      </c>
      <c r="BE6" t="s">
        <v>34</v>
      </c>
      <c r="BF6" t="s">
        <v>35</v>
      </c>
      <c r="BG6">
        <f>'[1]Expense Master June-26'!G11</f>
        <v>8600</v>
      </c>
      <c r="BH6">
        <f>'[1]Expense Master June-26'!H11</f>
        <v>2100</v>
      </c>
      <c r="BI6">
        <f>'[1]Expense Master June-26'!I11</f>
        <v>0</v>
      </c>
      <c r="BJ6">
        <f>'[1]Expense Master June-26'!J11</f>
        <v>0</v>
      </c>
      <c r="BK6">
        <f>'[1]Expense Master June-26'!K11</f>
        <v>0</v>
      </c>
      <c r="BL6">
        <f>'[1]Expense Master June-26'!L11</f>
        <v>0</v>
      </c>
      <c r="BM6">
        <f>'[1]Expense Master June-26'!M11</f>
        <v>0</v>
      </c>
      <c r="BN6">
        <f>'[1]Expense Master June-26'!N11</f>
        <v>1150</v>
      </c>
      <c r="BO6">
        <f>'[1]Expense Master June-26'!O11</f>
        <v>0</v>
      </c>
      <c r="BP6">
        <f>'[1]Expense Master June-26'!P11</f>
        <v>1000</v>
      </c>
      <c r="BQ6">
        <f>SUM(SimpleDashData8[[#This Row],[Convayance]:[Misc]])</f>
        <v>12850</v>
      </c>
      <c r="BR6">
        <f>'[1]Expense Master June-26'!R11</f>
        <v>1104</v>
      </c>
      <c r="BS6">
        <f>'[1]Expense Master June-26'!S11</f>
        <v>878</v>
      </c>
      <c r="BT6">
        <f>'[1]Expense Master June-26'!T11</f>
        <v>294</v>
      </c>
      <c r="BU6">
        <f>SUM(SimpleDashData8[[#This Row],[Male]:[Child]])</f>
        <v>2276</v>
      </c>
      <c r="BV6">
        <f>'[1]Expense Master June-26'!V11</f>
        <v>3448</v>
      </c>
      <c r="BW6">
        <f>'[1]Expense Master June-26'!W11</f>
        <v>0</v>
      </c>
      <c r="BZ6">
        <f>SimpleDashData8[[#This Row],[Total Expense]]/SimpleDashData8[[#This Row],[Total Patients]]</f>
        <v>5.6458699472759228</v>
      </c>
      <c r="CA6">
        <v>0</v>
      </c>
    </row>
    <row r="7" spans="1:79" x14ac:dyDescent="0.3">
      <c r="A7" s="3" t="s">
        <v>19</v>
      </c>
      <c r="B7" s="4"/>
      <c r="C7" s="3" t="s">
        <v>23</v>
      </c>
      <c r="D7" s="4"/>
      <c r="E7" s="3" t="s">
        <v>49</v>
      </c>
      <c r="F7" s="4"/>
      <c r="G7" s="3" t="s">
        <v>50</v>
      </c>
      <c r="H7" s="4"/>
      <c r="I7" s="4"/>
      <c r="J7" s="3" t="s">
        <v>51</v>
      </c>
      <c r="K7" s="4"/>
      <c r="L7" s="3" t="s">
        <v>52</v>
      </c>
      <c r="M7" s="4"/>
      <c r="N7" s="4" t="s">
        <v>53</v>
      </c>
      <c r="O7" s="4"/>
      <c r="AI7" t="s">
        <v>10</v>
      </c>
      <c r="AJ7" s="2">
        <f>SUMIFS(SimpleDashData8[Purchasing],SimpleDashData8[Section],IF($A$4="All Sections","&lt;&gt;",$A$4))</f>
        <v>73079</v>
      </c>
      <c r="AK7" t="s">
        <v>13</v>
      </c>
      <c r="BA7">
        <v>6</v>
      </c>
      <c r="BB7" t="s">
        <v>54</v>
      </c>
      <c r="BD7" t="s">
        <v>33</v>
      </c>
      <c r="BE7" t="s">
        <v>34</v>
      </c>
      <c r="BF7" t="s">
        <v>35</v>
      </c>
      <c r="BG7">
        <f>'[1]Expense Master June-26'!G12</f>
        <v>0</v>
      </c>
      <c r="BH7">
        <f>'[1]Expense Master June-26'!H12</f>
        <v>0</v>
      </c>
      <c r="BI7">
        <f>'[1]Expense Master June-26'!I12</f>
        <v>0</v>
      </c>
      <c r="BJ7">
        <f>'[1]Expense Master June-26'!J12</f>
        <v>3000</v>
      </c>
      <c r="BK7">
        <f>'[1]Expense Master June-26'!K12</f>
        <v>0</v>
      </c>
      <c r="BL7">
        <f>'[1]Expense Master June-26'!L12</f>
        <v>0</v>
      </c>
      <c r="BM7">
        <f>'[1]Expense Master June-26'!M12</f>
        <v>0</v>
      </c>
      <c r="BN7">
        <f>'[1]Expense Master June-26'!N12</f>
        <v>0</v>
      </c>
      <c r="BO7">
        <f>'[1]Expense Master June-26'!O12</f>
        <v>0</v>
      </c>
      <c r="BP7">
        <f>'[1]Expense Master June-26'!P12</f>
        <v>0</v>
      </c>
      <c r="BQ7">
        <f>SUM(SimpleDashData8[[#This Row],[Convayance]:[Misc]])</f>
        <v>3000</v>
      </c>
      <c r="BR7">
        <f>'[1]Expense Master June-26'!R12</f>
        <v>910</v>
      </c>
      <c r="BS7">
        <f>'[1]Expense Master June-26'!S12</f>
        <v>405</v>
      </c>
      <c r="BT7">
        <f>'[1]Expense Master June-26'!T12</f>
        <v>280</v>
      </c>
      <c r="BU7">
        <f>SUM(SimpleDashData8[[#This Row],[Male]:[Child]])</f>
        <v>1595</v>
      </c>
      <c r="BV7">
        <f>'[1]Expense Master June-26'!V12</f>
        <v>2280</v>
      </c>
      <c r="BW7">
        <f>'[1]Expense Master June-26'!W12</f>
        <v>0</v>
      </c>
      <c r="BZ7">
        <f>SimpleDashData8[[#This Row],[Total Expense]]/SimpleDashData8[[#This Row],[Total Patients]]</f>
        <v>1.8808777429467085</v>
      </c>
      <c r="CA7">
        <v>0</v>
      </c>
    </row>
    <row r="8" spans="1:79" x14ac:dyDescent="0.3">
      <c r="A8" s="5" cm="1">
        <f t="array" ref="A8">SUMPRODUCT((IF($D$4&lt;&gt;"",1,IF($B$4="All Regions",1,SimpleDashData8[Region]=$B$4)))*(IF($D$4&lt;&gt;"",SimpleDashData8[QCNM Name]=$D$4,IF($G$4="All Clinics",1,SimpleDashData8[QCNM Name]=$G$4)))*(IF($A$4="All Sections",1,SimpleDashData8[Section]=$A$4))*SimpleDashData8[Total Expense])</f>
        <v>851305</v>
      </c>
      <c r="B8" s="6"/>
      <c r="C8" s="5" cm="1">
        <f t="array" ref="C8">SUMPRODUCT((IF($D$4&lt;&gt;"",1,IF($B$4="All Regions",1,SimpleDashData8[Region]=$B$4)))*(IF($D$4&lt;&gt;"",SimpleDashData8[QCNM Name]=$D$4,IF($G$4="All Clinics",1,SimpleDashData8[QCNM Name]=$G$4)))*(IF($A$4="All Sections",1,SimpleDashData8[Section]=$A$4))*SimpleDashData8[Total Patients])</f>
        <v>229486</v>
      </c>
      <c r="D8" s="6"/>
      <c r="E8" s="5" cm="1">
        <f t="array" ref="E8">SUMPRODUCT((IF($D$4&lt;&gt;"",1,IF($B$4="All Regions",1,SimpleDashData8[Region]=$B$4)))*(IF($D$4&lt;&gt;"",SimpleDashData8[QCNM Name]=$D$4,IF($G$4="All Clinics",1,SimpleDashData8[QCNM Name]=$G$4)))*(IF($A$4="All Sections",1,SimpleDashData8[Section]=$A$4))*(SimpleDashData8[QCNM Name]&lt;&gt;""))</f>
        <v>136</v>
      </c>
      <c r="F8" s="6"/>
      <c r="G8" s="7">
        <f>IFERROR(A8/C8,0)</f>
        <v>3.7096162728881064</v>
      </c>
      <c r="H8" s="6"/>
      <c r="I8" s="6"/>
      <c r="J8" s="5" cm="1">
        <f t="array" ref="J8">SUMPRODUCT((IF($D$4&lt;&gt;"",1,IF($B$4="All Regions",1,SimpleDashData8[Region]=$B$4)))*(IF($D$4&lt;&gt;"",SimpleDashData8[QCNM Name]=$D$4,IF($G$4="All Clinics",1,SimpleDashData8[QCNM Name]=$G$4)))*(IF($A$4="All Sections",1,SimpleDashData8[Section]=$A$4))*(SimpleDashData8[Section]="Public")*SimpleDashData8[Total Expense])</f>
        <v>394953</v>
      </c>
      <c r="K8" s="6"/>
      <c r="L8" s="5" cm="1">
        <f t="array" ref="L8">SUMPRODUCT((IF($D$4&lt;&gt;"",1,IF($B$4="All Regions",1,SimpleDashData8[Region]=$B$4)))*(IF($D$4&lt;&gt;"",SimpleDashData8[QCNM Name]=$D$4,IF($G$4="All Clinics",1,SimpleDashData8[QCNM Name]=$G$4)))*(IF($A$4="All Sections",1,SimpleDashData8[Section]=$A$4))*(SimpleDashData8[Section]="Prison")*SimpleDashData8[Total Expense])</f>
        <v>456352</v>
      </c>
      <c r="M8" s="8"/>
      <c r="N8" s="8" t="str">
        <f>IF($D$4&lt;&gt;"","Search: "&amp;$D$4&amp;" / "&amp;$A$4,$A$4&amp;" / "&amp;$B$4&amp;" / "&amp;$G$4)</f>
        <v>All Sections / All Regions / All Clinics</v>
      </c>
      <c r="O8" s="8"/>
      <c r="AI8" t="s">
        <v>11</v>
      </c>
      <c r="AJ8" s="2">
        <f>SUMIFS(SimpleDashData8[Freight],SimpleDashData8[Section],IF($A$4="All Sections","&lt;&gt;",$A$4))</f>
        <v>15310</v>
      </c>
      <c r="AK8" t="s">
        <v>14</v>
      </c>
      <c r="BA8">
        <v>7</v>
      </c>
      <c r="BB8" t="s">
        <v>55</v>
      </c>
      <c r="BD8" t="s">
        <v>33</v>
      </c>
      <c r="BE8" t="s">
        <v>34</v>
      </c>
      <c r="BF8" t="s">
        <v>35</v>
      </c>
      <c r="BG8">
        <f>'[1]Expense Master June-26'!G13</f>
        <v>0</v>
      </c>
      <c r="BH8">
        <f>'[1]Expense Master June-26'!H13</f>
        <v>0</v>
      </c>
      <c r="BI8">
        <f>'[1]Expense Master June-26'!I13</f>
        <v>0</v>
      </c>
      <c r="BJ8">
        <f>'[1]Expense Master June-26'!J13</f>
        <v>0</v>
      </c>
      <c r="BK8">
        <f>'[1]Expense Master June-26'!K13</f>
        <v>0</v>
      </c>
      <c r="BL8">
        <f>'[1]Expense Master June-26'!L13</f>
        <v>480</v>
      </c>
      <c r="BM8">
        <f>'[1]Expense Master June-26'!M13</f>
        <v>0</v>
      </c>
      <c r="BN8">
        <f>'[1]Expense Master June-26'!N13</f>
        <v>0</v>
      </c>
      <c r="BO8">
        <f>'[1]Expense Master June-26'!O13</f>
        <v>0</v>
      </c>
      <c r="BP8">
        <f>'[1]Expense Master June-26'!P13</f>
        <v>0</v>
      </c>
      <c r="BQ8">
        <f>SUM(SimpleDashData8[[#This Row],[Convayance]:[Misc]])</f>
        <v>480</v>
      </c>
      <c r="BR8">
        <f>'[1]Expense Master June-26'!R13</f>
        <v>504</v>
      </c>
      <c r="BS8">
        <f>'[1]Expense Master June-26'!S13</f>
        <v>1199</v>
      </c>
      <c r="BT8">
        <f>'[1]Expense Master June-26'!T13</f>
        <v>289</v>
      </c>
      <c r="BU8">
        <f>SUM(SimpleDashData8[[#This Row],[Male]:[Child]])</f>
        <v>1992</v>
      </c>
      <c r="BV8">
        <f>'[1]Expense Master June-26'!V13</f>
        <v>3480</v>
      </c>
      <c r="BW8">
        <f>'[1]Expense Master June-26'!W13</f>
        <v>0</v>
      </c>
      <c r="BZ8">
        <f>SimpleDashData8[[#This Row],[Total Expense]]/SimpleDashData8[[#This Row],[Total Patients]]</f>
        <v>0.24096385542168675</v>
      </c>
      <c r="CA8">
        <v>0</v>
      </c>
    </row>
    <row r="9" spans="1:79" x14ac:dyDescent="0.3">
      <c r="C9" s="9"/>
      <c r="AI9" t="s">
        <v>12</v>
      </c>
      <c r="AJ9" s="2">
        <f>SUMIFS(SimpleDashData8[Packing],SimpleDashData8[Section],IF($A$4="All Sections","&lt;&gt;",$A$4))</f>
        <v>386465</v>
      </c>
      <c r="AK9" t="s">
        <v>15</v>
      </c>
      <c r="BA9">
        <v>8</v>
      </c>
      <c r="BB9" t="s">
        <v>56</v>
      </c>
      <c r="BD9" t="s">
        <v>33</v>
      </c>
      <c r="BE9" t="s">
        <v>34</v>
      </c>
      <c r="BF9" t="s">
        <v>35</v>
      </c>
      <c r="BG9">
        <f>'[1]Expense Master June-26'!G14</f>
        <v>0</v>
      </c>
      <c r="BH9">
        <f>'[1]Expense Master June-26'!H14</f>
        <v>1000</v>
      </c>
      <c r="BI9">
        <f>'[1]Expense Master June-26'!I14</f>
        <v>0</v>
      </c>
      <c r="BJ9">
        <f>'[1]Expense Master June-26'!J14</f>
        <v>1055</v>
      </c>
      <c r="BK9">
        <f>'[1]Expense Master June-26'!K14</f>
        <v>0</v>
      </c>
      <c r="BL9">
        <f>'[1]Expense Master June-26'!L14</f>
        <v>250</v>
      </c>
      <c r="BM9">
        <f>'[1]Expense Master June-26'!M14</f>
        <v>0</v>
      </c>
      <c r="BN9">
        <f>'[1]Expense Master June-26'!N14</f>
        <v>300</v>
      </c>
      <c r="BO9">
        <f>'[1]Expense Master June-26'!O14</f>
        <v>0</v>
      </c>
      <c r="BP9">
        <f>'[1]Expense Master June-26'!P14</f>
        <v>0</v>
      </c>
      <c r="BQ9">
        <f>SUM(SimpleDashData8[[#This Row],[Convayance]:[Misc]])</f>
        <v>2605</v>
      </c>
      <c r="BR9">
        <f>'[1]Expense Master June-26'!R14</f>
        <v>267</v>
      </c>
      <c r="BS9">
        <f>'[1]Expense Master June-26'!S14</f>
        <v>1727</v>
      </c>
      <c r="BT9">
        <f>'[1]Expense Master June-26'!T14</f>
        <v>153</v>
      </c>
      <c r="BU9">
        <f>SUM(SimpleDashData8[[#This Row],[Male]:[Child]])</f>
        <v>2147</v>
      </c>
      <c r="BV9">
        <f>'[1]Expense Master June-26'!V14</f>
        <v>4027</v>
      </c>
      <c r="BW9">
        <f>'[1]Expense Master June-26'!W14</f>
        <v>0</v>
      </c>
      <c r="BZ9">
        <f>SimpleDashData8[[#This Row],[Total Expense]]/SimpleDashData8[[#This Row],[Total Patients]]</f>
        <v>1.2133209129017233</v>
      </c>
      <c r="CA9">
        <v>0</v>
      </c>
    </row>
    <row r="10" spans="1:79" x14ac:dyDescent="0.3">
      <c r="H10" s="62" t="b">
        <v>0</v>
      </c>
      <c r="AI10" t="s">
        <v>13</v>
      </c>
      <c r="AJ10" s="2">
        <f>SUMIFS(SimpleDashData8[Postage],SimpleDashData8[Section],IF($A$4="All Sections","&lt;&gt;",$A$4))</f>
        <v>29823</v>
      </c>
      <c r="AK10" t="s">
        <v>16</v>
      </c>
      <c r="BA10">
        <v>9</v>
      </c>
      <c r="BB10" t="s">
        <v>57</v>
      </c>
      <c r="BD10" t="s">
        <v>33</v>
      </c>
      <c r="BE10" t="s">
        <v>34</v>
      </c>
      <c r="BF10" t="s">
        <v>35</v>
      </c>
      <c r="BG10">
        <f>'[1]Expense Master June-26'!G15</f>
        <v>0</v>
      </c>
      <c r="BH10">
        <f>'[1]Expense Master June-26'!H15</f>
        <v>0</v>
      </c>
      <c r="BI10">
        <f>'[1]Expense Master June-26'!I15</f>
        <v>0</v>
      </c>
      <c r="BJ10">
        <f>'[1]Expense Master June-26'!J15</f>
        <v>0</v>
      </c>
      <c r="BK10">
        <f>'[1]Expense Master June-26'!K15</f>
        <v>0</v>
      </c>
      <c r="BL10">
        <f>'[1]Expense Master June-26'!L15</f>
        <v>0</v>
      </c>
      <c r="BM10">
        <f>'[1]Expense Master June-26'!M15</f>
        <v>0</v>
      </c>
      <c r="BN10">
        <f>'[1]Expense Master June-26'!N15</f>
        <v>0</v>
      </c>
      <c r="BO10">
        <f>'[1]Expense Master June-26'!O15</f>
        <v>0</v>
      </c>
      <c r="BP10">
        <f>'[1]Expense Master June-26'!P15</f>
        <v>0</v>
      </c>
      <c r="BQ10">
        <f>SUM(SimpleDashData8[[#This Row],[Convayance]:[Misc]])</f>
        <v>0</v>
      </c>
      <c r="BR10">
        <f>'[1]Expense Master June-26'!R15</f>
        <v>767</v>
      </c>
      <c r="BS10">
        <f>'[1]Expense Master June-26'!S15</f>
        <v>1045</v>
      </c>
      <c r="BT10">
        <f>'[1]Expense Master June-26'!T15</f>
        <v>352</v>
      </c>
      <c r="BU10">
        <f>SUM(SimpleDashData8[[#This Row],[Male]:[Child]])</f>
        <v>2164</v>
      </c>
      <c r="BV10">
        <f>'[1]Expense Master June-26'!V15</f>
        <v>3561</v>
      </c>
      <c r="BW10">
        <f>'[1]Expense Master June-26'!W15</f>
        <v>0</v>
      </c>
      <c r="BZ10">
        <f>SimpleDashData8[[#This Row],[Total Expense]]/SimpleDashData8[[#This Row],[Total Patients]]</f>
        <v>0</v>
      </c>
      <c r="CA10">
        <v>0</v>
      </c>
    </row>
    <row r="11" spans="1:79" x14ac:dyDescent="0.3">
      <c r="A11" s="10" t="s">
        <v>58</v>
      </c>
      <c r="B11" s="10" t="s">
        <v>59</v>
      </c>
      <c r="C11" s="10" t="s">
        <v>6</v>
      </c>
      <c r="D11" s="10" t="s">
        <v>7</v>
      </c>
      <c r="E11" s="10" t="s">
        <v>8</v>
      </c>
      <c r="F11" s="10" t="str">
        <f>IF($K$4="","Total Expense",$K$4)</f>
        <v>Total Expense</v>
      </c>
      <c r="G11" s="10" t="str">
        <f>IF($L$4="Expense Rank","Total Patients",$L$4&amp;" Patients")</f>
        <v>Total Patients</v>
      </c>
      <c r="H11" s="10" t="s">
        <v>60</v>
      </c>
      <c r="I11" s="10"/>
      <c r="J11" s="11" t="s">
        <v>58</v>
      </c>
      <c r="K11" s="11" t="s">
        <v>61</v>
      </c>
      <c r="L11" s="11" t="s">
        <v>46</v>
      </c>
      <c r="N11" s="11" t="s">
        <v>8</v>
      </c>
      <c r="O11" s="11" t="s">
        <v>62</v>
      </c>
      <c r="AI11" t="s">
        <v>14</v>
      </c>
      <c r="AJ11" s="2">
        <f>SUMIFS(SimpleDashData8[Printing],SimpleDashData8[Section],IF($A$4="All Sections","&lt;&gt;",$A$4))</f>
        <v>41425</v>
      </c>
      <c r="AK11" t="s">
        <v>17</v>
      </c>
      <c r="BA11">
        <v>10</v>
      </c>
      <c r="BB11" s="12" t="s">
        <v>63</v>
      </c>
      <c r="BC11">
        <v>2010259</v>
      </c>
      <c r="BD11" t="s">
        <v>33</v>
      </c>
      <c r="BE11" t="s">
        <v>34</v>
      </c>
      <c r="BF11" t="s">
        <v>64</v>
      </c>
      <c r="BG11">
        <f>'[1]Expense Master June-26'!G16</f>
        <v>0</v>
      </c>
      <c r="BH11">
        <f>'[1]Expense Master June-26'!H16</f>
        <v>0</v>
      </c>
      <c r="BI11">
        <f>'[1]Expense Master June-26'!I16</f>
        <v>0</v>
      </c>
      <c r="BJ11">
        <f>'[1]Expense Master June-26'!J16</f>
        <v>0</v>
      </c>
      <c r="BK11">
        <f>'[1]Expense Master June-26'!K16</f>
        <v>0</v>
      </c>
      <c r="BL11">
        <f>'[1]Expense Master June-26'!L16</f>
        <v>0</v>
      </c>
      <c r="BM11">
        <f>'[1]Expense Master June-26'!M16</f>
        <v>0</v>
      </c>
      <c r="BN11">
        <f>'[1]Expense Master June-26'!N16</f>
        <v>0</v>
      </c>
      <c r="BO11">
        <f>'[1]Expense Master June-26'!O16</f>
        <v>1000</v>
      </c>
      <c r="BP11">
        <f>'[1]Expense Master June-26'!P16</f>
        <v>0</v>
      </c>
      <c r="BQ11">
        <f>SUM(SimpleDashData8[[#This Row],[Convayance]:[Misc]])</f>
        <v>1000</v>
      </c>
      <c r="BR11">
        <f>'[1]Expense Master June-26'!R16</f>
        <v>1079</v>
      </c>
      <c r="BS11">
        <f>'[1]Expense Master June-26'!S16</f>
        <v>0</v>
      </c>
      <c r="BT11">
        <f>'[1]Expense Master June-26'!T16</f>
        <v>0</v>
      </c>
      <c r="BU11">
        <f>SUM(SimpleDashData8[[#This Row],[Male]:[Child]])</f>
        <v>1079</v>
      </c>
      <c r="BV11">
        <f>'[1]Expense Master June-26'!V16</f>
        <v>1079</v>
      </c>
      <c r="BW11">
        <f>'[1]Expense Master June-26'!W16</f>
        <v>0</v>
      </c>
      <c r="BZ11">
        <f>SimpleDashData8[[#This Row],[Total Expense]]/SimpleDashData8[[#This Row],[Total Patients]]</f>
        <v>0.92678405931417984</v>
      </c>
      <c r="CA11">
        <v>0</v>
      </c>
    </row>
    <row r="12" spans="1:79" x14ac:dyDescent="0.3">
      <c r="A12" cm="1">
        <f t="array" ref="A12:A147">IFERROR(_xlfn.SEQUENCE(ROWS(_xlfn.ANCHORARRAY(B12))),"")</f>
        <v>1</v>
      </c>
      <c r="B12" t="str" cm="1">
        <f t="array" ref="B12:B147">_xlfn.LET(_xlpm.r,IF($D$4&lt;&gt;"",1,IF($B$4="All Regions",1,SimpleDashData8[Region]=$B$4)),_xlpm.c,IF($D$4&lt;&gt;"",SimpleDashData8[QCNM Name]=$D$4,IF($G$4="All Clinics",1,SimpleDashData8[QCNM Name]=$G$4)),_xlpm.s,IF($A$4="All Sections",1,SimpleDashData8[Section]=$A$4),_xlpm.m,_xlfn.SWITCH($L$4,"Total",SimpleDashData8[Total Patients],"Male",SimpleDashData8[Male],"Female",SimpleDashData8[Female],"Child",SimpleDashData8[Child],_xlfn.SWITCH($K$4,"Convayance",SimpleDashData8[Convayance],"Purchasing",SimpleDashData8[Purchasing],"Freight",SimpleDashData8[Freight],"Packing",SimpleDashData8[Packing],"Postage",SimpleDashData8[Postage],"Printing",SimpleDashData8[Printing],"Repair",SimpleDashData8[Repair],"Stationary",SimpleDashData8[Stationary],"Utilities",SimpleDashData8[Utilities],"Misc",SimpleDashData8[Misc],SimpleDashData8[Total Expense])),IFERROR(_xlfn.SORTBY(_xlfn._xlws.FILTER(SimpleDashData8[QCNM Name],_xlpm.r*_xlpm.c*_xlpm.s),_xlfn._xlws.FILTER(_xlpm.m,_xlpm.r*_xlpm.c*_xlpm.s),-1),""))</f>
        <v>QCNM Gujranwala, Central Jail</v>
      </c>
      <c r="C12" t="str" cm="1">
        <f t="array" ref="C12:C147">IFERROR(_xlfn.XLOOKUP(_xlfn.ANCHORARRAY(B12),SimpleDashData8[QCNM Name],SimpleDashData8[Act]),"")</f>
        <v>Trust Act</v>
      </c>
      <c r="D12" t="str" cm="1">
        <f t="array" ref="D12:D147">IFERROR(_xlfn.XLOOKUP(_xlfn.ANCHORARRAY(B12),SimpleDashData8[QCNM Name],SimpleDashData8[Region]),"")</f>
        <v>Central Punjab Region</v>
      </c>
      <c r="E12" t="str" cm="1">
        <f t="array" ref="E12:E147">IFERROR(_xlfn.XLOOKUP(_xlfn.ANCHORARRAY(B12),SimpleDashData8[QCNM Name],SimpleDashData8[Section]),"")</f>
        <v>Prison</v>
      </c>
      <c r="F12" s="2" cm="1">
        <f t="array" ref="F12:F147">_xlfn.LET(_xlpm.m,_xlfn.SWITCH($K$4,"Convayance",SimpleDashData8[Convayance],"Purchasing",SimpleDashData8[Purchasing],"Freight",SimpleDashData8[Freight],"Packing",SimpleDashData8[Packing],"Postage",SimpleDashData8[Postage],"Printing",SimpleDashData8[Printing],"Repair",SimpleDashData8[Repair],"Stationary",SimpleDashData8[Stationary],"Utilities",SimpleDashData8[Utilities],"Misc",SimpleDashData8[Misc],SimpleDashData8[Total Expense]),IFERROR(_xlfn.XLOOKUP(_xlfn.ANCHORARRAY(B12),SimpleDashData8[QCNM Name],_xlpm.m),""))</f>
        <v>17680</v>
      </c>
      <c r="G12" s="2" cm="1">
        <f t="array" ref="G12:G147">_xlfn.LET(_xlpm.p,_xlfn.SWITCH($L$4,"Male",SimpleDashData8[Male],"Female",SimpleDashData8[Female],"Child",SimpleDashData8[Child],SimpleDashData8[Total Patients]),IFERROR(_xlfn.XLOOKUP(_xlfn.ANCHORARRAY(B12),SimpleDashData8[QCNM Name],_xlpm.p),""))</f>
        <v>5003</v>
      </c>
      <c r="H12" s="13" cm="1">
        <f t="array" ref="H12:H147">IFERROR(_xlfn.XLOOKUP(_xlfn.ANCHORARRAY(B12),SimpleDashData8[QCNM Name],SimpleDashData8[Expense Per Patient]),"")</f>
        <v>3.5338796721966821</v>
      </c>
      <c r="I12" s="13"/>
      <c r="J12" s="14" cm="1">
        <f t="array" ref="J12:L21">_xlfn.LET(_xlpm.x,_xlfn.SORTBY($BF$152:$BG$161,$BG$152:$BG$161,-1),_xlfn.HSTACK(_xlfn.SEQUENCE(ROWS(_xlpm.x)),_xlpm.x))</f>
        <v>1</v>
      </c>
      <c r="K12" s="14" t="str">
        <v>Packing</v>
      </c>
      <c r="L12" s="15">
        <v>386465</v>
      </c>
      <c r="N12" s="14" t="s">
        <v>35</v>
      </c>
      <c r="O12" s="15" cm="1">
        <f t="array" ref="O12">SUMPRODUCT((IF($D$4&lt;&gt;"",1,IF($B$4="All Regions",1,SimpleDashData8[Region]=$B$4)))*(IF($D$4&lt;&gt;"",SimpleDashData8[QCNM Name]=$D$4,IF($G$4="All Clinics",1,SimpleDashData8[QCNM Name]=$G$4)))*(IF($A$4="All Sections",1,SimpleDashData8[Section]=$A$4))*(SimpleDashData8[Section]=N12)*SimpleDashData8[Total Expense])</f>
        <v>394953</v>
      </c>
      <c r="AI12" t="s">
        <v>15</v>
      </c>
      <c r="AJ12" s="2">
        <f>SUMIFS(SimpleDashData8[Repair],SimpleDashData8[Section],IF($A$4="All Sections","&lt;&gt;",$A$4))</f>
        <v>38940</v>
      </c>
      <c r="AK12" t="s">
        <v>18</v>
      </c>
      <c r="BA12">
        <v>11</v>
      </c>
      <c r="BB12" s="12" t="s">
        <v>65</v>
      </c>
      <c r="BC12">
        <v>2010274</v>
      </c>
      <c r="BD12" t="s">
        <v>33</v>
      </c>
      <c r="BE12" t="s">
        <v>34</v>
      </c>
      <c r="BF12" t="s">
        <v>64</v>
      </c>
      <c r="BG12">
        <f>'[1]Expense Master June-26'!G17</f>
        <v>0</v>
      </c>
      <c r="BH12">
        <f>'[1]Expense Master June-26'!H17</f>
        <v>0</v>
      </c>
      <c r="BI12">
        <f>'[1]Expense Master June-26'!I17</f>
        <v>0</v>
      </c>
      <c r="BJ12">
        <f>'[1]Expense Master June-26'!J17</f>
        <v>0</v>
      </c>
      <c r="BK12">
        <f>'[1]Expense Master June-26'!K17</f>
        <v>0</v>
      </c>
      <c r="BL12">
        <f>'[1]Expense Master June-26'!L17</f>
        <v>0</v>
      </c>
      <c r="BM12">
        <f>'[1]Expense Master June-26'!M17</f>
        <v>0</v>
      </c>
      <c r="BN12">
        <f>'[1]Expense Master June-26'!N17</f>
        <v>0</v>
      </c>
      <c r="BO12">
        <f>'[1]Expense Master June-26'!O17</f>
        <v>0</v>
      </c>
      <c r="BP12">
        <f>'[1]Expense Master June-26'!P17</f>
        <v>0</v>
      </c>
      <c r="BQ12">
        <f>SUM(SimpleDashData8[[#This Row],[Convayance]:[Misc]])</f>
        <v>0</v>
      </c>
      <c r="BR12">
        <f>'[1]Expense Master June-26'!R17</f>
        <v>2208</v>
      </c>
      <c r="BS12">
        <f>'[1]Expense Master June-26'!S17</f>
        <v>0</v>
      </c>
      <c r="BT12">
        <f>'[1]Expense Master June-26'!T17</f>
        <v>0</v>
      </c>
      <c r="BU12">
        <f>SUM(SimpleDashData8[[#This Row],[Male]:[Child]])</f>
        <v>2208</v>
      </c>
      <c r="BV12">
        <f>'[1]Expense Master June-26'!V17</f>
        <v>2208</v>
      </c>
      <c r="BW12">
        <f>'[1]Expense Master June-26'!W17</f>
        <v>0</v>
      </c>
      <c r="BZ12">
        <f>SimpleDashData8[[#This Row],[Total Expense]]/SimpleDashData8[[#This Row],[Total Patients]]</f>
        <v>0</v>
      </c>
      <c r="CA12">
        <v>0</v>
      </c>
    </row>
    <row r="13" spans="1:79" x14ac:dyDescent="0.3">
      <c r="A13">
        <v>2</v>
      </c>
      <c r="B13" t="str">
        <v>QCNM Sialkot, District Jail</v>
      </c>
      <c r="C13" t="str">
        <v>Trust Act</v>
      </c>
      <c r="D13" t="str">
        <v>Central Punjab Region</v>
      </c>
      <c r="E13" t="str">
        <v>Prison</v>
      </c>
      <c r="F13" s="2">
        <v>21670</v>
      </c>
      <c r="G13" s="2">
        <v>4808</v>
      </c>
      <c r="H13" s="13">
        <v>4.5070715474209653</v>
      </c>
      <c r="I13" s="13"/>
      <c r="J13" s="14">
        <v>2</v>
      </c>
      <c r="K13" s="14" t="str">
        <v>Convayance</v>
      </c>
      <c r="L13" s="15">
        <v>147931</v>
      </c>
      <c r="N13" s="14" t="s">
        <v>64</v>
      </c>
      <c r="O13" s="15" cm="1">
        <f t="array" ref="O13">SUMPRODUCT((IF($D$4&lt;&gt;"",1,IF($B$4="All Regions",1,SimpleDashData8[Region]=$B$4)))*(IF($D$4&lt;&gt;"",SimpleDashData8[QCNM Name]=$D$4,IF($G$4="All Clinics",1,SimpleDashData8[QCNM Name]=$G$4)))*(IF($A$4="All Sections",1,SimpleDashData8[Section]=$A$4))*(SimpleDashData8[Section]=N13)*SimpleDashData8[Total Expense])</f>
        <v>456352</v>
      </c>
      <c r="AI13" t="s">
        <v>16</v>
      </c>
      <c r="AJ13" s="2">
        <f>SUMIFS(SimpleDashData8[Stationary],SimpleDashData8[Section],IF($A$4="All Sections","&lt;&gt;",$A$4))</f>
        <v>46590</v>
      </c>
      <c r="BA13">
        <v>12</v>
      </c>
      <c r="BB13" s="12" t="s">
        <v>66</v>
      </c>
      <c r="BC13">
        <v>2010281</v>
      </c>
      <c r="BD13" t="s">
        <v>33</v>
      </c>
      <c r="BE13" t="s">
        <v>34</v>
      </c>
      <c r="BF13" t="s">
        <v>64</v>
      </c>
      <c r="BG13">
        <f>'[1]Expense Master June-26'!G18</f>
        <v>0</v>
      </c>
      <c r="BH13">
        <f>'[1]Expense Master June-26'!H18</f>
        <v>1000</v>
      </c>
      <c r="BI13">
        <f>'[1]Expense Master June-26'!I18</f>
        <v>0</v>
      </c>
      <c r="BJ13">
        <f>'[1]Expense Master June-26'!J18</f>
        <v>0</v>
      </c>
      <c r="BK13">
        <f>'[1]Expense Master June-26'!K18</f>
        <v>0</v>
      </c>
      <c r="BL13">
        <f>'[1]Expense Master June-26'!L18</f>
        <v>625</v>
      </c>
      <c r="BM13">
        <f>'[1]Expense Master June-26'!M18</f>
        <v>0</v>
      </c>
      <c r="BN13">
        <f>'[1]Expense Master June-26'!N18</f>
        <v>0</v>
      </c>
      <c r="BO13">
        <f>'[1]Expense Master June-26'!O18</f>
        <v>0</v>
      </c>
      <c r="BP13">
        <f>'[1]Expense Master June-26'!P18</f>
        <v>0</v>
      </c>
      <c r="BQ13">
        <f>SUM(SimpleDashData8[[#This Row],[Convayance]:[Misc]])</f>
        <v>1625</v>
      </c>
      <c r="BR13">
        <f>'[1]Expense Master June-26'!R18</f>
        <v>2009</v>
      </c>
      <c r="BS13">
        <f>'[1]Expense Master June-26'!S18</f>
        <v>0</v>
      </c>
      <c r="BT13">
        <f>'[1]Expense Master June-26'!T18</f>
        <v>0</v>
      </c>
      <c r="BU13">
        <f>SUM(SimpleDashData8[[#This Row],[Male]:[Child]])</f>
        <v>2009</v>
      </c>
      <c r="BV13">
        <f>'[1]Expense Master June-26'!V18</f>
        <v>2009</v>
      </c>
      <c r="BW13">
        <f>'[1]Expense Master June-26'!W18</f>
        <v>0</v>
      </c>
      <c r="BZ13">
        <f>SimpleDashData8[[#This Row],[Total Expense]]/SimpleDashData8[[#This Row],[Total Patients]]</f>
        <v>0.80886012941762075</v>
      </c>
      <c r="CA13">
        <v>0</v>
      </c>
    </row>
    <row r="14" spans="1:79" x14ac:dyDescent="0.3">
      <c r="A14">
        <v>3</v>
      </c>
      <c r="B14" t="str">
        <v>QCNM Hafizabad, Dist Jail</v>
      </c>
      <c r="C14" t="str">
        <v>Trust Act</v>
      </c>
      <c r="D14" t="str">
        <v>South &amp; North Punjab Region</v>
      </c>
      <c r="E14" t="str">
        <v>Prison</v>
      </c>
      <c r="F14" s="2">
        <v>15510</v>
      </c>
      <c r="G14" s="2">
        <v>3687</v>
      </c>
      <c r="H14" s="13">
        <v>4.2066720911310007</v>
      </c>
      <c r="I14" s="13"/>
      <c r="J14" s="14">
        <v>3</v>
      </c>
      <c r="K14" s="14" t="str">
        <v>Purchasing</v>
      </c>
      <c r="L14" s="15">
        <v>73079</v>
      </c>
      <c r="O14" s="2"/>
      <c r="AI14" t="s">
        <v>17</v>
      </c>
      <c r="AJ14" s="2">
        <f>SUMIFS(SimpleDashData8[Utilities],SimpleDashData8[Section],IF($A$4="All Sections","&lt;&gt;",$A$4))</f>
        <v>35370</v>
      </c>
      <c r="BA14">
        <v>13</v>
      </c>
      <c r="BB14" s="12" t="s">
        <v>67</v>
      </c>
      <c r="BC14">
        <v>2010262</v>
      </c>
      <c r="BD14" t="s">
        <v>68</v>
      </c>
      <c r="BE14" t="s">
        <v>34</v>
      </c>
      <c r="BF14" t="s">
        <v>64</v>
      </c>
      <c r="BG14">
        <f>'[1]Expense Master June-26'!G19</f>
        <v>0</v>
      </c>
      <c r="BH14">
        <f>'[1]Expense Master June-26'!H19</f>
        <v>0</v>
      </c>
      <c r="BI14">
        <f>'[1]Expense Master June-26'!I19</f>
        <v>0</v>
      </c>
      <c r="BJ14">
        <f>'[1]Expense Master June-26'!J19</f>
        <v>0</v>
      </c>
      <c r="BK14">
        <f>'[1]Expense Master June-26'!K19</f>
        <v>0</v>
      </c>
      <c r="BL14">
        <f>'[1]Expense Master June-26'!L19</f>
        <v>0</v>
      </c>
      <c r="BM14">
        <f>'[1]Expense Master June-26'!M19</f>
        <v>550</v>
      </c>
      <c r="BN14">
        <f>'[1]Expense Master June-26'!N19</f>
        <v>0</v>
      </c>
      <c r="BO14">
        <f>'[1]Expense Master June-26'!O19</f>
        <v>0</v>
      </c>
      <c r="BP14">
        <f>'[1]Expense Master June-26'!P19</f>
        <v>0</v>
      </c>
      <c r="BQ14">
        <f>SUM(SimpleDashData8[[#This Row],[Convayance]:[Misc]])</f>
        <v>550</v>
      </c>
      <c r="BR14">
        <f>'[1]Expense Master June-26'!R19</f>
        <v>680</v>
      </c>
      <c r="BS14">
        <f>'[1]Expense Master June-26'!S19</f>
        <v>4</v>
      </c>
      <c r="BT14">
        <f>'[1]Expense Master June-26'!T19</f>
        <v>0</v>
      </c>
      <c r="BU14">
        <f>SUM(SimpleDashData8[[#This Row],[Male]:[Child]])</f>
        <v>684</v>
      </c>
      <c r="BV14">
        <f>'[1]Expense Master June-26'!V19</f>
        <v>688</v>
      </c>
      <c r="BW14">
        <f>'[1]Expense Master June-26'!W19</f>
        <v>0</v>
      </c>
      <c r="BZ14">
        <f>SimpleDashData8[[#This Row],[Total Expense]]/SimpleDashData8[[#This Row],[Total Patients]]</f>
        <v>0.80409356725146197</v>
      </c>
      <c r="CA14">
        <v>0</v>
      </c>
    </row>
    <row r="15" spans="1:79" x14ac:dyDescent="0.3">
      <c r="A15">
        <v>4</v>
      </c>
      <c r="B15" t="str">
        <v>QCNM Faisalabad, Central Jail</v>
      </c>
      <c r="C15" t="str">
        <v>Trust Act</v>
      </c>
      <c r="D15" t="str">
        <v>Central Punjab Region</v>
      </c>
      <c r="E15" t="str">
        <v>Prison</v>
      </c>
      <c r="F15" s="2">
        <v>1560</v>
      </c>
      <c r="G15" s="2">
        <v>3682</v>
      </c>
      <c r="H15" s="13">
        <v>0.42368278109722979</v>
      </c>
      <c r="I15" s="13"/>
      <c r="J15" s="14">
        <v>4</v>
      </c>
      <c r="K15" s="14" t="str">
        <v>Stationary</v>
      </c>
      <c r="L15" s="15">
        <v>46590</v>
      </c>
      <c r="O15" s="2"/>
      <c r="AI15" t="s">
        <v>18</v>
      </c>
      <c r="AJ15" s="2">
        <f>SUMIFS(SimpleDashData8[Misc],SimpleDashData8[Section],IF($A$4="All Sections","&lt;&gt;",$A$4))</f>
        <v>36372</v>
      </c>
      <c r="BA15">
        <v>14</v>
      </c>
      <c r="BB15" s="12" t="s">
        <v>69</v>
      </c>
      <c r="BC15">
        <v>2010289</v>
      </c>
      <c r="BD15" t="s">
        <v>68</v>
      </c>
      <c r="BE15" t="s">
        <v>34</v>
      </c>
      <c r="BF15" t="s">
        <v>64</v>
      </c>
      <c r="BG15">
        <f>'[1]Expense Master June-26'!G20</f>
        <v>0</v>
      </c>
      <c r="BH15">
        <f>'[1]Expense Master June-26'!H20</f>
        <v>0</v>
      </c>
      <c r="BI15">
        <f>'[1]Expense Master June-26'!I20</f>
        <v>0</v>
      </c>
      <c r="BJ15">
        <f>'[1]Expense Master June-26'!J20</f>
        <v>0</v>
      </c>
      <c r="BK15">
        <f>'[1]Expense Master June-26'!K20</f>
        <v>0</v>
      </c>
      <c r="BL15">
        <f>'[1]Expense Master June-26'!L20</f>
        <v>340</v>
      </c>
      <c r="BM15">
        <f>'[1]Expense Master June-26'!M20</f>
        <v>0</v>
      </c>
      <c r="BN15">
        <f>'[1]Expense Master June-26'!N20</f>
        <v>0</v>
      </c>
      <c r="BO15">
        <f>'[1]Expense Master June-26'!O20</f>
        <v>0</v>
      </c>
      <c r="BP15">
        <f>'[1]Expense Master June-26'!P20</f>
        <v>500</v>
      </c>
      <c r="BQ15">
        <f>SUM(SimpleDashData8[[#This Row],[Convayance]:[Misc]])</f>
        <v>840</v>
      </c>
      <c r="BR15">
        <f>'[1]Expense Master June-26'!R20</f>
        <v>679</v>
      </c>
      <c r="BS15">
        <f>'[1]Expense Master June-26'!S20</f>
        <v>0</v>
      </c>
      <c r="BT15">
        <f>'[1]Expense Master June-26'!T20</f>
        <v>0</v>
      </c>
      <c r="BU15">
        <f>SUM(SimpleDashData8[[#This Row],[Male]:[Child]])</f>
        <v>679</v>
      </c>
      <c r="BV15">
        <f>'[1]Expense Master June-26'!V20</f>
        <v>679</v>
      </c>
      <c r="BW15">
        <f>'[1]Expense Master June-26'!W20</f>
        <v>0</v>
      </c>
      <c r="BZ15">
        <f>SimpleDashData8[[#This Row],[Total Expense]]/SimpleDashData8[[#This Row],[Total Patients]]</f>
        <v>1.2371134020618557</v>
      </c>
      <c r="CA15">
        <v>0</v>
      </c>
    </row>
    <row r="16" spans="1:79" x14ac:dyDescent="0.3">
      <c r="A16">
        <v>5</v>
      </c>
      <c r="B16" t="str">
        <v>QCNM Lahore, District (Camp) Jail</v>
      </c>
      <c r="C16" t="str">
        <v>Trust Act</v>
      </c>
      <c r="D16" t="str">
        <v>Central Punjab Region</v>
      </c>
      <c r="E16" t="str">
        <v>Prison</v>
      </c>
      <c r="F16" s="2">
        <v>17015</v>
      </c>
      <c r="G16" s="2">
        <v>3508</v>
      </c>
      <c r="H16" s="13">
        <v>4.850342075256556</v>
      </c>
      <c r="I16" s="13"/>
      <c r="J16" s="14">
        <v>5</v>
      </c>
      <c r="K16" s="14" t="str">
        <v>Printing</v>
      </c>
      <c r="L16" s="15">
        <v>41425</v>
      </c>
      <c r="N16" s="11" t="s">
        <v>70</v>
      </c>
      <c r="O16" s="16" t="s">
        <v>71</v>
      </c>
      <c r="P16" s="16" t="s">
        <v>40</v>
      </c>
      <c r="BA16">
        <v>15</v>
      </c>
      <c r="BB16" s="12" t="s">
        <v>72</v>
      </c>
      <c r="BC16">
        <v>2010241</v>
      </c>
      <c r="BD16" t="s">
        <v>33</v>
      </c>
      <c r="BE16" t="s">
        <v>34</v>
      </c>
      <c r="BF16" t="s">
        <v>64</v>
      </c>
      <c r="BG16">
        <f>'[1]Expense Master June-26'!G21</f>
        <v>0</v>
      </c>
      <c r="BH16">
        <f>'[1]Expense Master June-26'!H21</f>
        <v>500</v>
      </c>
      <c r="BI16">
        <f>'[1]Expense Master June-26'!I21</f>
        <v>0</v>
      </c>
      <c r="BJ16">
        <f>'[1]Expense Master June-26'!J21</f>
        <v>1260</v>
      </c>
      <c r="BK16">
        <f>'[1]Expense Master June-26'!K21</f>
        <v>0</v>
      </c>
      <c r="BL16">
        <f>'[1]Expense Master June-26'!L21</f>
        <v>0</v>
      </c>
      <c r="BM16">
        <f>'[1]Expense Master June-26'!M21</f>
        <v>0</v>
      </c>
      <c r="BN16">
        <f>'[1]Expense Master June-26'!N21</f>
        <v>300</v>
      </c>
      <c r="BO16">
        <f>'[1]Expense Master June-26'!O21</f>
        <v>0</v>
      </c>
      <c r="BP16">
        <f>'[1]Expense Master June-26'!P21</f>
        <v>0</v>
      </c>
      <c r="BQ16">
        <f>SUM(SimpleDashData8[[#This Row],[Convayance]:[Misc]])</f>
        <v>2060</v>
      </c>
      <c r="BR16">
        <f>'[1]Expense Master June-26'!R21</f>
        <v>1202</v>
      </c>
      <c r="BS16">
        <f>'[1]Expense Master June-26'!S21</f>
        <v>0</v>
      </c>
      <c r="BT16">
        <f>'[1]Expense Master June-26'!T21</f>
        <v>0</v>
      </c>
      <c r="BU16">
        <f>SUM(SimpleDashData8[[#This Row],[Male]:[Child]])</f>
        <v>1202</v>
      </c>
      <c r="BV16">
        <f>'[1]Expense Master June-26'!V21</f>
        <v>1202</v>
      </c>
      <c r="BW16">
        <f>'[1]Expense Master June-26'!W21</f>
        <v>0</v>
      </c>
      <c r="BZ16">
        <f>SimpleDashData8[[#This Row],[Total Expense]]/SimpleDashData8[[#This Row],[Total Patients]]</f>
        <v>1.7138103161397671</v>
      </c>
      <c r="CA16">
        <v>0</v>
      </c>
    </row>
    <row r="17" spans="1:79" x14ac:dyDescent="0.3">
      <c r="A17">
        <v>6</v>
      </c>
      <c r="B17" t="str">
        <v>QCNM Peshawar, Central Prison</v>
      </c>
      <c r="C17" t="str">
        <v>Trust Act</v>
      </c>
      <c r="D17" t="str">
        <v>Capital Region</v>
      </c>
      <c r="E17" t="str">
        <v>Prison</v>
      </c>
      <c r="F17" s="2">
        <v>4780</v>
      </c>
      <c r="G17" s="2">
        <v>3459</v>
      </c>
      <c r="H17" s="13">
        <v>1.38190228389708</v>
      </c>
      <c r="I17" s="13"/>
      <c r="J17" s="14">
        <v>6</v>
      </c>
      <c r="K17" s="14" t="str">
        <v>Repair</v>
      </c>
      <c r="L17" s="15">
        <v>38940</v>
      </c>
      <c r="N17" s="14" t="s">
        <v>20</v>
      </c>
      <c r="O17" s="15" cm="1">
        <f t="array" ref="O17">SUMPRODUCT((IF($D$4&lt;&gt;"",1,IF($B$4="All Regions",1,SimpleDashData8[Region]=$B$4)))*(IF($D$4&lt;&gt;"",SimpleDashData8[QCNM Name]=$D$4,IF($G$4="All Clinics",1,SimpleDashData8[QCNM Name]=$G$4)))*(IF($A$4="All Sections",1,SimpleDashData8[Section]=$A$4))*SimpleDashData8[Male])</f>
        <v>185995</v>
      </c>
      <c r="P17" s="63">
        <f>SUM(O17:O19)</f>
        <v>229486</v>
      </c>
      <c r="BA17">
        <v>16</v>
      </c>
      <c r="BB17" s="12" t="s">
        <v>73</v>
      </c>
      <c r="BC17">
        <v>2010276</v>
      </c>
      <c r="BD17" t="s">
        <v>33</v>
      </c>
      <c r="BE17" t="s">
        <v>34</v>
      </c>
      <c r="BF17" t="s">
        <v>64</v>
      </c>
      <c r="BG17">
        <f>'[1]Expense Master June-26'!G22</f>
        <v>0</v>
      </c>
      <c r="BH17">
        <f>'[1]Expense Master June-26'!H22</f>
        <v>0</v>
      </c>
      <c r="BI17">
        <f>'[1]Expense Master June-26'!I22</f>
        <v>1000</v>
      </c>
      <c r="BJ17">
        <f>'[1]Expense Master June-26'!J22</f>
        <v>0</v>
      </c>
      <c r="BK17">
        <f>'[1]Expense Master June-26'!K22</f>
        <v>0</v>
      </c>
      <c r="BL17">
        <f>'[1]Expense Master June-26'!L22</f>
        <v>550</v>
      </c>
      <c r="BM17">
        <f>'[1]Expense Master June-26'!M22</f>
        <v>0</v>
      </c>
      <c r="BN17">
        <f>'[1]Expense Master June-26'!N22</f>
        <v>0</v>
      </c>
      <c r="BO17">
        <f>'[1]Expense Master June-26'!O22</f>
        <v>0</v>
      </c>
      <c r="BP17">
        <f>'[1]Expense Master June-26'!P22</f>
        <v>0</v>
      </c>
      <c r="BQ17">
        <f>SUM(SimpleDashData8[[#This Row],[Convayance]:[Misc]])</f>
        <v>1550</v>
      </c>
      <c r="BR17">
        <f>'[1]Expense Master June-26'!R22</f>
        <v>1409</v>
      </c>
      <c r="BS17">
        <f>'[1]Expense Master June-26'!S22</f>
        <v>0</v>
      </c>
      <c r="BT17">
        <f>'[1]Expense Master June-26'!T22</f>
        <v>0</v>
      </c>
      <c r="BU17">
        <f>SUM(SimpleDashData8[[#This Row],[Male]:[Child]])</f>
        <v>1409</v>
      </c>
      <c r="BV17">
        <f>'[1]Expense Master June-26'!V22</f>
        <v>1409</v>
      </c>
      <c r="BW17">
        <f>'[1]Expense Master June-26'!W22</f>
        <v>0</v>
      </c>
      <c r="BZ17">
        <f>SimpleDashData8[[#This Row],[Total Expense]]/SimpleDashData8[[#This Row],[Total Patients]]</f>
        <v>1.1000709723207949</v>
      </c>
      <c r="CA17">
        <v>0</v>
      </c>
    </row>
    <row r="18" spans="1:79" x14ac:dyDescent="0.3">
      <c r="A18">
        <v>7</v>
      </c>
      <c r="B18" t="str">
        <v>QCNM Sheikhupura, District Jail</v>
      </c>
      <c r="C18" t="str">
        <v>Trust Act</v>
      </c>
      <c r="D18" t="str">
        <v>Central Punjab Region</v>
      </c>
      <c r="E18" t="str">
        <v>Prison</v>
      </c>
      <c r="F18" s="2">
        <v>18750</v>
      </c>
      <c r="G18" s="2">
        <v>3304</v>
      </c>
      <c r="H18" s="13">
        <v>5.674939467312349</v>
      </c>
      <c r="I18" s="13"/>
      <c r="J18" s="14">
        <v>7</v>
      </c>
      <c r="K18" s="14" t="str">
        <v>Misc</v>
      </c>
      <c r="L18" s="15">
        <v>36372</v>
      </c>
      <c r="N18" s="14" t="s">
        <v>21</v>
      </c>
      <c r="O18" s="15" cm="1">
        <f t="array" ref="O18">SUMPRODUCT((IF($D$4&lt;&gt;"",1,IF($B$4="All Regions",1,SimpleDashData8[Region]=$B$4)))*(IF($D$4&lt;&gt;"",SimpleDashData8[QCNM Name]=$D$4,IF($G$4="All Clinics",1,SimpleDashData8[QCNM Name]=$G$4)))*(IF($A$4="All Sections",1,SimpleDashData8[Section]=$A$4))*SimpleDashData8[Female])</f>
        <v>30140</v>
      </c>
      <c r="P18" s="64"/>
      <c r="BA18">
        <v>17</v>
      </c>
      <c r="BB18" s="12" t="s">
        <v>74</v>
      </c>
      <c r="BC18">
        <v>2010284</v>
      </c>
      <c r="BD18" t="s">
        <v>33</v>
      </c>
      <c r="BE18" t="s">
        <v>34</v>
      </c>
      <c r="BF18" t="s">
        <v>64</v>
      </c>
      <c r="BG18">
        <f>'[1]Expense Master June-26'!G23</f>
        <v>0</v>
      </c>
      <c r="BH18">
        <f>'[1]Expense Master June-26'!H23</f>
        <v>0</v>
      </c>
      <c r="BI18">
        <f>'[1]Expense Master June-26'!I23</f>
        <v>0</v>
      </c>
      <c r="BJ18">
        <f>'[1]Expense Master June-26'!J23</f>
        <v>0</v>
      </c>
      <c r="BK18">
        <f>'[1]Expense Master June-26'!K23</f>
        <v>0</v>
      </c>
      <c r="BL18">
        <f>'[1]Expense Master June-26'!L23</f>
        <v>350</v>
      </c>
      <c r="BM18">
        <f>'[1]Expense Master June-26'!M23</f>
        <v>0</v>
      </c>
      <c r="BN18">
        <f>'[1]Expense Master June-26'!N23</f>
        <v>0</v>
      </c>
      <c r="BO18">
        <f>'[1]Expense Master June-26'!O23</f>
        <v>500</v>
      </c>
      <c r="BP18">
        <f>'[1]Expense Master June-26'!P23</f>
        <v>0</v>
      </c>
      <c r="BQ18">
        <f>SUM(SimpleDashData8[[#This Row],[Convayance]:[Misc]])</f>
        <v>850</v>
      </c>
      <c r="BR18">
        <f>'[1]Expense Master June-26'!R23</f>
        <v>1892</v>
      </c>
      <c r="BS18">
        <f>'[1]Expense Master June-26'!S23</f>
        <v>0</v>
      </c>
      <c r="BT18">
        <f>'[1]Expense Master June-26'!T23</f>
        <v>0</v>
      </c>
      <c r="BU18">
        <f>SUM(SimpleDashData8[[#This Row],[Male]:[Child]])</f>
        <v>1892</v>
      </c>
      <c r="BV18">
        <f>'[1]Expense Master June-26'!V23</f>
        <v>1892</v>
      </c>
      <c r="BW18">
        <f>'[1]Expense Master June-26'!W23</f>
        <v>0</v>
      </c>
      <c r="BZ18">
        <f>SimpleDashData8[[#This Row],[Total Expense]]/SimpleDashData8[[#This Row],[Total Patients]]</f>
        <v>0.44926004228329808</v>
      </c>
      <c r="CA18">
        <v>0</v>
      </c>
    </row>
    <row r="19" spans="1:79" x14ac:dyDescent="0.3">
      <c r="A19">
        <v>8</v>
      </c>
      <c r="B19" t="str">
        <v>QCNM Gujrat, District Jail</v>
      </c>
      <c r="C19" t="str">
        <v>Trust Act</v>
      </c>
      <c r="D19" t="str">
        <v>Central Punjab Region</v>
      </c>
      <c r="E19" t="str">
        <v>Prison</v>
      </c>
      <c r="F19" s="2">
        <v>8715</v>
      </c>
      <c r="G19" s="2">
        <v>3301</v>
      </c>
      <c r="H19" s="13">
        <v>2.6401090578612543</v>
      </c>
      <c r="I19" s="13"/>
      <c r="J19" s="14">
        <v>8</v>
      </c>
      <c r="K19" s="14" t="str">
        <v>Utilities</v>
      </c>
      <c r="L19" s="15">
        <v>35370</v>
      </c>
      <c r="N19" s="14" t="s">
        <v>22</v>
      </c>
      <c r="O19" s="15" cm="1">
        <f t="array" ref="O19">SUMPRODUCT((IF($D$4&lt;&gt;"",1,IF($B$4="All Regions",1,SimpleDashData8[Region]=$B$4)))*(IF($D$4&lt;&gt;"",SimpleDashData8[QCNM Name]=$D$4,IF($G$4="All Clinics",1,SimpleDashData8[QCNM Name]=$G$4)))*(IF($A$4="All Sections",1,SimpleDashData8[Section]=$A$4))*SimpleDashData8[Child])</f>
        <v>13351</v>
      </c>
      <c r="P19" s="64"/>
      <c r="BA19">
        <v>18</v>
      </c>
      <c r="BB19" s="12" t="s">
        <v>75</v>
      </c>
      <c r="BC19">
        <v>2010260</v>
      </c>
      <c r="BD19" t="s">
        <v>33</v>
      </c>
      <c r="BE19" t="s">
        <v>34</v>
      </c>
      <c r="BF19" t="s">
        <v>64</v>
      </c>
      <c r="BG19">
        <f>'[1]Expense Master June-26'!G24</f>
        <v>0</v>
      </c>
      <c r="BH19">
        <f>'[1]Expense Master June-26'!H24</f>
        <v>2300</v>
      </c>
      <c r="BI19">
        <f>'[1]Expense Master June-26'!I24</f>
        <v>500</v>
      </c>
      <c r="BJ19">
        <f>'[1]Expense Master June-26'!J24</f>
        <v>3950</v>
      </c>
      <c r="BK19">
        <f>'[1]Expense Master June-26'!K24</f>
        <v>0</v>
      </c>
      <c r="BL19">
        <f>'[1]Expense Master June-26'!L24</f>
        <v>610</v>
      </c>
      <c r="BM19">
        <f>'[1]Expense Master June-26'!M24</f>
        <v>300</v>
      </c>
      <c r="BN19">
        <f>'[1]Expense Master June-26'!N24</f>
        <v>0</v>
      </c>
      <c r="BO19">
        <f>'[1]Expense Master June-26'!O24</f>
        <v>0</v>
      </c>
      <c r="BP19">
        <f>'[1]Expense Master June-26'!P24</f>
        <v>0</v>
      </c>
      <c r="BQ19">
        <f>SUM(SimpleDashData8[[#This Row],[Convayance]:[Misc]])</f>
        <v>7660</v>
      </c>
      <c r="BR19">
        <f>'[1]Expense Master June-26'!R24</f>
        <v>1499</v>
      </c>
      <c r="BS19">
        <f>'[1]Expense Master June-26'!S24</f>
        <v>0</v>
      </c>
      <c r="BT19">
        <f>'[1]Expense Master June-26'!T24</f>
        <v>0</v>
      </c>
      <c r="BU19">
        <f>SUM(SimpleDashData8[[#This Row],[Male]:[Child]])</f>
        <v>1499</v>
      </c>
      <c r="BV19">
        <f>'[1]Expense Master June-26'!V24</f>
        <v>1499</v>
      </c>
      <c r="BW19">
        <f>'[1]Expense Master June-26'!W24</f>
        <v>0</v>
      </c>
      <c r="BZ19">
        <f>SimpleDashData8[[#This Row],[Total Expense]]/SimpleDashData8[[#This Row],[Total Patients]]</f>
        <v>5.1100733822548365</v>
      </c>
      <c r="CA19">
        <v>0</v>
      </c>
    </row>
    <row r="20" spans="1:79" x14ac:dyDescent="0.3">
      <c r="A20">
        <v>9</v>
      </c>
      <c r="B20" t="str">
        <v>QCNM Jhang, District Jail</v>
      </c>
      <c r="C20" t="str">
        <v>Trust Act</v>
      </c>
      <c r="D20" t="str">
        <v>Central Punjab Region</v>
      </c>
      <c r="E20" t="str">
        <v>Prison</v>
      </c>
      <c r="F20" s="2">
        <v>5070</v>
      </c>
      <c r="G20" s="2">
        <v>3286</v>
      </c>
      <c r="H20" s="13">
        <v>1.5429093122337187</v>
      </c>
      <c r="I20" s="13"/>
      <c r="J20" s="14">
        <v>9</v>
      </c>
      <c r="K20" s="14" t="str">
        <v>Postage</v>
      </c>
      <c r="L20" s="15">
        <v>29823</v>
      </c>
      <c r="BA20">
        <v>19</v>
      </c>
      <c r="BB20" s="12" t="s">
        <v>76</v>
      </c>
      <c r="BC20">
        <v>2010266</v>
      </c>
      <c r="BD20" t="s">
        <v>33</v>
      </c>
      <c r="BE20" t="s">
        <v>34</v>
      </c>
      <c r="BF20" t="s">
        <v>64</v>
      </c>
      <c r="BG20">
        <f>'[1]Expense Master June-26'!G25</f>
        <v>0</v>
      </c>
      <c r="BH20">
        <f>'[1]Expense Master June-26'!H25</f>
        <v>1000</v>
      </c>
      <c r="BI20">
        <f>'[1]Expense Master June-26'!I25</f>
        <v>0</v>
      </c>
      <c r="BJ20">
        <f>'[1]Expense Master June-26'!J25</f>
        <v>5400</v>
      </c>
      <c r="BK20">
        <f>'[1]Expense Master June-26'!K25</f>
        <v>0</v>
      </c>
      <c r="BL20">
        <f>'[1]Expense Master June-26'!L25</f>
        <v>150</v>
      </c>
      <c r="BM20">
        <f>'[1]Expense Master June-26'!M25</f>
        <v>0</v>
      </c>
      <c r="BN20">
        <f>'[1]Expense Master June-26'!N25</f>
        <v>0</v>
      </c>
      <c r="BO20">
        <f>'[1]Expense Master June-26'!O25</f>
        <v>0</v>
      </c>
      <c r="BP20">
        <f>'[1]Expense Master June-26'!P25</f>
        <v>0</v>
      </c>
      <c r="BQ20">
        <f>SUM(SimpleDashData8[[#This Row],[Convayance]:[Misc]])</f>
        <v>6550</v>
      </c>
      <c r="BR20">
        <f>'[1]Expense Master June-26'!R25</f>
        <v>2314</v>
      </c>
      <c r="BS20">
        <f>'[1]Expense Master June-26'!S25</f>
        <v>189</v>
      </c>
      <c r="BT20">
        <f>'[1]Expense Master June-26'!T25</f>
        <v>0</v>
      </c>
      <c r="BU20">
        <f>SUM(SimpleDashData8[[#This Row],[Male]:[Child]])</f>
        <v>2503</v>
      </c>
      <c r="BV20">
        <f>'[1]Expense Master June-26'!V25</f>
        <v>2692</v>
      </c>
      <c r="BW20">
        <f>'[1]Expense Master June-26'!W25</f>
        <v>0</v>
      </c>
      <c r="BZ20">
        <f>SimpleDashData8[[#This Row],[Total Expense]]/SimpleDashData8[[#This Row],[Total Patients]]</f>
        <v>2.6168597682780663</v>
      </c>
      <c r="CA20">
        <v>0</v>
      </c>
    </row>
    <row r="21" spans="1:79" x14ac:dyDescent="0.3">
      <c r="A21">
        <v>10</v>
      </c>
      <c r="B21" t="str">
        <v>QCNM Bahawalpur, Central Jail</v>
      </c>
      <c r="C21" t="str">
        <v>Trust Act</v>
      </c>
      <c r="D21" t="str">
        <v>South &amp; North Punjab Region</v>
      </c>
      <c r="E21" t="str">
        <v>Prison</v>
      </c>
      <c r="F21" s="2">
        <v>2542</v>
      </c>
      <c r="G21" s="2">
        <v>3161</v>
      </c>
      <c r="H21" s="13">
        <v>0.80417589370452391</v>
      </c>
      <c r="I21" s="13"/>
      <c r="J21" s="14">
        <v>10</v>
      </c>
      <c r="K21" s="14" t="str">
        <v>Freight</v>
      </c>
      <c r="L21" s="15">
        <v>15310</v>
      </c>
      <c r="BA21">
        <v>20</v>
      </c>
      <c r="BB21" s="12" t="s">
        <v>77</v>
      </c>
      <c r="BC21">
        <v>2010267</v>
      </c>
      <c r="BD21" t="s">
        <v>33</v>
      </c>
      <c r="BE21" t="s">
        <v>34</v>
      </c>
      <c r="BF21" t="s">
        <v>64</v>
      </c>
      <c r="BG21">
        <f>'[1]Expense Master June-26'!G26</f>
        <v>0</v>
      </c>
      <c r="BH21">
        <f>'[1]Expense Master June-26'!H26</f>
        <v>1000</v>
      </c>
      <c r="BI21">
        <f>'[1]Expense Master June-26'!I26</f>
        <v>300</v>
      </c>
      <c r="BJ21">
        <f>'[1]Expense Master June-26'!J26</f>
        <v>2980</v>
      </c>
      <c r="BK21">
        <f>'[1]Expense Master June-26'!K26</f>
        <v>0</v>
      </c>
      <c r="BL21">
        <f>'[1]Expense Master June-26'!L26</f>
        <v>500</v>
      </c>
      <c r="BM21">
        <f>'[1]Expense Master June-26'!M26</f>
        <v>0</v>
      </c>
      <c r="BN21">
        <f>'[1]Expense Master June-26'!N26</f>
        <v>0</v>
      </c>
      <c r="BO21">
        <f>'[1]Expense Master June-26'!O26</f>
        <v>0</v>
      </c>
      <c r="BP21">
        <f>'[1]Expense Master June-26'!P26</f>
        <v>0</v>
      </c>
      <c r="BQ21">
        <f>SUM(SimpleDashData8[[#This Row],[Convayance]:[Misc]])</f>
        <v>4780</v>
      </c>
      <c r="BR21">
        <f>'[1]Expense Master June-26'!R26</f>
        <v>3459</v>
      </c>
      <c r="BS21">
        <f>'[1]Expense Master June-26'!S26</f>
        <v>0</v>
      </c>
      <c r="BT21">
        <f>'[1]Expense Master June-26'!T26</f>
        <v>0</v>
      </c>
      <c r="BU21">
        <f>SUM(SimpleDashData8[[#This Row],[Male]:[Child]])</f>
        <v>3459</v>
      </c>
      <c r="BV21">
        <f>'[1]Expense Master June-26'!V26</f>
        <v>3459</v>
      </c>
      <c r="BW21">
        <f>'[1]Expense Master June-26'!W26</f>
        <v>0</v>
      </c>
      <c r="BZ21">
        <f>SimpleDashData8[[#This Row],[Total Expense]]/SimpleDashData8[[#This Row],[Total Patients]]</f>
        <v>1.38190228389708</v>
      </c>
      <c r="CA21">
        <v>0</v>
      </c>
    </row>
    <row r="22" spans="1:79" x14ac:dyDescent="0.3">
      <c r="A22">
        <v>11</v>
      </c>
      <c r="B22" t="str">
        <v>QCNM Shahpur, Dist Jail</v>
      </c>
      <c r="C22" t="str">
        <v>Trust Act</v>
      </c>
      <c r="D22" t="str">
        <v>South &amp; North Punjab Region</v>
      </c>
      <c r="E22" t="str">
        <v>Prison</v>
      </c>
      <c r="F22" s="2">
        <v>5430</v>
      </c>
      <c r="G22" s="2">
        <v>3136</v>
      </c>
      <c r="H22" s="13">
        <v>1.7315051020408163</v>
      </c>
      <c r="I22" s="13"/>
      <c r="L22" s="17">
        <f>SUM(L12:L21)</f>
        <v>851305</v>
      </c>
      <c r="BA22">
        <v>21</v>
      </c>
      <c r="BB22" s="12" t="s">
        <v>78</v>
      </c>
      <c r="BC22">
        <v>2010293</v>
      </c>
      <c r="BD22" t="s">
        <v>33</v>
      </c>
      <c r="BE22" t="s">
        <v>34</v>
      </c>
      <c r="BF22" t="s">
        <v>64</v>
      </c>
      <c r="BG22">
        <f>'[1]Expense Master June-26'!G27</f>
        <v>500</v>
      </c>
      <c r="BH22">
        <f>'[1]Expense Master June-26'!H27</f>
        <v>0</v>
      </c>
      <c r="BI22">
        <f>'[1]Expense Master June-26'!I27</f>
        <v>0</v>
      </c>
      <c r="BJ22">
        <f>'[1]Expense Master June-26'!J27</f>
        <v>4950</v>
      </c>
      <c r="BK22">
        <f>'[1]Expense Master June-26'!K27</f>
        <v>0</v>
      </c>
      <c r="BL22">
        <f>'[1]Expense Master June-26'!L27</f>
        <v>250</v>
      </c>
      <c r="BM22">
        <f>'[1]Expense Master June-26'!M27</f>
        <v>0</v>
      </c>
      <c r="BN22">
        <f>'[1]Expense Master June-26'!N27</f>
        <v>0</v>
      </c>
      <c r="BO22">
        <f>'[1]Expense Master June-26'!O27</f>
        <v>0</v>
      </c>
      <c r="BP22">
        <f>'[1]Expense Master June-26'!P27</f>
        <v>0</v>
      </c>
      <c r="BQ22">
        <f>SUM(SimpleDashData8[[#This Row],[Convayance]:[Misc]])</f>
        <v>5700</v>
      </c>
      <c r="BR22">
        <f>'[1]Expense Master June-26'!R27</f>
        <v>1646</v>
      </c>
      <c r="BS22">
        <f>'[1]Expense Master June-26'!S27</f>
        <v>84</v>
      </c>
      <c r="BT22">
        <f>'[1]Expense Master June-26'!T27</f>
        <v>19</v>
      </c>
      <c r="BU22">
        <f>SUM(SimpleDashData8[[#This Row],[Male]:[Child]])</f>
        <v>1749</v>
      </c>
      <c r="BV22">
        <f>'[1]Expense Master June-26'!V27</f>
        <v>1852</v>
      </c>
      <c r="BW22">
        <f>'[1]Expense Master June-26'!W27</f>
        <v>0</v>
      </c>
      <c r="BZ22">
        <f>SimpleDashData8[[#This Row],[Total Expense]]/SimpleDashData8[[#This Row],[Total Patients]]</f>
        <v>3.2590051457975986</v>
      </c>
      <c r="CA22">
        <v>0</v>
      </c>
    </row>
    <row r="23" spans="1:79" x14ac:dyDescent="0.3">
      <c r="A23">
        <v>12</v>
      </c>
      <c r="B23" t="str">
        <v>QCNM Rawalpindi Adayala Jail</v>
      </c>
      <c r="C23" t="str">
        <v>Trust Act</v>
      </c>
      <c r="D23" t="str">
        <v>South &amp; North Punjab Region</v>
      </c>
      <c r="E23" t="str">
        <v>Prison</v>
      </c>
      <c r="F23" s="2">
        <v>1230</v>
      </c>
      <c r="G23" s="2">
        <v>3042</v>
      </c>
      <c r="H23" s="13">
        <v>0.40433925049309666</v>
      </c>
      <c r="I23" s="13"/>
      <c r="J23" s="65" t="s">
        <v>79</v>
      </c>
      <c r="K23" s="65"/>
      <c r="L23" s="65"/>
      <c r="M23" s="65"/>
      <c r="N23" s="65"/>
      <c r="P23" s="65" t="s">
        <v>80</v>
      </c>
      <c r="Q23" s="65"/>
      <c r="R23" s="65"/>
      <c r="S23" s="65"/>
      <c r="T23" s="65"/>
      <c r="V23" s="66" t="s">
        <v>81</v>
      </c>
      <c r="W23" s="67"/>
      <c r="X23" s="68"/>
      <c r="BA23">
        <v>22</v>
      </c>
      <c r="BB23" s="12" t="s">
        <v>82</v>
      </c>
      <c r="BC23">
        <v>2010297</v>
      </c>
      <c r="BD23" t="s">
        <v>33</v>
      </c>
      <c r="BE23" t="s">
        <v>34</v>
      </c>
      <c r="BF23" t="s">
        <v>64</v>
      </c>
      <c r="BG23">
        <f>'[1]Expense Master June-26'!G28</f>
        <v>0</v>
      </c>
      <c r="BH23">
        <f>'[1]Expense Master June-26'!H28</f>
        <v>0</v>
      </c>
      <c r="BI23">
        <f>'[1]Expense Master June-26'!I28</f>
        <v>0</v>
      </c>
      <c r="BJ23">
        <f>'[1]Expense Master June-26'!J28</f>
        <v>900</v>
      </c>
      <c r="BK23">
        <f>'[1]Expense Master June-26'!K28</f>
        <v>0</v>
      </c>
      <c r="BL23">
        <f>'[1]Expense Master June-26'!L28</f>
        <v>450</v>
      </c>
      <c r="BM23">
        <f>'[1]Expense Master June-26'!M28</f>
        <v>0</v>
      </c>
      <c r="BN23">
        <f>'[1]Expense Master June-26'!N28</f>
        <v>190</v>
      </c>
      <c r="BO23">
        <f>'[1]Expense Master June-26'!O28</f>
        <v>0</v>
      </c>
      <c r="BP23">
        <f>'[1]Expense Master June-26'!P28</f>
        <v>500</v>
      </c>
      <c r="BQ23">
        <f>SUM(SimpleDashData8[[#This Row],[Convayance]:[Misc]])</f>
        <v>2040</v>
      </c>
      <c r="BR23">
        <f>'[1]Expense Master June-26'!R28</f>
        <v>1596</v>
      </c>
      <c r="BS23">
        <f>'[1]Expense Master June-26'!S28</f>
        <v>0</v>
      </c>
      <c r="BT23">
        <f>'[1]Expense Master June-26'!T28</f>
        <v>0</v>
      </c>
      <c r="BU23">
        <f>SUM(SimpleDashData8[[#This Row],[Male]:[Child]])</f>
        <v>1596</v>
      </c>
      <c r="BV23">
        <f>'[1]Expense Master June-26'!V28</f>
        <v>1596</v>
      </c>
      <c r="BW23">
        <f>'[1]Expense Master June-26'!W28</f>
        <v>0</v>
      </c>
      <c r="BZ23">
        <f>SimpleDashData8[[#This Row],[Total Expense]]/SimpleDashData8[[#This Row],[Total Patients]]</f>
        <v>1.2781954887218046</v>
      </c>
      <c r="CA23">
        <v>0</v>
      </c>
    </row>
    <row r="24" spans="1:79" x14ac:dyDescent="0.3">
      <c r="A24">
        <v>13</v>
      </c>
      <c r="B24" t="str">
        <v>QCNM Lodhran, District Jail</v>
      </c>
      <c r="C24" t="str">
        <v>Trust Act</v>
      </c>
      <c r="D24" t="str">
        <v>South &amp; North Punjab Region</v>
      </c>
      <c r="E24" t="str">
        <v>Prison</v>
      </c>
      <c r="F24" s="2">
        <v>11680</v>
      </c>
      <c r="G24" s="2">
        <v>2932</v>
      </c>
      <c r="H24" s="13">
        <v>3.9836289222373806</v>
      </c>
      <c r="I24" s="13"/>
      <c r="J24" s="18" t="s">
        <v>58</v>
      </c>
      <c r="K24" s="18" t="s">
        <v>7</v>
      </c>
      <c r="L24" s="18" t="s">
        <v>23</v>
      </c>
      <c r="M24" s="18" t="s">
        <v>49</v>
      </c>
      <c r="N24" s="18" t="s">
        <v>83</v>
      </c>
      <c r="P24" s="18" t="s">
        <v>58</v>
      </c>
      <c r="Q24" s="18" t="s">
        <v>7</v>
      </c>
      <c r="R24" s="18" t="s">
        <v>19</v>
      </c>
      <c r="S24" s="18" t="s">
        <v>49</v>
      </c>
      <c r="T24" s="18" t="s">
        <v>50</v>
      </c>
      <c r="V24" s="18" t="s">
        <v>58</v>
      </c>
      <c r="W24" s="18" t="s">
        <v>84</v>
      </c>
      <c r="X24" s="18" t="s">
        <v>19</v>
      </c>
      <c r="BA24">
        <v>23</v>
      </c>
      <c r="BB24" s="12" t="s">
        <v>85</v>
      </c>
      <c r="BC24">
        <v>2010401</v>
      </c>
      <c r="BD24" t="s">
        <v>68</v>
      </c>
      <c r="BE24" t="s">
        <v>34</v>
      </c>
      <c r="BF24" t="s">
        <v>64</v>
      </c>
      <c r="BG24">
        <f>'[1]Expense Master June-26'!G29</f>
        <v>0</v>
      </c>
      <c r="BH24">
        <f>'[1]Expense Master June-26'!H29</f>
        <v>0</v>
      </c>
      <c r="BI24">
        <f>'[1]Expense Master June-26'!I29</f>
        <v>0</v>
      </c>
      <c r="BJ24">
        <f>'[1]Expense Master June-26'!J29</f>
        <v>0</v>
      </c>
      <c r="BK24">
        <f>'[1]Expense Master June-26'!K29</f>
        <v>0</v>
      </c>
      <c r="BL24">
        <f>'[1]Expense Master June-26'!L29</f>
        <v>225</v>
      </c>
      <c r="BM24">
        <f>'[1]Expense Master June-26'!M29</f>
        <v>0</v>
      </c>
      <c r="BN24">
        <f>'[1]Expense Master June-26'!N29</f>
        <v>0</v>
      </c>
      <c r="BO24">
        <f>'[1]Expense Master June-26'!O29</f>
        <v>500</v>
      </c>
      <c r="BP24">
        <f>'[1]Expense Master June-26'!P29</f>
        <v>0</v>
      </c>
      <c r="BQ24">
        <f>SUM(SimpleDashData8[[#This Row],[Convayance]:[Misc]])</f>
        <v>725</v>
      </c>
      <c r="BR24">
        <f>'[1]Expense Master June-26'!R29</f>
        <v>689</v>
      </c>
      <c r="BS24">
        <f>'[1]Expense Master June-26'!S29</f>
        <v>9</v>
      </c>
      <c r="BT24">
        <f>'[1]Expense Master June-26'!T29</f>
        <v>0</v>
      </c>
      <c r="BU24">
        <f>SUM(SimpleDashData8[[#This Row],[Male]:[Child]])</f>
        <v>698</v>
      </c>
      <c r="BV24">
        <f>'[1]Expense Master June-26'!V29</f>
        <v>707</v>
      </c>
      <c r="BW24">
        <f>'[1]Expense Master June-26'!W29</f>
        <v>0</v>
      </c>
      <c r="BZ24">
        <f>SimpleDashData8[[#This Row],[Total Expense]]/SimpleDashData8[[#This Row],[Total Patients]]</f>
        <v>1.0386819484240688</v>
      </c>
      <c r="CA24">
        <v>0</v>
      </c>
    </row>
    <row r="25" spans="1:79" ht="27.6" x14ac:dyDescent="0.3">
      <c r="A25">
        <v>14</v>
      </c>
      <c r="B25" t="str">
        <v>QCNM Mianwali, Central Jail</v>
      </c>
      <c r="C25" t="str">
        <v>Trust Act</v>
      </c>
      <c r="D25" t="str">
        <v>South &amp; North Punjab Region</v>
      </c>
      <c r="E25" t="str">
        <v>Prison</v>
      </c>
      <c r="F25" s="2">
        <v>5090</v>
      </c>
      <c r="G25" s="2">
        <v>2924</v>
      </c>
      <c r="H25" s="13">
        <v>1.740766073871409</v>
      </c>
      <c r="I25" s="13"/>
      <c r="J25" s="19" cm="1">
        <f t="array" ref="J25:J28">_xlfn.SEQUENCE(ROWS(_xlfn.ANCHORARRAY(K25)))</f>
        <v>1</v>
      </c>
      <c r="K25" s="20" t="str" cm="1">
        <f t="array" ref="K25:K28">_xlfn.LET(_xlpm.z,IF($A$4="All Sections","&lt;&gt;",$A$4),_xlpm.u,_xlfn.UNIQUE(_xlfn._xlws.FILTER(SimpleDashData8[Region],IF($A$4="All Sections",SimpleDashData8[Section]&lt;&gt;"",SimpleDashData8[Section]=$A$4))),_xlfn.SORTBY(_xlpm.u,SUMIFS(SimpleDashData8[Total Patients],SimpleDashData8[Region],_xlpm.u,SimpleDashData8[Section],_xlpm.z),-1))</f>
        <v>South &amp; North Punjab Region</v>
      </c>
      <c r="L25" s="21" cm="1">
        <f t="array" ref="L25:L28">SUMIFS(SimpleDashData8[Total Patients],SimpleDashData8[Region],_xlfn.ANCHORARRAY(K25),SimpleDashData8[Section],IF($A$4="All Sections","&lt;&gt;",$A$4))</f>
        <v>77179</v>
      </c>
      <c r="M25" s="21" cm="1">
        <f t="array" ref="M25:M28">COUNTIFS(SimpleDashData8[Region],_xlfn.ANCHORARRAY(K25),SimpleDashData8[Section],IF($A$4="All Sections","&lt;&gt;",$A$4))</f>
        <v>36</v>
      </c>
      <c r="N25" s="22" cm="1">
        <f t="array" ref="N25:N28">_xlfn.ANCHORARRAY(L25)/_xlfn.ANCHORARRAY(M25)</f>
        <v>2143.8611111111113</v>
      </c>
      <c r="P25" s="19" cm="1">
        <f t="array" ref="P25:P28">_xlfn.SEQUENCE(ROWS(_xlfn.ANCHORARRAY(Q25)))</f>
        <v>1</v>
      </c>
      <c r="Q25" s="20" t="str" cm="1">
        <f t="array" ref="Q25:Q28">_xlfn.LET(_xlpm.z,IF($A$4="All Sections","&lt;&gt;",$A$4),_xlpm.u,_xlfn.UNIQUE(_xlfn._xlws.FILTER(SimpleDashData8[Region],IF($A$4="All Sections",SimpleDashData8[Section]&lt;&gt;"",SimpleDashData8[Section]=$A$4))),_xlfn.SORTBY(_xlpm.u,SUMIFS(SimpleDashData8[Total Expense],SimpleDashData8[Region],_xlpm.u,SimpleDashData8[Section],_xlpm.z),-1))</f>
        <v>Central Punjab Region</v>
      </c>
      <c r="R25" s="21" cm="1">
        <f t="array" ref="R25:R28">SUMIFS(SimpleDashData8[Total Expense],SimpleDashData8[Region],_xlfn.ANCHORARRAY(Q25),SimpleDashData8[Section],IF($A$4="All Sections","&lt;&gt;",$A$4))</f>
        <v>325154</v>
      </c>
      <c r="S25" s="21" cm="1">
        <f t="array" ref="S25:S28">COUNTIFS(SimpleDashData8[Region],_xlfn.ANCHORARRAY(Q25),SimpleDashData8[Section],IF($A$4="All Sections","&lt;&gt;",$A$4))</f>
        <v>34</v>
      </c>
      <c r="T25" s="23" cm="1">
        <f t="array" ref="T25:T28">IFERROR(_xlfn.ANCHORARRAY(R25)/SUMIFS(SimpleDashData8[Total Patients],SimpleDashData8[Region],_xlfn.ANCHORARRAY(Q25),SimpleDashData8[Section],IF($A$4="All Sections","&lt;&gt;",$A$4)),0)</f>
        <v>5.6773641570051687</v>
      </c>
      <c r="V25" s="19">
        <v>1</v>
      </c>
      <c r="W25" s="20" t="s">
        <v>33</v>
      </c>
      <c r="X25" s="21">
        <v>824500</v>
      </c>
      <c r="BA25">
        <v>24</v>
      </c>
      <c r="BB25" s="12" t="s">
        <v>86</v>
      </c>
      <c r="BC25">
        <v>2010299</v>
      </c>
      <c r="BD25" t="s">
        <v>68</v>
      </c>
      <c r="BE25" t="s">
        <v>34</v>
      </c>
      <c r="BF25" t="s">
        <v>64</v>
      </c>
      <c r="BG25">
        <f>'[1]Expense Master June-26'!G30</f>
        <v>0</v>
      </c>
      <c r="BH25">
        <f>'[1]Expense Master June-26'!H30</f>
        <v>0</v>
      </c>
      <c r="BI25">
        <f>'[1]Expense Master June-26'!I30</f>
        <v>0</v>
      </c>
      <c r="BJ25">
        <f>'[1]Expense Master June-26'!J30</f>
        <v>0</v>
      </c>
      <c r="BK25">
        <f>'[1]Expense Master June-26'!K30</f>
        <v>0</v>
      </c>
      <c r="BL25">
        <f>'[1]Expense Master June-26'!L30</f>
        <v>450</v>
      </c>
      <c r="BM25">
        <f>'[1]Expense Master June-26'!M30</f>
        <v>0</v>
      </c>
      <c r="BN25">
        <f>'[1]Expense Master June-26'!N30</f>
        <v>0</v>
      </c>
      <c r="BO25">
        <f>'[1]Expense Master June-26'!O30</f>
        <v>500</v>
      </c>
      <c r="BP25">
        <f>'[1]Expense Master June-26'!P30</f>
        <v>0</v>
      </c>
      <c r="BQ25">
        <f>SUM(SimpleDashData8[[#This Row],[Convayance]:[Misc]])</f>
        <v>950</v>
      </c>
      <c r="BR25">
        <f>'[1]Expense Master June-26'!R30</f>
        <v>517</v>
      </c>
      <c r="BS25">
        <f>'[1]Expense Master June-26'!S30</f>
        <v>0</v>
      </c>
      <c r="BT25">
        <f>'[1]Expense Master June-26'!T30</f>
        <v>0</v>
      </c>
      <c r="BU25">
        <f>SUM(SimpleDashData8[[#This Row],[Male]:[Child]])</f>
        <v>517</v>
      </c>
      <c r="BV25">
        <f>'[1]Expense Master June-26'!V30</f>
        <v>517</v>
      </c>
      <c r="BW25">
        <f>'[1]Expense Master June-26'!W30</f>
        <v>0</v>
      </c>
      <c r="BZ25">
        <f>SimpleDashData8[[#This Row],[Total Expense]]/SimpleDashData8[[#This Row],[Total Patients]]</f>
        <v>1.8375241779497098</v>
      </c>
      <c r="CA25">
        <v>0</v>
      </c>
    </row>
    <row r="26" spans="1:79" ht="27.6" x14ac:dyDescent="0.3">
      <c r="A26">
        <v>15</v>
      </c>
      <c r="B26" t="str">
        <v>QCNM Attock, District Jail</v>
      </c>
      <c r="C26" t="str">
        <v>Trust Act</v>
      </c>
      <c r="D26" t="str">
        <v>South &amp; North Punjab Region</v>
      </c>
      <c r="E26" t="str">
        <v>Prison</v>
      </c>
      <c r="F26" s="2">
        <v>6710</v>
      </c>
      <c r="G26" s="2">
        <v>2765</v>
      </c>
      <c r="H26" s="13">
        <v>2.4267631103074141</v>
      </c>
      <c r="I26" s="13"/>
      <c r="J26" s="19">
        <v>2</v>
      </c>
      <c r="K26" s="20" t="str">
        <v>Central Punjab Region</v>
      </c>
      <c r="L26" s="21">
        <v>57272</v>
      </c>
      <c r="M26" s="21">
        <v>34</v>
      </c>
      <c r="N26" s="22">
        <v>1684.4705882352941</v>
      </c>
      <c r="P26" s="19">
        <v>2</v>
      </c>
      <c r="Q26" s="20" t="str">
        <v>South &amp; North Punjab Region</v>
      </c>
      <c r="R26" s="21">
        <v>281567</v>
      </c>
      <c r="S26" s="21">
        <v>36</v>
      </c>
      <c r="T26" s="23">
        <v>3.64823332771868</v>
      </c>
      <c r="V26" s="19">
        <v>2</v>
      </c>
      <c r="W26" s="20" t="s">
        <v>87</v>
      </c>
      <c r="X26" s="21">
        <v>17905</v>
      </c>
      <c r="BA26">
        <v>25</v>
      </c>
      <c r="BB26" s="12" t="s">
        <v>88</v>
      </c>
      <c r="BC26">
        <v>2010295</v>
      </c>
      <c r="BD26" t="s">
        <v>33</v>
      </c>
      <c r="BE26" t="s">
        <v>34</v>
      </c>
      <c r="BF26" t="s">
        <v>64</v>
      </c>
      <c r="BG26">
        <f>'[1]Expense Master June-26'!G31</f>
        <v>0</v>
      </c>
      <c r="BH26">
        <f>'[1]Expense Master June-26'!H31</f>
        <v>0</v>
      </c>
      <c r="BI26">
        <f>'[1]Expense Master June-26'!I31</f>
        <v>0</v>
      </c>
      <c r="BJ26">
        <f>'[1]Expense Master June-26'!J31</f>
        <v>2800</v>
      </c>
      <c r="BK26">
        <f>'[1]Expense Master June-26'!K31</f>
        <v>0</v>
      </c>
      <c r="BL26">
        <f>'[1]Expense Master June-26'!L31</f>
        <v>525</v>
      </c>
      <c r="BM26">
        <f>'[1]Expense Master June-26'!M31</f>
        <v>0</v>
      </c>
      <c r="BN26">
        <f>'[1]Expense Master June-26'!N31</f>
        <v>0</v>
      </c>
      <c r="BO26">
        <f>'[1]Expense Master June-26'!O31</f>
        <v>810</v>
      </c>
      <c r="BP26">
        <f>'[1]Expense Master June-26'!P31</f>
        <v>500</v>
      </c>
      <c r="BQ26">
        <f>SUM(SimpleDashData8[[#This Row],[Convayance]:[Misc]])</f>
        <v>4635</v>
      </c>
      <c r="BR26">
        <f>'[1]Expense Master June-26'!R31</f>
        <v>1207</v>
      </c>
      <c r="BS26">
        <f>'[1]Expense Master June-26'!S31</f>
        <v>0</v>
      </c>
      <c r="BT26">
        <f>'[1]Expense Master June-26'!T31</f>
        <v>0</v>
      </c>
      <c r="BU26">
        <f>SUM(SimpleDashData8[[#This Row],[Male]:[Child]])</f>
        <v>1207</v>
      </c>
      <c r="BV26">
        <f>'[1]Expense Master June-26'!V31</f>
        <v>1207</v>
      </c>
      <c r="BW26">
        <f>'[1]Expense Master June-26'!W31</f>
        <v>0</v>
      </c>
      <c r="BZ26">
        <f>SimpleDashData8[[#This Row],[Total Expense]]/SimpleDashData8[[#This Row],[Total Patients]]</f>
        <v>3.8400994200497101</v>
      </c>
      <c r="CA26">
        <v>0</v>
      </c>
    </row>
    <row r="27" spans="1:79" ht="41.4" x14ac:dyDescent="0.3">
      <c r="A27">
        <v>16</v>
      </c>
      <c r="B27" t="str">
        <v>QCNM Mandibhaudin, District Jail</v>
      </c>
      <c r="C27" t="str">
        <v>Trust Act</v>
      </c>
      <c r="D27" t="str">
        <v>South &amp; North Punjab Region</v>
      </c>
      <c r="E27" t="str">
        <v>Prison</v>
      </c>
      <c r="F27" s="2">
        <v>9610</v>
      </c>
      <c r="G27" s="2">
        <v>2757</v>
      </c>
      <c r="H27" s="13">
        <v>3.4856728327892639</v>
      </c>
      <c r="I27" s="13"/>
      <c r="J27" s="19">
        <v>3</v>
      </c>
      <c r="K27" s="20" t="str">
        <v>Capital Region</v>
      </c>
      <c r="L27" s="21">
        <v>52988</v>
      </c>
      <c r="M27" s="21">
        <v>34</v>
      </c>
      <c r="N27" s="22">
        <v>1558.4705882352941</v>
      </c>
      <c r="P27" s="19">
        <v>3</v>
      </c>
      <c r="Q27" s="20" t="str">
        <v>Sindh, Balochistan &amp; AJK Region</v>
      </c>
      <c r="R27" s="21">
        <v>131398</v>
      </c>
      <c r="S27" s="21">
        <v>32</v>
      </c>
      <c r="T27" s="23">
        <v>3.1250267557733014</v>
      </c>
      <c r="V27" s="19">
        <v>3</v>
      </c>
      <c r="W27" s="20" t="s">
        <v>89</v>
      </c>
      <c r="X27" s="21">
        <v>8900</v>
      </c>
      <c r="BA27">
        <v>26</v>
      </c>
      <c r="BB27" s="12" t="s">
        <v>90</v>
      </c>
      <c r="BC27">
        <v>2010294</v>
      </c>
      <c r="BD27" t="s">
        <v>33</v>
      </c>
      <c r="BE27" t="s">
        <v>34</v>
      </c>
      <c r="BF27" t="s">
        <v>64</v>
      </c>
      <c r="BG27">
        <f>'[1]Expense Master June-26'!G32</f>
        <v>500</v>
      </c>
      <c r="BH27">
        <f>'[1]Expense Master June-26'!H32</f>
        <v>0</v>
      </c>
      <c r="BI27">
        <f>'[1]Expense Master June-26'!I32</f>
        <v>0</v>
      </c>
      <c r="BJ27">
        <f>'[1]Expense Master June-26'!J32</f>
        <v>1250</v>
      </c>
      <c r="BK27">
        <f>'[1]Expense Master June-26'!K32</f>
        <v>0</v>
      </c>
      <c r="BL27">
        <f>'[1]Expense Master June-26'!L32</f>
        <v>0</v>
      </c>
      <c r="BM27">
        <f>'[1]Expense Master June-26'!M32</f>
        <v>0</v>
      </c>
      <c r="BN27">
        <f>'[1]Expense Master June-26'!N32</f>
        <v>0</v>
      </c>
      <c r="BO27">
        <f>'[1]Expense Master June-26'!O32</f>
        <v>0</v>
      </c>
      <c r="BP27">
        <f>'[1]Expense Master June-26'!P32</f>
        <v>0</v>
      </c>
      <c r="BQ27">
        <f>SUM(SimpleDashData8[[#This Row],[Convayance]:[Misc]])</f>
        <v>1750</v>
      </c>
      <c r="BR27">
        <f>'[1]Expense Master June-26'!R32</f>
        <v>1171</v>
      </c>
      <c r="BS27">
        <f>'[1]Expense Master June-26'!S32</f>
        <v>0</v>
      </c>
      <c r="BT27">
        <f>'[1]Expense Master June-26'!T32</f>
        <v>0</v>
      </c>
      <c r="BU27">
        <f>SUM(SimpleDashData8[[#This Row],[Male]:[Child]])</f>
        <v>1171</v>
      </c>
      <c r="BV27">
        <f>'[1]Expense Master June-26'!V32</f>
        <v>1171</v>
      </c>
      <c r="BW27">
        <f>'[1]Expense Master June-26'!W32</f>
        <v>0</v>
      </c>
      <c r="BZ27">
        <f>SimpleDashData8[[#This Row],[Total Expense]]/SimpleDashData8[[#This Row],[Total Patients]]</f>
        <v>1.4944491887275833</v>
      </c>
      <c r="CA27">
        <v>0</v>
      </c>
    </row>
    <row r="28" spans="1:79" ht="31.2" customHeight="1" x14ac:dyDescent="0.3">
      <c r="A28">
        <v>17</v>
      </c>
      <c r="B28" t="str">
        <v>QCNM Sadda, Sub Jail</v>
      </c>
      <c r="C28" t="str">
        <v>Trust Act</v>
      </c>
      <c r="D28" t="str">
        <v>Capital Region</v>
      </c>
      <c r="E28" t="str">
        <v>Prison</v>
      </c>
      <c r="F28" s="2">
        <v>7300</v>
      </c>
      <c r="G28" s="2">
        <v>2741</v>
      </c>
      <c r="H28" s="13">
        <v>2.6632615833637359</v>
      </c>
      <c r="I28" s="13"/>
      <c r="J28" s="19">
        <v>4</v>
      </c>
      <c r="K28" s="20" t="str">
        <v>Sindh, Balochistan &amp; AJK Region</v>
      </c>
      <c r="L28" s="21">
        <v>42047</v>
      </c>
      <c r="M28" s="21">
        <v>32</v>
      </c>
      <c r="N28" s="22">
        <v>1313.96875</v>
      </c>
      <c r="P28" s="19">
        <v>4</v>
      </c>
      <c r="Q28" s="20" t="str">
        <v>Capital Region</v>
      </c>
      <c r="R28" s="21">
        <v>113186</v>
      </c>
      <c r="S28" s="21">
        <v>34</v>
      </c>
      <c r="T28" s="23">
        <v>2.1360685438212426</v>
      </c>
      <c r="V28" s="19"/>
      <c r="W28" s="24" t="s">
        <v>40</v>
      </c>
      <c r="X28" s="25">
        <f>SUM(X25:X27)</f>
        <v>851305</v>
      </c>
      <c r="BA28">
        <v>27</v>
      </c>
      <c r="BB28" s="12" t="s">
        <v>91</v>
      </c>
      <c r="BC28">
        <v>2010409</v>
      </c>
      <c r="BD28" t="s">
        <v>33</v>
      </c>
      <c r="BE28" t="s">
        <v>34</v>
      </c>
      <c r="BF28" t="s">
        <v>64</v>
      </c>
      <c r="BG28">
        <f>'[1]Expense Master June-26'!G33</f>
        <v>0</v>
      </c>
      <c r="BH28">
        <f>'[1]Expense Master June-26'!H33</f>
        <v>0</v>
      </c>
      <c r="BI28">
        <f>'[1]Expense Master June-26'!I33</f>
        <v>0</v>
      </c>
      <c r="BJ28">
        <f>'[1]Expense Master June-26'!J33</f>
        <v>0</v>
      </c>
      <c r="BK28">
        <f>'[1]Expense Master June-26'!K33</f>
        <v>0</v>
      </c>
      <c r="BL28">
        <f>'[1]Expense Master June-26'!L33</f>
        <v>0</v>
      </c>
      <c r="BM28">
        <f>'[1]Expense Master June-26'!M33</f>
        <v>0</v>
      </c>
      <c r="BN28">
        <f>'[1]Expense Master June-26'!N33</f>
        <v>0</v>
      </c>
      <c r="BO28">
        <f>'[1]Expense Master June-26'!O33</f>
        <v>0</v>
      </c>
      <c r="BP28">
        <f>'[1]Expense Master June-26'!P33</f>
        <v>0</v>
      </c>
      <c r="BQ28">
        <f>SUM(SimpleDashData8[[#This Row],[Convayance]:[Misc]])</f>
        <v>0</v>
      </c>
      <c r="BR28">
        <f>'[1]Expense Master June-26'!R33</f>
        <v>1475</v>
      </c>
      <c r="BS28">
        <f>'[1]Expense Master June-26'!S33</f>
        <v>0</v>
      </c>
      <c r="BT28">
        <f>'[1]Expense Master June-26'!T33</f>
        <v>0</v>
      </c>
      <c r="BU28">
        <f>SUM(SimpleDashData8[[#This Row],[Male]:[Child]])</f>
        <v>1475</v>
      </c>
      <c r="BV28">
        <f>'[1]Expense Master June-26'!V33</f>
        <v>1475</v>
      </c>
      <c r="BW28">
        <f>'[1]Expense Master June-26'!W33</f>
        <v>0</v>
      </c>
      <c r="BZ28">
        <f>SimpleDashData8[[#This Row],[Total Expense]]/SimpleDashData8[[#This Row],[Total Patients]]</f>
        <v>0</v>
      </c>
      <c r="CA28">
        <v>0</v>
      </c>
    </row>
    <row r="29" spans="1:79" x14ac:dyDescent="0.3">
      <c r="A29">
        <v>18</v>
      </c>
      <c r="B29" t="str">
        <v>QCNM Lahore, Kot Lakhpat Jail</v>
      </c>
      <c r="C29" t="str">
        <v>Trust Act</v>
      </c>
      <c r="D29" t="str">
        <v>Central Punjab Region</v>
      </c>
      <c r="E29" t="str">
        <v>Prison</v>
      </c>
      <c r="F29" s="2">
        <v>15520</v>
      </c>
      <c r="G29" s="2">
        <v>2703</v>
      </c>
      <c r="H29" s="13">
        <v>5.7417684054753977</v>
      </c>
      <c r="I29" s="13"/>
      <c r="L29" s="26">
        <f>SUM(_xlfn.ANCHORARRAY(L25))</f>
        <v>229486</v>
      </c>
      <c r="M29" s="2">
        <f>SUM(_xlfn.ANCHORARRAY(M25))</f>
        <v>136</v>
      </c>
      <c r="N29" s="2">
        <f>SUM(_xlfn.ANCHORARRAY(N25))</f>
        <v>6700.7710375816996</v>
      </c>
      <c r="R29" s="26">
        <f>SUM(_xlfn.ANCHORARRAY(R25))</f>
        <v>851305</v>
      </c>
      <c r="S29" s="2">
        <f>SUM(_xlfn.ANCHORARRAY(S25))</f>
        <v>136</v>
      </c>
      <c r="T29" s="2"/>
      <c r="BA29">
        <v>28</v>
      </c>
      <c r="BB29" s="12" t="s">
        <v>92</v>
      </c>
      <c r="BC29">
        <v>2010405</v>
      </c>
      <c r="BD29" t="s">
        <v>33</v>
      </c>
      <c r="BE29" t="s">
        <v>34</v>
      </c>
      <c r="BF29" t="s">
        <v>64</v>
      </c>
      <c r="BG29">
        <f>'[1]Expense Master June-26'!G34</f>
        <v>0</v>
      </c>
      <c r="BH29">
        <f>'[1]Expense Master June-26'!H34</f>
        <v>500</v>
      </c>
      <c r="BI29">
        <f>'[1]Expense Master June-26'!I34</f>
        <v>0</v>
      </c>
      <c r="BJ29">
        <f>'[1]Expense Master June-26'!J34</f>
        <v>6300</v>
      </c>
      <c r="BK29">
        <f>'[1]Expense Master June-26'!K34</f>
        <v>0</v>
      </c>
      <c r="BL29">
        <f>'[1]Expense Master June-26'!L34</f>
        <v>500</v>
      </c>
      <c r="BM29">
        <f>'[1]Expense Master June-26'!M34</f>
        <v>0</v>
      </c>
      <c r="BN29">
        <f>'[1]Expense Master June-26'!N34</f>
        <v>0</v>
      </c>
      <c r="BO29">
        <f>'[1]Expense Master June-26'!O34</f>
        <v>0</v>
      </c>
      <c r="BP29">
        <f>'[1]Expense Master June-26'!P34</f>
        <v>0</v>
      </c>
      <c r="BQ29">
        <f>SUM(SimpleDashData8[[#This Row],[Convayance]:[Misc]])</f>
        <v>7300</v>
      </c>
      <c r="BR29">
        <f>'[1]Expense Master June-26'!R34</f>
        <v>2741</v>
      </c>
      <c r="BS29">
        <f>'[1]Expense Master June-26'!S34</f>
        <v>0</v>
      </c>
      <c r="BT29">
        <f>'[1]Expense Master June-26'!T34</f>
        <v>0</v>
      </c>
      <c r="BU29">
        <f>SUM(SimpleDashData8[[#This Row],[Male]:[Child]])</f>
        <v>2741</v>
      </c>
      <c r="BV29">
        <f>'[1]Expense Master June-26'!V34</f>
        <v>2741</v>
      </c>
      <c r="BW29">
        <f>'[1]Expense Master June-26'!W34</f>
        <v>0</v>
      </c>
      <c r="BZ29">
        <f>SimpleDashData8[[#This Row],[Total Expense]]/SimpleDashData8[[#This Row],[Total Patients]]</f>
        <v>2.6632615833637359</v>
      </c>
      <c r="CA29">
        <v>0</v>
      </c>
    </row>
    <row r="30" spans="1:79" x14ac:dyDescent="0.3">
      <c r="A30">
        <v>19</v>
      </c>
      <c r="B30" t="str">
        <v>QCNM Sukkur, Central Jail</v>
      </c>
      <c r="C30" t="str">
        <v>Trust Act</v>
      </c>
      <c r="D30" t="str">
        <v>Sindh, Balochistan &amp; AJK Region</v>
      </c>
      <c r="E30" t="str">
        <v>Prison</v>
      </c>
      <c r="F30" s="2">
        <v>12080</v>
      </c>
      <c r="G30" s="2">
        <v>2585</v>
      </c>
      <c r="H30" s="13">
        <v>4.6731141199226309</v>
      </c>
      <c r="I30" s="13"/>
      <c r="BA30">
        <v>29</v>
      </c>
      <c r="BB30" s="12" t="s">
        <v>93</v>
      </c>
      <c r="BC30">
        <v>2010403</v>
      </c>
      <c r="BD30" t="s">
        <v>33</v>
      </c>
      <c r="BE30" t="s">
        <v>34</v>
      </c>
      <c r="BF30" t="s">
        <v>64</v>
      </c>
      <c r="BG30">
        <f>'[1]Expense Master June-26'!G35</f>
        <v>0</v>
      </c>
      <c r="BH30">
        <f>'[1]Expense Master June-26'!H35</f>
        <v>0</v>
      </c>
      <c r="BI30">
        <f>'[1]Expense Master June-26'!I35</f>
        <v>0</v>
      </c>
      <c r="BJ30">
        <f>'[1]Expense Master June-26'!J35</f>
        <v>0</v>
      </c>
      <c r="BK30">
        <f>'[1]Expense Master June-26'!K35</f>
        <v>0</v>
      </c>
      <c r="BL30">
        <f>'[1]Expense Master June-26'!L35</f>
        <v>630</v>
      </c>
      <c r="BM30">
        <f>'[1]Expense Master June-26'!M35</f>
        <v>0</v>
      </c>
      <c r="BN30">
        <f>'[1]Expense Master June-26'!N35</f>
        <v>0</v>
      </c>
      <c r="BO30">
        <f>'[1]Expense Master June-26'!O35</f>
        <v>0</v>
      </c>
      <c r="BP30">
        <f>'[1]Expense Master June-26'!P35</f>
        <v>0</v>
      </c>
      <c r="BQ30">
        <f>SUM(SimpleDashData8[[#This Row],[Convayance]:[Misc]])</f>
        <v>630</v>
      </c>
      <c r="BR30">
        <f>'[1]Expense Master June-26'!R35</f>
        <v>1342</v>
      </c>
      <c r="BS30">
        <f>'[1]Expense Master June-26'!S35</f>
        <v>0</v>
      </c>
      <c r="BT30">
        <f>'[1]Expense Master June-26'!T35</f>
        <v>0</v>
      </c>
      <c r="BU30">
        <f>SUM(SimpleDashData8[[#This Row],[Male]:[Child]])</f>
        <v>1342</v>
      </c>
      <c r="BV30">
        <f>'[1]Expense Master June-26'!V35</f>
        <v>1342</v>
      </c>
      <c r="BW30">
        <f>'[1]Expense Master June-26'!W35</f>
        <v>0</v>
      </c>
      <c r="BZ30">
        <f>SimpleDashData8[[#This Row],[Total Expense]]/SimpleDashData8[[#This Row],[Total Patients]]</f>
        <v>0.46944858420268254</v>
      </c>
      <c r="CA30">
        <v>0</v>
      </c>
    </row>
    <row r="31" spans="1:79" x14ac:dyDescent="0.3">
      <c r="A31">
        <v>20</v>
      </c>
      <c r="B31" t="str">
        <v>QCNM D.G Khan, Central Jail</v>
      </c>
      <c r="C31" t="str">
        <v>Trust Act</v>
      </c>
      <c r="D31" t="str">
        <v>South &amp; North Punjab Region</v>
      </c>
      <c r="E31" t="str">
        <v>Prison</v>
      </c>
      <c r="F31" s="2">
        <v>4940</v>
      </c>
      <c r="G31" s="2">
        <v>2579</v>
      </c>
      <c r="H31" s="13">
        <v>1.9154711128344319</v>
      </c>
      <c r="I31" s="13"/>
      <c r="BA31">
        <v>30</v>
      </c>
      <c r="BB31" s="12" t="s">
        <v>94</v>
      </c>
      <c r="BC31">
        <v>2010404</v>
      </c>
      <c r="BD31" t="s">
        <v>33</v>
      </c>
      <c r="BE31" t="s">
        <v>34</v>
      </c>
      <c r="BF31" t="s">
        <v>64</v>
      </c>
      <c r="BG31">
        <f>'[1]Expense Master June-26'!G36</f>
        <v>0</v>
      </c>
      <c r="BH31">
        <f>'[1]Expense Master June-26'!H36</f>
        <v>500</v>
      </c>
      <c r="BI31">
        <f>'[1]Expense Master June-26'!I36</f>
        <v>0</v>
      </c>
      <c r="BJ31">
        <f>'[1]Expense Master June-26'!J36</f>
        <v>0</v>
      </c>
      <c r="BK31">
        <f>'[1]Expense Master June-26'!K36</f>
        <v>0</v>
      </c>
      <c r="BL31">
        <f>'[1]Expense Master June-26'!L36</f>
        <v>0</v>
      </c>
      <c r="BM31">
        <f>'[1]Expense Master June-26'!M36</f>
        <v>850</v>
      </c>
      <c r="BN31">
        <f>'[1]Expense Master June-26'!N36</f>
        <v>0</v>
      </c>
      <c r="BO31">
        <f>'[1]Expense Master June-26'!O36</f>
        <v>0</v>
      </c>
      <c r="BP31">
        <f>'[1]Expense Master June-26'!P36</f>
        <v>0</v>
      </c>
      <c r="BQ31">
        <f>SUM(SimpleDashData8[[#This Row],[Convayance]:[Misc]])</f>
        <v>1350</v>
      </c>
      <c r="BR31">
        <f>'[1]Expense Master June-26'!R36</f>
        <v>1202</v>
      </c>
      <c r="BS31">
        <f>'[1]Expense Master June-26'!S36</f>
        <v>0</v>
      </c>
      <c r="BT31">
        <f>'[1]Expense Master June-26'!T36</f>
        <v>0</v>
      </c>
      <c r="BU31">
        <f>SUM(SimpleDashData8[[#This Row],[Male]:[Child]])</f>
        <v>1202</v>
      </c>
      <c r="BV31">
        <f>'[1]Expense Master June-26'!V36</f>
        <v>1202</v>
      </c>
      <c r="BW31">
        <f>'[1]Expense Master June-26'!W36</f>
        <v>0</v>
      </c>
      <c r="BZ31">
        <f>SimpleDashData8[[#This Row],[Total Expense]]/SimpleDashData8[[#This Row],[Total Patients]]</f>
        <v>1.1231281198003327</v>
      </c>
      <c r="CA31">
        <v>0</v>
      </c>
    </row>
    <row r="32" spans="1:79" x14ac:dyDescent="0.3">
      <c r="A32">
        <v>21</v>
      </c>
      <c r="B32" t="str">
        <v>QCNM Bahawalpur EMH</v>
      </c>
      <c r="C32" t="str">
        <v>Trust Act</v>
      </c>
      <c r="D32" t="str">
        <v>South &amp; North Punjab Region</v>
      </c>
      <c r="E32" t="str">
        <v>Public</v>
      </c>
      <c r="F32" s="2">
        <v>20277</v>
      </c>
      <c r="G32" s="2">
        <v>2550</v>
      </c>
      <c r="H32" s="13">
        <v>7.9517647058823533</v>
      </c>
      <c r="I32" s="13"/>
      <c r="BA32">
        <v>31</v>
      </c>
      <c r="BB32" s="12" t="s">
        <v>95</v>
      </c>
      <c r="BC32">
        <v>2010406</v>
      </c>
      <c r="BD32" t="s">
        <v>33</v>
      </c>
      <c r="BE32" t="s">
        <v>34</v>
      </c>
      <c r="BF32" t="s">
        <v>64</v>
      </c>
      <c r="BG32">
        <f>'[1]Expense Master June-26'!G37</f>
        <v>0</v>
      </c>
      <c r="BH32">
        <f>'[1]Expense Master June-26'!H37</f>
        <v>0</v>
      </c>
      <c r="BI32">
        <f>'[1]Expense Master June-26'!I37</f>
        <v>0</v>
      </c>
      <c r="BJ32">
        <f>'[1]Expense Master June-26'!J37</f>
        <v>0</v>
      </c>
      <c r="BK32">
        <f>'[1]Expense Master June-26'!K37</f>
        <v>0</v>
      </c>
      <c r="BL32">
        <f>'[1]Expense Master June-26'!L37</f>
        <v>0</v>
      </c>
      <c r="BM32">
        <f>'[1]Expense Master June-26'!M37</f>
        <v>0</v>
      </c>
      <c r="BN32">
        <f>'[1]Expense Master June-26'!N37</f>
        <v>920</v>
      </c>
      <c r="BO32">
        <f>'[1]Expense Master June-26'!O37</f>
        <v>0</v>
      </c>
      <c r="BP32">
        <f>'[1]Expense Master June-26'!P37</f>
        <v>600</v>
      </c>
      <c r="BQ32">
        <f>SUM(SimpleDashData8[[#This Row],[Convayance]:[Misc]])</f>
        <v>1520</v>
      </c>
      <c r="BR32">
        <f>'[1]Expense Master June-26'!R37</f>
        <v>919</v>
      </c>
      <c r="BS32">
        <f>'[1]Expense Master June-26'!S37</f>
        <v>0</v>
      </c>
      <c r="BT32">
        <f>'[1]Expense Master June-26'!T37</f>
        <v>0</v>
      </c>
      <c r="BU32">
        <f>SUM(SimpleDashData8[[#This Row],[Male]:[Child]])</f>
        <v>919</v>
      </c>
      <c r="BV32">
        <f>'[1]Expense Master June-26'!V37</f>
        <v>919</v>
      </c>
      <c r="BW32">
        <f>'[1]Expense Master June-26'!W37</f>
        <v>0</v>
      </c>
      <c r="BZ32">
        <f>SimpleDashData8[[#This Row],[Total Expense]]/SimpleDashData8[[#This Row],[Total Patients]]</f>
        <v>1.6539717083786725</v>
      </c>
      <c r="CA32">
        <v>0</v>
      </c>
    </row>
    <row r="33" spans="1:79" x14ac:dyDescent="0.3">
      <c r="A33">
        <v>22</v>
      </c>
      <c r="B33" t="str">
        <v>QCNM Central Jail Zohb</v>
      </c>
      <c r="C33" t="str">
        <v>U/S 42</v>
      </c>
      <c r="D33" t="str">
        <v>Sindh, Balochistan &amp; AJK Region</v>
      </c>
      <c r="E33" t="str">
        <v>Prison</v>
      </c>
      <c r="F33" s="2">
        <v>10100</v>
      </c>
      <c r="G33" s="2">
        <v>2527</v>
      </c>
      <c r="H33" s="13">
        <v>3.996834190740008</v>
      </c>
      <c r="I33" s="13"/>
      <c r="BA33">
        <v>32</v>
      </c>
      <c r="BB33" s="12" t="s">
        <v>96</v>
      </c>
      <c r="BC33">
        <v>2010407</v>
      </c>
      <c r="BD33" t="s">
        <v>33</v>
      </c>
      <c r="BE33" t="s">
        <v>34</v>
      </c>
      <c r="BF33" t="s">
        <v>64</v>
      </c>
      <c r="BG33">
        <f>'[1]Expense Master June-26'!G38</f>
        <v>0</v>
      </c>
      <c r="BH33">
        <f>'[1]Expense Master June-26'!H38</f>
        <v>0</v>
      </c>
      <c r="BI33">
        <f>'[1]Expense Master June-26'!I38</f>
        <v>0</v>
      </c>
      <c r="BJ33">
        <f>'[1]Expense Master June-26'!J38</f>
        <v>5500</v>
      </c>
      <c r="BK33">
        <f>'[1]Expense Master June-26'!K38</f>
        <v>0</v>
      </c>
      <c r="BL33">
        <f>'[1]Expense Master June-26'!L38</f>
        <v>0</v>
      </c>
      <c r="BM33">
        <f>'[1]Expense Master June-26'!M38</f>
        <v>0</v>
      </c>
      <c r="BN33">
        <f>'[1]Expense Master June-26'!N38</f>
        <v>0</v>
      </c>
      <c r="BO33">
        <f>'[1]Expense Master June-26'!O38</f>
        <v>0</v>
      </c>
      <c r="BP33">
        <f>'[1]Expense Master June-26'!P38</f>
        <v>0</v>
      </c>
      <c r="BQ33">
        <f>SUM(SimpleDashData8[[#This Row],[Convayance]:[Misc]])</f>
        <v>5500</v>
      </c>
      <c r="BR33">
        <f>'[1]Expense Master June-26'!R38</f>
        <v>1552</v>
      </c>
      <c r="BS33">
        <f>'[1]Expense Master June-26'!S38</f>
        <v>62</v>
      </c>
      <c r="BT33">
        <f>'[1]Expense Master June-26'!T38</f>
        <v>132</v>
      </c>
      <c r="BU33">
        <f>SUM(SimpleDashData8[[#This Row],[Male]:[Child]])</f>
        <v>1746</v>
      </c>
      <c r="BV33">
        <f>'[1]Expense Master June-26'!V38</f>
        <v>1940</v>
      </c>
      <c r="BW33">
        <f>'[1]Expense Master June-26'!W38</f>
        <v>0</v>
      </c>
      <c r="BZ33">
        <f>SimpleDashData8[[#This Row],[Total Expense]]/SimpleDashData8[[#This Row],[Total Patients]]</f>
        <v>3.1500572737686139</v>
      </c>
      <c r="CA33">
        <v>0</v>
      </c>
    </row>
    <row r="34" spans="1:79" x14ac:dyDescent="0.3">
      <c r="A34">
        <v>23</v>
      </c>
      <c r="B34" t="str">
        <v>QCNM Bahawalnagar, District Jail</v>
      </c>
      <c r="C34" t="str">
        <v>Trust Act</v>
      </c>
      <c r="D34" t="str">
        <v>South &amp; North Punjab Region</v>
      </c>
      <c r="E34" t="str">
        <v>Prison</v>
      </c>
      <c r="F34" s="2">
        <v>8670</v>
      </c>
      <c r="G34" s="2">
        <v>2514</v>
      </c>
      <c r="H34" s="13">
        <v>3.4486873508353222</v>
      </c>
      <c r="I34" s="13"/>
      <c r="BA34">
        <v>33</v>
      </c>
      <c r="BB34" s="12" t="s">
        <v>97</v>
      </c>
      <c r="BC34">
        <v>2010408</v>
      </c>
      <c r="BD34" t="s">
        <v>33</v>
      </c>
      <c r="BE34" t="s">
        <v>34</v>
      </c>
      <c r="BF34" t="s">
        <v>64</v>
      </c>
      <c r="BG34">
        <f>'[1]Expense Master June-26'!G39</f>
        <v>0</v>
      </c>
      <c r="BH34">
        <f>'[1]Expense Master June-26'!H39</f>
        <v>0</v>
      </c>
      <c r="BI34">
        <f>'[1]Expense Master June-26'!I39</f>
        <v>0</v>
      </c>
      <c r="BJ34">
        <f>'[1]Expense Master June-26'!J39</f>
        <v>400</v>
      </c>
      <c r="BK34">
        <f>'[1]Expense Master June-26'!K39</f>
        <v>0</v>
      </c>
      <c r="BL34">
        <f>'[1]Expense Master June-26'!L39</f>
        <v>792</v>
      </c>
      <c r="BM34">
        <f>'[1]Expense Master June-26'!M39</f>
        <v>0</v>
      </c>
      <c r="BN34">
        <f>'[1]Expense Master June-26'!N39</f>
        <v>155</v>
      </c>
      <c r="BO34">
        <f>'[1]Expense Master June-26'!O39</f>
        <v>500</v>
      </c>
      <c r="BP34">
        <f>'[1]Expense Master June-26'!P39</f>
        <v>0</v>
      </c>
      <c r="BQ34">
        <f>SUM(SimpleDashData8[[#This Row],[Convayance]:[Misc]])</f>
        <v>1847</v>
      </c>
      <c r="BR34">
        <f>'[1]Expense Master June-26'!R39</f>
        <v>1585</v>
      </c>
      <c r="BS34">
        <f>'[1]Expense Master June-26'!S39</f>
        <v>0</v>
      </c>
      <c r="BT34">
        <f>'[1]Expense Master June-26'!T39</f>
        <v>0</v>
      </c>
      <c r="BU34">
        <f>SUM(SimpleDashData8[[#This Row],[Male]:[Child]])</f>
        <v>1585</v>
      </c>
      <c r="BV34">
        <f>'[1]Expense Master June-26'!V39</f>
        <v>1585</v>
      </c>
      <c r="BW34">
        <f>'[1]Expense Master June-26'!W39</f>
        <v>0</v>
      </c>
      <c r="BZ34">
        <f>SimpleDashData8[[#This Row],[Total Expense]]/SimpleDashData8[[#This Row],[Total Patients]]</f>
        <v>1.1652996845425867</v>
      </c>
      <c r="CA34">
        <v>0</v>
      </c>
    </row>
    <row r="35" spans="1:79" x14ac:dyDescent="0.3">
      <c r="A35">
        <v>24</v>
      </c>
      <c r="B35" t="str">
        <v>QCNM Minchinabad Jamia</v>
      </c>
      <c r="C35" t="str">
        <v>Trust Act</v>
      </c>
      <c r="D35" t="str">
        <v>South &amp; North Punjab Region</v>
      </c>
      <c r="E35" t="str">
        <v>Public</v>
      </c>
      <c r="F35" s="2">
        <v>6665</v>
      </c>
      <c r="G35" s="2">
        <v>2513</v>
      </c>
      <c r="H35" s="13">
        <v>2.6522085157182649</v>
      </c>
      <c r="I35" s="13"/>
      <c r="BA35">
        <v>34</v>
      </c>
      <c r="BB35" s="12" t="s">
        <v>98</v>
      </c>
      <c r="BD35" t="s">
        <v>33</v>
      </c>
      <c r="BE35" t="s">
        <v>34</v>
      </c>
      <c r="BF35" t="s">
        <v>64</v>
      </c>
      <c r="BG35">
        <f>'[1]Expense Master June-26'!G40</f>
        <v>0</v>
      </c>
      <c r="BH35">
        <f>'[1]Expense Master June-26'!H40</f>
        <v>0</v>
      </c>
      <c r="BI35">
        <f>'[1]Expense Master June-26'!I40</f>
        <v>0</v>
      </c>
      <c r="BJ35">
        <f>'[1]Expense Master June-26'!J40</f>
        <v>0</v>
      </c>
      <c r="BK35">
        <f>'[1]Expense Master June-26'!K40</f>
        <v>0</v>
      </c>
      <c r="BL35">
        <f>'[1]Expense Master June-26'!L40</f>
        <v>0</v>
      </c>
      <c r="BM35">
        <f>'[1]Expense Master June-26'!M40</f>
        <v>0</v>
      </c>
      <c r="BN35">
        <f>'[1]Expense Master June-26'!N40</f>
        <v>0</v>
      </c>
      <c r="BO35">
        <f>'[1]Expense Master June-26'!O40</f>
        <v>0</v>
      </c>
      <c r="BP35">
        <f>'[1]Expense Master June-26'!P40</f>
        <v>0</v>
      </c>
      <c r="BQ35">
        <f>SUM(SimpleDashData8[[#This Row],[Convayance]:[Misc]])</f>
        <v>0</v>
      </c>
      <c r="BR35">
        <f>'[1]Expense Master June-26'!R40</f>
        <v>613</v>
      </c>
      <c r="BS35">
        <f>'[1]Expense Master June-26'!S40</f>
        <v>0</v>
      </c>
      <c r="BT35">
        <f>'[1]Expense Master June-26'!T40</f>
        <v>0</v>
      </c>
      <c r="BU35">
        <f>SUM(SimpleDashData8[[#This Row],[Male]:[Child]])</f>
        <v>613</v>
      </c>
      <c r="BV35">
        <f>'[1]Expense Master June-26'!V40</f>
        <v>613</v>
      </c>
      <c r="BW35">
        <f>'[1]Expense Master June-26'!W40</f>
        <v>0</v>
      </c>
      <c r="BZ35">
        <f>SimpleDashData8[[#This Row],[Total Expense]]/SimpleDashData8[[#This Row],[Total Patients]]</f>
        <v>0</v>
      </c>
      <c r="CA35">
        <v>0</v>
      </c>
    </row>
    <row r="36" spans="1:79" x14ac:dyDescent="0.3">
      <c r="A36">
        <v>25</v>
      </c>
      <c r="B36" t="str">
        <v>QCNM Faisalabad, District Jail</v>
      </c>
      <c r="C36" t="str">
        <v>Trust Act</v>
      </c>
      <c r="D36" t="str">
        <v>Central Punjab Region</v>
      </c>
      <c r="E36" t="str">
        <v>Prison</v>
      </c>
      <c r="F36" s="2">
        <v>3620</v>
      </c>
      <c r="G36" s="2">
        <v>2505</v>
      </c>
      <c r="H36" s="13">
        <v>1.4451097804391217</v>
      </c>
      <c r="I36" s="13"/>
      <c r="BA36">
        <v>35</v>
      </c>
      <c r="BB36" s="27" t="s">
        <v>99</v>
      </c>
      <c r="BC36">
        <v>2010252</v>
      </c>
      <c r="BD36" t="s">
        <v>33</v>
      </c>
      <c r="BE36" t="s">
        <v>100</v>
      </c>
      <c r="BF36" t="s">
        <v>35</v>
      </c>
      <c r="BG36">
        <f>'[1]Expense Master June-26'!G41</f>
        <v>7550</v>
      </c>
      <c r="BH36">
        <f>'[1]Expense Master June-26'!H41</f>
        <v>1000</v>
      </c>
      <c r="BI36">
        <f>'[1]Expense Master June-26'!I41</f>
        <v>0</v>
      </c>
      <c r="BJ36">
        <f>'[1]Expense Master June-26'!J41</f>
        <v>9540</v>
      </c>
      <c r="BK36">
        <f>'[1]Expense Master June-26'!K41</f>
        <v>0</v>
      </c>
      <c r="BL36">
        <f>'[1]Expense Master June-26'!L41</f>
        <v>680</v>
      </c>
      <c r="BM36">
        <f>'[1]Expense Master June-26'!M41</f>
        <v>0</v>
      </c>
      <c r="BN36">
        <f>'[1]Expense Master June-26'!N41</f>
        <v>630</v>
      </c>
      <c r="BO36">
        <f>'[1]Expense Master June-26'!O41</f>
        <v>0</v>
      </c>
      <c r="BP36">
        <f>'[1]Expense Master June-26'!P41</f>
        <v>4041</v>
      </c>
      <c r="BQ36">
        <f>SUM(SimpleDashData8[[#This Row],[Convayance]:[Misc]])</f>
        <v>23441</v>
      </c>
      <c r="BR36">
        <f>'[1]Expense Master June-26'!R41</f>
        <v>562</v>
      </c>
      <c r="BS36">
        <f>'[1]Expense Master June-26'!S41</f>
        <v>767</v>
      </c>
      <c r="BT36">
        <f>'[1]Expense Master June-26'!T41</f>
        <v>394</v>
      </c>
      <c r="BU36">
        <f>SUM(SimpleDashData8[[#This Row],[Male]:[Child]])</f>
        <v>1723</v>
      </c>
      <c r="BV36">
        <f>'[1]Expense Master June-26'!V41</f>
        <v>2884</v>
      </c>
      <c r="BW36">
        <f>'[1]Expense Master June-26'!W41</f>
        <v>68.92</v>
      </c>
      <c r="BZ36">
        <f>SimpleDashData8[[#This Row],[Total Expense]]/SimpleDashData8[[#This Row],[Total Patients]]</f>
        <v>13.604759141033082</v>
      </c>
      <c r="CA36">
        <v>0</v>
      </c>
    </row>
    <row r="37" spans="1:79" x14ac:dyDescent="0.3">
      <c r="A37">
        <v>26</v>
      </c>
      <c r="B37" t="str">
        <v>QCNM Mardan, Central Jail</v>
      </c>
      <c r="C37" t="str">
        <v>Trust Act</v>
      </c>
      <c r="D37" t="str">
        <v>Capital Region</v>
      </c>
      <c r="E37" t="str">
        <v>Prison</v>
      </c>
      <c r="F37" s="2">
        <v>6550</v>
      </c>
      <c r="G37" s="2">
        <v>2503</v>
      </c>
      <c r="H37" s="13">
        <v>2.6168597682780663</v>
      </c>
      <c r="I37" s="13"/>
      <c r="BA37">
        <v>36</v>
      </c>
      <c r="BB37" s="27" t="s">
        <v>101</v>
      </c>
      <c r="BC37">
        <v>2010202</v>
      </c>
      <c r="BD37" t="s">
        <v>33</v>
      </c>
      <c r="BE37" t="s">
        <v>100</v>
      </c>
      <c r="BF37" t="s">
        <v>35</v>
      </c>
      <c r="BG37">
        <f>'[1]Expense Master June-26'!G42</f>
        <v>2110</v>
      </c>
      <c r="BH37">
        <f>'[1]Expense Master June-26'!H42</f>
        <v>1000</v>
      </c>
      <c r="BI37">
        <f>'[1]Expense Master June-26'!I42</f>
        <v>750</v>
      </c>
      <c r="BJ37">
        <f>'[1]Expense Master June-26'!J42</f>
        <v>12550</v>
      </c>
      <c r="BK37">
        <f>'[1]Expense Master June-26'!K42</f>
        <v>0</v>
      </c>
      <c r="BL37">
        <f>'[1]Expense Master June-26'!L42</f>
        <v>500</v>
      </c>
      <c r="BM37">
        <f>'[1]Expense Master June-26'!M42</f>
        <v>5400</v>
      </c>
      <c r="BN37">
        <f>'[1]Expense Master June-26'!N42</f>
        <v>3810</v>
      </c>
      <c r="BO37">
        <f>'[1]Expense Master June-26'!O42</f>
        <v>0</v>
      </c>
      <c r="BP37">
        <f>'[1]Expense Master June-26'!P42</f>
        <v>1450</v>
      </c>
      <c r="BQ37">
        <f>SUM(SimpleDashData8[[#This Row],[Convayance]:[Misc]])</f>
        <v>27570</v>
      </c>
      <c r="BR37">
        <f>'[1]Expense Master June-26'!R42</f>
        <v>1277</v>
      </c>
      <c r="BS37">
        <f>'[1]Expense Master June-26'!S42</f>
        <v>666</v>
      </c>
      <c r="BT37">
        <f>'[1]Expense Master June-26'!T42</f>
        <v>156</v>
      </c>
      <c r="BU37">
        <f>SUM(SimpleDashData8[[#This Row],[Male]:[Child]])</f>
        <v>2099</v>
      </c>
      <c r="BV37">
        <f>'[1]Expense Master June-26'!V42</f>
        <v>2921</v>
      </c>
      <c r="BW37">
        <f>'[1]Expense Master June-26'!W42</f>
        <v>83.96</v>
      </c>
      <c r="BZ37">
        <f>SimpleDashData8[[#This Row],[Total Expense]]/SimpleDashData8[[#This Row],[Total Patients]]</f>
        <v>13.134826107670319</v>
      </c>
      <c r="CA37">
        <v>0</v>
      </c>
    </row>
    <row r="38" spans="1:79" x14ac:dyDescent="0.3">
      <c r="A38">
        <v>27</v>
      </c>
      <c r="B38" t="str">
        <v>QCNM Bahawalnagar, Zainab Rafique</v>
      </c>
      <c r="C38" t="str">
        <v>Trust Act</v>
      </c>
      <c r="D38" t="str">
        <v>South &amp; North Punjab Region</v>
      </c>
      <c r="E38" t="str">
        <v>Public</v>
      </c>
      <c r="F38" s="2">
        <v>9240</v>
      </c>
      <c r="G38" s="2">
        <v>2464</v>
      </c>
      <c r="H38" s="13">
        <v>3.75</v>
      </c>
      <c r="I38" s="13"/>
      <c r="BA38">
        <v>37</v>
      </c>
      <c r="BB38" s="27" t="s">
        <v>102</v>
      </c>
      <c r="BC38">
        <v>2010203</v>
      </c>
      <c r="BD38" t="s">
        <v>33</v>
      </c>
      <c r="BE38" t="s">
        <v>100</v>
      </c>
      <c r="BF38" t="s">
        <v>35</v>
      </c>
      <c r="BG38">
        <f>'[1]Expense Master June-26'!G43</f>
        <v>1129</v>
      </c>
      <c r="BH38">
        <f>'[1]Expense Master June-26'!H43</f>
        <v>0</v>
      </c>
      <c r="BI38">
        <f>'[1]Expense Master June-26'!I43</f>
        <v>0</v>
      </c>
      <c r="BJ38">
        <f>'[1]Expense Master June-26'!J43</f>
        <v>19550</v>
      </c>
      <c r="BK38">
        <f>'[1]Expense Master June-26'!K43</f>
        <v>0</v>
      </c>
      <c r="BL38">
        <f>'[1]Expense Master June-26'!L43</f>
        <v>200</v>
      </c>
      <c r="BM38">
        <f>'[1]Expense Master June-26'!M43</f>
        <v>0</v>
      </c>
      <c r="BN38">
        <f>'[1]Expense Master June-26'!N43</f>
        <v>520</v>
      </c>
      <c r="BO38">
        <f>'[1]Expense Master June-26'!O43</f>
        <v>0</v>
      </c>
      <c r="BP38">
        <f>'[1]Expense Master June-26'!P43</f>
        <v>1800</v>
      </c>
      <c r="BQ38">
        <f>SUM(SimpleDashData8[[#This Row],[Convayance]:[Misc]])</f>
        <v>23199</v>
      </c>
      <c r="BR38">
        <f>'[1]Expense Master June-26'!R43</f>
        <v>1219</v>
      </c>
      <c r="BS38">
        <f>'[1]Expense Master June-26'!S43</f>
        <v>948</v>
      </c>
      <c r="BT38">
        <f>'[1]Expense Master June-26'!T43</f>
        <v>242</v>
      </c>
      <c r="BU38">
        <f>SUM(SimpleDashData8[[#This Row],[Male]:[Child]])</f>
        <v>2409</v>
      </c>
      <c r="BV38">
        <f>'[1]Expense Master June-26'!V43</f>
        <v>3599</v>
      </c>
      <c r="BW38">
        <f>'[1]Expense Master June-26'!W43</f>
        <v>96.36</v>
      </c>
      <c r="BZ38">
        <f>SimpleDashData8[[#This Row],[Total Expense]]/SimpleDashData8[[#This Row],[Total Patients]]</f>
        <v>9.6301369863013697</v>
      </c>
      <c r="CA38">
        <v>0</v>
      </c>
    </row>
    <row r="39" spans="1:79" x14ac:dyDescent="0.3">
      <c r="A39">
        <v>28</v>
      </c>
      <c r="B39" t="str">
        <v>QCNM Sahiwal, Central Jail</v>
      </c>
      <c r="C39" t="str">
        <v>Trust Act</v>
      </c>
      <c r="D39" t="str">
        <v>South &amp; North Punjab Region</v>
      </c>
      <c r="E39" t="str">
        <v>Prison</v>
      </c>
      <c r="F39" s="2">
        <v>7730</v>
      </c>
      <c r="G39" s="2">
        <v>2437</v>
      </c>
      <c r="H39" s="13">
        <v>3.1719327041444401</v>
      </c>
      <c r="I39" s="13"/>
      <c r="BA39">
        <v>38</v>
      </c>
      <c r="BB39" s="27" t="s">
        <v>103</v>
      </c>
      <c r="BC39">
        <v>2010244</v>
      </c>
      <c r="BD39" t="s">
        <v>33</v>
      </c>
      <c r="BE39" t="s">
        <v>100</v>
      </c>
      <c r="BF39" t="s">
        <v>35</v>
      </c>
      <c r="BG39">
        <f>'[1]Expense Master June-26'!G44</f>
        <v>2600</v>
      </c>
      <c r="BH39">
        <f>'[1]Expense Master June-26'!H44</f>
        <v>1000</v>
      </c>
      <c r="BI39">
        <f>'[1]Expense Master June-26'!I44</f>
        <v>0</v>
      </c>
      <c r="BJ39">
        <f>'[1]Expense Master June-26'!J44</f>
        <v>10730</v>
      </c>
      <c r="BK39">
        <f>'[1]Expense Master June-26'!K44</f>
        <v>0</v>
      </c>
      <c r="BL39">
        <f>'[1]Expense Master June-26'!L44</f>
        <v>1734</v>
      </c>
      <c r="BM39">
        <f>'[1]Expense Master June-26'!M44</f>
        <v>4900</v>
      </c>
      <c r="BN39">
        <f>'[1]Expense Master June-26'!N44</f>
        <v>980</v>
      </c>
      <c r="BO39">
        <f>'[1]Expense Master June-26'!O44</f>
        <v>3165</v>
      </c>
      <c r="BP39">
        <f>'[1]Expense Master June-26'!P44</f>
        <v>40</v>
      </c>
      <c r="BQ39">
        <f>SUM(SimpleDashData8[[#This Row],[Convayance]:[Misc]])</f>
        <v>25149</v>
      </c>
      <c r="BR39">
        <f>'[1]Expense Master June-26'!R44</f>
        <v>617</v>
      </c>
      <c r="BS39">
        <f>'[1]Expense Master June-26'!S44</f>
        <v>659</v>
      </c>
      <c r="BT39">
        <f>'[1]Expense Master June-26'!T44</f>
        <v>260</v>
      </c>
      <c r="BU39">
        <f>SUM(SimpleDashData8[[#This Row],[Male]:[Child]])</f>
        <v>1536</v>
      </c>
      <c r="BV39">
        <f>'[1]Expense Master June-26'!V44</f>
        <v>2455</v>
      </c>
      <c r="BW39">
        <f>'[1]Expense Master June-26'!W44</f>
        <v>61.44</v>
      </c>
      <c r="BZ39">
        <f>SimpleDashData8[[#This Row],[Total Expense]]/SimpleDashData8[[#This Row],[Total Patients]]</f>
        <v>16.373046875</v>
      </c>
      <c r="CA39">
        <v>0</v>
      </c>
    </row>
    <row r="40" spans="1:79" x14ac:dyDescent="0.3">
      <c r="A40">
        <v>29</v>
      </c>
      <c r="B40" t="str">
        <v>QCNM Lahore, Nonarian</v>
      </c>
      <c r="C40" t="str">
        <v>Trust Act</v>
      </c>
      <c r="D40" t="str">
        <v>Central Punjab Region</v>
      </c>
      <c r="E40" t="str">
        <v>Public</v>
      </c>
      <c r="F40" s="2">
        <v>23199</v>
      </c>
      <c r="G40" s="2">
        <v>2409</v>
      </c>
      <c r="H40" s="13">
        <v>9.6301369863013697</v>
      </c>
      <c r="I40" s="13"/>
      <c r="BA40">
        <v>39</v>
      </c>
      <c r="BB40" s="27" t="s">
        <v>104</v>
      </c>
      <c r="BC40">
        <v>2010269</v>
      </c>
      <c r="BD40" t="s">
        <v>33</v>
      </c>
      <c r="BE40" t="s">
        <v>100</v>
      </c>
      <c r="BF40" t="s">
        <v>35</v>
      </c>
      <c r="BG40">
        <f>'[1]Expense Master June-26'!G45</f>
        <v>1500</v>
      </c>
      <c r="BH40">
        <f>'[1]Expense Master June-26'!H45</f>
        <v>1000</v>
      </c>
      <c r="BI40">
        <f>'[1]Expense Master June-26'!I45</f>
        <v>0</v>
      </c>
      <c r="BJ40">
        <f>'[1]Expense Master June-26'!J45</f>
        <v>5790</v>
      </c>
      <c r="BK40">
        <f>'[1]Expense Master June-26'!K45</f>
        <v>0</v>
      </c>
      <c r="BL40">
        <f>'[1]Expense Master June-26'!L45</f>
        <v>600</v>
      </c>
      <c r="BM40">
        <f>'[1]Expense Master June-26'!M45</f>
        <v>0</v>
      </c>
      <c r="BN40">
        <f>'[1]Expense Master June-26'!N45</f>
        <v>310</v>
      </c>
      <c r="BO40">
        <f>'[1]Expense Master June-26'!O45</f>
        <v>1860</v>
      </c>
      <c r="BP40">
        <f>'[1]Expense Master June-26'!P45</f>
        <v>5000</v>
      </c>
      <c r="BQ40">
        <f>SUM(SimpleDashData8[[#This Row],[Convayance]:[Misc]])</f>
        <v>16060</v>
      </c>
      <c r="BR40">
        <f>'[1]Expense Master June-26'!R45</f>
        <v>573</v>
      </c>
      <c r="BS40">
        <f>'[1]Expense Master June-26'!S45</f>
        <v>363</v>
      </c>
      <c r="BT40">
        <f>'[1]Expense Master June-26'!T45</f>
        <v>428</v>
      </c>
      <c r="BU40">
        <f>SUM(SimpleDashData8[[#This Row],[Male]:[Child]])</f>
        <v>1364</v>
      </c>
      <c r="BV40">
        <f>'[1]Expense Master June-26'!V45</f>
        <v>2155</v>
      </c>
      <c r="BW40">
        <f>'[1]Expense Master June-26'!W45</f>
        <v>54.56</v>
      </c>
      <c r="BZ40">
        <f>SimpleDashData8[[#This Row],[Total Expense]]/SimpleDashData8[[#This Row],[Total Patients]]</f>
        <v>11.774193548387096</v>
      </c>
      <c r="CA40">
        <v>0</v>
      </c>
    </row>
    <row r="41" spans="1:79" x14ac:dyDescent="0.3">
      <c r="A41">
        <v>30</v>
      </c>
      <c r="B41" t="str">
        <v>QCNM Vehari, District Jail</v>
      </c>
      <c r="C41" t="str">
        <v>Trust Act</v>
      </c>
      <c r="D41" t="str">
        <v>South &amp; North Punjab Region</v>
      </c>
      <c r="E41" t="str">
        <v>Prison</v>
      </c>
      <c r="F41" s="2">
        <v>965</v>
      </c>
      <c r="G41" s="2">
        <v>2379</v>
      </c>
      <c r="H41" s="13">
        <v>0.40563261874737283</v>
      </c>
      <c r="I41" s="13"/>
      <c r="BA41">
        <v>40</v>
      </c>
      <c r="BB41" s="27" t="s">
        <v>105</v>
      </c>
      <c r="BC41">
        <v>2010263</v>
      </c>
      <c r="BD41" t="s">
        <v>33</v>
      </c>
      <c r="BE41" t="s">
        <v>100</v>
      </c>
      <c r="BF41" t="s">
        <v>35</v>
      </c>
      <c r="BG41">
        <f>'[1]Expense Master June-26'!G46</f>
        <v>875</v>
      </c>
      <c r="BH41">
        <f>'[1]Expense Master June-26'!H46</f>
        <v>1000</v>
      </c>
      <c r="BI41">
        <f>'[1]Expense Master June-26'!I46</f>
        <v>0</v>
      </c>
      <c r="BJ41">
        <f>'[1]Expense Master June-26'!J46</f>
        <v>2750</v>
      </c>
      <c r="BK41">
        <f>'[1]Expense Master June-26'!K46</f>
        <v>0</v>
      </c>
      <c r="BL41">
        <f>'[1]Expense Master June-26'!L46</f>
        <v>1000</v>
      </c>
      <c r="BM41">
        <f>'[1]Expense Master June-26'!M46</f>
        <v>0</v>
      </c>
      <c r="BN41">
        <f>'[1]Expense Master June-26'!N46</f>
        <v>320</v>
      </c>
      <c r="BO41">
        <f>'[1]Expense Master June-26'!O46</f>
        <v>0</v>
      </c>
      <c r="BP41">
        <f>'[1]Expense Master June-26'!P46</f>
        <v>0</v>
      </c>
      <c r="BQ41">
        <f>SUM(SimpleDashData8[[#This Row],[Convayance]:[Misc]])</f>
        <v>5945</v>
      </c>
      <c r="BR41">
        <f>'[1]Expense Master June-26'!R46</f>
        <v>302</v>
      </c>
      <c r="BS41">
        <f>'[1]Expense Master June-26'!S46</f>
        <v>301</v>
      </c>
      <c r="BT41">
        <f>'[1]Expense Master June-26'!T46</f>
        <v>121</v>
      </c>
      <c r="BU41">
        <f>SUM(SimpleDashData8[[#This Row],[Male]:[Child]])</f>
        <v>724</v>
      </c>
      <c r="BV41">
        <f>'[1]Expense Master June-26'!V46</f>
        <v>1146</v>
      </c>
      <c r="BW41">
        <f>'[1]Expense Master June-26'!W46</f>
        <v>28.96</v>
      </c>
      <c r="BZ41">
        <f>SimpleDashData8[[#This Row],[Total Expense]]/SimpleDashData8[[#This Row],[Total Patients]]</f>
        <v>8.2113259668508292</v>
      </c>
      <c r="CA41">
        <v>0</v>
      </c>
    </row>
    <row r="42" spans="1:79" x14ac:dyDescent="0.3">
      <c r="A42">
        <v>31</v>
      </c>
      <c r="B42" t="str">
        <v>QCNM The Islamia Uni of Bahawalpur</v>
      </c>
      <c r="C42" t="str">
        <v>Trust Act</v>
      </c>
      <c r="D42" t="str">
        <v>South &amp; North Punjab Region</v>
      </c>
      <c r="E42" t="str">
        <v>Public</v>
      </c>
      <c r="F42" s="2">
        <v>27240</v>
      </c>
      <c r="G42" s="2">
        <v>2361</v>
      </c>
      <c r="H42" s="13">
        <v>11.537484116899618</v>
      </c>
      <c r="I42" s="13"/>
      <c r="BA42">
        <v>41</v>
      </c>
      <c r="BB42" s="27" t="s">
        <v>106</v>
      </c>
      <c r="BC42">
        <v>2010206</v>
      </c>
      <c r="BD42" t="s">
        <v>33</v>
      </c>
      <c r="BE42" t="s">
        <v>100</v>
      </c>
      <c r="BF42" t="s">
        <v>35</v>
      </c>
      <c r="BG42">
        <f>'[1]Expense Master June-26'!G47</f>
        <v>0</v>
      </c>
      <c r="BH42">
        <f>'[1]Expense Master June-26'!H47</f>
        <v>0</v>
      </c>
      <c r="BI42">
        <f>'[1]Expense Master June-26'!I47</f>
        <v>0</v>
      </c>
      <c r="BJ42">
        <f>'[1]Expense Master June-26'!J47</f>
        <v>0</v>
      </c>
      <c r="BK42">
        <f>'[1]Expense Master June-26'!K47</f>
        <v>0</v>
      </c>
      <c r="BL42">
        <f>'[1]Expense Master June-26'!L47</f>
        <v>0</v>
      </c>
      <c r="BM42">
        <f>'[1]Expense Master June-26'!M47</f>
        <v>0</v>
      </c>
      <c r="BN42">
        <f>'[1]Expense Master June-26'!N47</f>
        <v>0</v>
      </c>
      <c r="BO42">
        <f>'[1]Expense Master June-26'!O47</f>
        <v>0</v>
      </c>
      <c r="BP42">
        <f>'[1]Expense Master June-26'!P47</f>
        <v>0</v>
      </c>
      <c r="BQ42">
        <f>SUM(SimpleDashData8[[#This Row],[Convayance]:[Misc]])</f>
        <v>0</v>
      </c>
      <c r="BR42">
        <f>'[1]Expense Master June-26'!R47</f>
        <v>0</v>
      </c>
      <c r="BS42">
        <f>'[1]Expense Master June-26'!S47</f>
        <v>0</v>
      </c>
      <c r="BT42">
        <f>'[1]Expense Master June-26'!T47</f>
        <v>0</v>
      </c>
      <c r="BU42">
        <f>SUM(SimpleDashData8[[#This Row],[Male]:[Child]])</f>
        <v>0</v>
      </c>
      <c r="BV42">
        <f>'[1]Expense Master June-26'!V47</f>
        <v>0</v>
      </c>
      <c r="BW42">
        <f>'[1]Expense Master June-26'!W47</f>
        <v>0</v>
      </c>
      <c r="BZ42" t="e">
        <f>SimpleDashData8[[#This Row],[Total Expense]]/SimpleDashData8[[#This Row],[Total Patients]]</f>
        <v>#DIV/0!</v>
      </c>
      <c r="CA42">
        <v>0</v>
      </c>
    </row>
    <row r="43" spans="1:79" x14ac:dyDescent="0.3">
      <c r="A43">
        <v>32</v>
      </c>
      <c r="B43" t="str">
        <v>QCNM Pak Pattan, District Jail</v>
      </c>
      <c r="C43" t="str">
        <v>Trust Act</v>
      </c>
      <c r="D43" t="str">
        <v>South &amp; North Punjab Region</v>
      </c>
      <c r="E43" t="str">
        <v>Prison</v>
      </c>
      <c r="F43" s="2">
        <v>3845</v>
      </c>
      <c r="G43" s="2">
        <v>2313</v>
      </c>
      <c r="H43" s="13">
        <v>1.6623432771292694</v>
      </c>
      <c r="I43" s="13"/>
      <c r="BA43">
        <v>42</v>
      </c>
      <c r="BB43" s="27" t="s">
        <v>107</v>
      </c>
      <c r="BC43">
        <v>2010221</v>
      </c>
      <c r="BD43" t="s">
        <v>33</v>
      </c>
      <c r="BE43" t="s">
        <v>100</v>
      </c>
      <c r="BF43" t="s">
        <v>35</v>
      </c>
      <c r="BG43">
        <f>'[1]Expense Master June-26'!G48</f>
        <v>1000</v>
      </c>
      <c r="BH43">
        <f>'[1]Expense Master June-26'!H48</f>
        <v>460</v>
      </c>
      <c r="BI43">
        <f>'[1]Expense Master June-26'!I48</f>
        <v>3600</v>
      </c>
      <c r="BJ43">
        <f>'[1]Expense Master June-26'!J48</f>
        <v>720</v>
      </c>
      <c r="BK43">
        <f>'[1]Expense Master June-26'!K48</f>
        <v>200</v>
      </c>
      <c r="BL43">
        <f>'[1]Expense Master June-26'!L48</f>
        <v>500</v>
      </c>
      <c r="BM43">
        <f>'[1]Expense Master June-26'!M48</f>
        <v>200</v>
      </c>
      <c r="BN43">
        <f>'[1]Expense Master June-26'!N48</f>
        <v>0</v>
      </c>
      <c r="BO43">
        <f>'[1]Expense Master June-26'!O48</f>
        <v>0</v>
      </c>
      <c r="BP43">
        <f>'[1]Expense Master June-26'!P48</f>
        <v>4800</v>
      </c>
      <c r="BQ43">
        <f>SUM(SimpleDashData8[[#This Row],[Convayance]:[Misc]])</f>
        <v>11480</v>
      </c>
      <c r="BR43">
        <f>'[1]Expense Master June-26'!R48</f>
        <v>778</v>
      </c>
      <c r="BS43">
        <f>'[1]Expense Master June-26'!S48</f>
        <v>126</v>
      </c>
      <c r="BT43">
        <f>'[1]Expense Master June-26'!T48</f>
        <v>54</v>
      </c>
      <c r="BU43">
        <f>SUM(SimpleDashData8[[#This Row],[Male]:[Child]])</f>
        <v>958</v>
      </c>
      <c r="BV43">
        <f>'[1]Expense Master June-26'!V48</f>
        <v>1138</v>
      </c>
      <c r="BW43">
        <f>'[1]Expense Master June-26'!W48</f>
        <v>38.32</v>
      </c>
      <c r="BZ43">
        <f>SimpleDashData8[[#This Row],[Total Expense]]/SimpleDashData8[[#This Row],[Total Patients]]</f>
        <v>11.98329853862213</v>
      </c>
      <c r="CA43">
        <v>0</v>
      </c>
    </row>
    <row r="44" spans="1:79" x14ac:dyDescent="0.3">
      <c r="A44">
        <v>33</v>
      </c>
      <c r="B44" t="str">
        <v>QCNM University of Loralai</v>
      </c>
      <c r="C44" t="str">
        <v>Trust Act</v>
      </c>
      <c r="D44" t="str">
        <v>Sindh, Balochistan &amp; AJK Region</v>
      </c>
      <c r="E44" t="str">
        <v>Public</v>
      </c>
      <c r="F44" s="2">
        <v>4030</v>
      </c>
      <c r="G44" s="2">
        <v>2304</v>
      </c>
      <c r="H44" s="13">
        <v>1.7491319444444444</v>
      </c>
      <c r="I44" s="13"/>
      <c r="BA44">
        <v>43</v>
      </c>
      <c r="BB44" s="27" t="s">
        <v>108</v>
      </c>
      <c r="BC44">
        <v>2010209</v>
      </c>
      <c r="BD44" t="s">
        <v>33</v>
      </c>
      <c r="BE44" t="s">
        <v>100</v>
      </c>
      <c r="BF44" t="s">
        <v>35</v>
      </c>
      <c r="BG44">
        <f>'[1]Expense Master June-26'!G49</f>
        <v>1000</v>
      </c>
      <c r="BH44">
        <f>'[1]Expense Master June-26'!H49</f>
        <v>1000</v>
      </c>
      <c r="BI44">
        <f>'[1]Expense Master June-26'!I49</f>
        <v>0</v>
      </c>
      <c r="BJ44">
        <f>'[1]Expense Master June-26'!J49</f>
        <v>1800</v>
      </c>
      <c r="BK44">
        <f>'[1]Expense Master June-26'!K49</f>
        <v>0</v>
      </c>
      <c r="BL44">
        <f>'[1]Expense Master June-26'!L49</f>
        <v>0</v>
      </c>
      <c r="BM44">
        <f>'[1]Expense Master June-26'!M49</f>
        <v>0</v>
      </c>
      <c r="BN44">
        <f>'[1]Expense Master June-26'!N49</f>
        <v>1050</v>
      </c>
      <c r="BO44">
        <f>'[1]Expense Master June-26'!O49</f>
        <v>600</v>
      </c>
      <c r="BP44">
        <f>'[1]Expense Master June-26'!P49</f>
        <v>0</v>
      </c>
      <c r="BQ44">
        <f>SUM(SimpleDashData8[[#This Row],[Convayance]:[Misc]])</f>
        <v>5450</v>
      </c>
      <c r="BR44">
        <f>'[1]Expense Master June-26'!R49</f>
        <v>979</v>
      </c>
      <c r="BS44">
        <f>'[1]Expense Master June-26'!S49</f>
        <v>695</v>
      </c>
      <c r="BT44">
        <f>'[1]Expense Master June-26'!T49</f>
        <v>256</v>
      </c>
      <c r="BU44">
        <f>SUM(SimpleDashData8[[#This Row],[Male]:[Child]])</f>
        <v>1930</v>
      </c>
      <c r="BV44">
        <f>'[1]Expense Master June-26'!V49</f>
        <v>2881</v>
      </c>
      <c r="BW44">
        <f>'[1]Expense Master June-26'!W49</f>
        <v>77.2</v>
      </c>
      <c r="BZ44">
        <f>SimpleDashData8[[#This Row],[Total Expense]]/SimpleDashData8[[#This Row],[Total Patients]]</f>
        <v>2.8238341968911915</v>
      </c>
      <c r="CA44">
        <v>0</v>
      </c>
    </row>
    <row r="45" spans="1:79" x14ac:dyDescent="0.3">
      <c r="A45">
        <v>34</v>
      </c>
      <c r="B45" t="str">
        <v>QCNM Bannu, USTB University</v>
      </c>
      <c r="C45" t="str">
        <v>Trust Act</v>
      </c>
      <c r="D45" t="str">
        <v>Capital Region</v>
      </c>
      <c r="E45" t="str">
        <v>Public</v>
      </c>
      <c r="F45" s="2">
        <v>12850</v>
      </c>
      <c r="G45" s="2">
        <v>2276</v>
      </c>
      <c r="H45" s="13">
        <v>5.6458699472759228</v>
      </c>
      <c r="I45" s="13"/>
      <c r="BA45">
        <v>44</v>
      </c>
      <c r="BB45" s="27" t="s">
        <v>109</v>
      </c>
      <c r="BC45">
        <v>2010234</v>
      </c>
      <c r="BD45" t="s">
        <v>33</v>
      </c>
      <c r="BE45" t="s">
        <v>100</v>
      </c>
      <c r="BF45" t="s">
        <v>35</v>
      </c>
      <c r="BG45">
        <f>'[1]Expense Master June-26'!G50</f>
        <v>0</v>
      </c>
      <c r="BH45">
        <f>'[1]Expense Master June-26'!H50</f>
        <v>0</v>
      </c>
      <c r="BI45">
        <f>'[1]Expense Master June-26'!I50</f>
        <v>0</v>
      </c>
      <c r="BJ45">
        <f>'[1]Expense Master June-26'!J50</f>
        <v>0</v>
      </c>
      <c r="BK45">
        <f>'[1]Expense Master June-26'!K50</f>
        <v>0</v>
      </c>
      <c r="BL45">
        <f>'[1]Expense Master June-26'!L50</f>
        <v>0</v>
      </c>
      <c r="BM45">
        <f>'[1]Expense Master June-26'!M50</f>
        <v>300</v>
      </c>
      <c r="BN45">
        <f>'[1]Expense Master June-26'!N50</f>
        <v>220</v>
      </c>
      <c r="BO45">
        <f>'[1]Expense Master June-26'!O50</f>
        <v>0</v>
      </c>
      <c r="BP45">
        <f>'[1]Expense Master June-26'!P50</f>
        <v>1000</v>
      </c>
      <c r="BQ45">
        <f>SUM(SimpleDashData8[[#This Row],[Convayance]:[Misc]])</f>
        <v>1520</v>
      </c>
      <c r="BR45">
        <f>'[1]Expense Master June-26'!R50</f>
        <v>331</v>
      </c>
      <c r="BS45">
        <f>'[1]Expense Master June-26'!S50</f>
        <v>309</v>
      </c>
      <c r="BT45">
        <f>'[1]Expense Master June-26'!T50</f>
        <v>262</v>
      </c>
      <c r="BU45">
        <f>SUM(SimpleDashData8[[#This Row],[Male]:[Child]])</f>
        <v>902</v>
      </c>
      <c r="BV45">
        <f>'[1]Expense Master June-26'!V50</f>
        <v>1473</v>
      </c>
      <c r="BW45">
        <f>'[1]Expense Master June-26'!W50</f>
        <v>36.08</v>
      </c>
      <c r="BZ45">
        <f>SimpleDashData8[[#This Row],[Total Expense]]/SimpleDashData8[[#This Row],[Total Patients]]</f>
        <v>1.6851441241685143</v>
      </c>
      <c r="CA45">
        <v>0</v>
      </c>
    </row>
    <row r="46" spans="1:79" x14ac:dyDescent="0.3">
      <c r="A46">
        <v>35</v>
      </c>
      <c r="B46" t="str">
        <v>QCNM Bhakkar, District Jail</v>
      </c>
      <c r="C46" t="str">
        <v>Trust Act</v>
      </c>
      <c r="D46" t="str">
        <v>South &amp; North Punjab Region</v>
      </c>
      <c r="E46" t="str">
        <v>Prison</v>
      </c>
      <c r="F46" s="2">
        <v>10160</v>
      </c>
      <c r="G46" s="2">
        <v>2275</v>
      </c>
      <c r="H46" s="13">
        <v>4.4659340659340661</v>
      </c>
      <c r="I46" s="13"/>
      <c r="BA46">
        <v>45</v>
      </c>
      <c r="BB46" s="27" t="s">
        <v>110</v>
      </c>
      <c r="BD46" t="s">
        <v>33</v>
      </c>
      <c r="BE46" t="s">
        <v>100</v>
      </c>
      <c r="BF46" t="s">
        <v>35</v>
      </c>
      <c r="BG46">
        <f>'[1]Expense Master June-26'!G51</f>
        <v>6731</v>
      </c>
      <c r="BH46">
        <f>'[1]Expense Master June-26'!H51</f>
        <v>0</v>
      </c>
      <c r="BI46">
        <f>'[1]Expense Master June-26'!I51</f>
        <v>0</v>
      </c>
      <c r="BJ46">
        <f>'[1]Expense Master June-26'!J51</f>
        <v>650</v>
      </c>
      <c r="BK46">
        <f>'[1]Expense Master June-26'!K51</f>
        <v>0</v>
      </c>
      <c r="BL46">
        <f>'[1]Expense Master June-26'!L51</f>
        <v>0</v>
      </c>
      <c r="BM46">
        <f>'[1]Expense Master June-26'!M51</f>
        <v>0</v>
      </c>
      <c r="BN46">
        <f>'[1]Expense Master June-26'!N51</f>
        <v>200</v>
      </c>
      <c r="BO46">
        <f>'[1]Expense Master June-26'!O51</f>
        <v>0</v>
      </c>
      <c r="BP46">
        <f>'[1]Expense Master June-26'!P51</f>
        <v>0</v>
      </c>
      <c r="BQ46">
        <f>SUM(SimpleDashData8[[#This Row],[Convayance]:[Misc]])</f>
        <v>7581</v>
      </c>
      <c r="BR46">
        <f>'[1]Expense Master June-26'!R51</f>
        <v>487</v>
      </c>
      <c r="BS46">
        <f>'[1]Expense Master June-26'!S51</f>
        <v>272</v>
      </c>
      <c r="BT46">
        <f>'[1]Expense Master June-26'!T51</f>
        <v>124</v>
      </c>
      <c r="BU46">
        <f>SUM(SimpleDashData8[[#This Row],[Male]:[Child]])</f>
        <v>883</v>
      </c>
      <c r="BV46">
        <f>'[1]Expense Master June-26'!V51</f>
        <v>1279</v>
      </c>
      <c r="BW46">
        <f>'[1]Expense Master June-26'!W51</f>
        <v>35.32</v>
      </c>
      <c r="BZ46">
        <f>SimpleDashData8[[#This Row],[Total Expense]]/SimpleDashData8[[#This Row],[Total Patients]]</f>
        <v>8.5855039637599102</v>
      </c>
      <c r="CA46">
        <v>0</v>
      </c>
    </row>
    <row r="47" spans="1:79" x14ac:dyDescent="0.3">
      <c r="A47">
        <v>36</v>
      </c>
      <c r="B47" t="str">
        <v>QCNM Sahiwal, High Security Prison</v>
      </c>
      <c r="C47" t="str">
        <v>Trust Act</v>
      </c>
      <c r="D47" t="str">
        <v>South &amp; North Punjab Region</v>
      </c>
      <c r="E47" t="str">
        <v>Prison</v>
      </c>
      <c r="F47" s="2">
        <v>7490</v>
      </c>
      <c r="G47" s="2">
        <v>2262</v>
      </c>
      <c r="H47" s="13">
        <v>3.3112290008841732</v>
      </c>
      <c r="I47" s="13"/>
      <c r="BA47">
        <v>46</v>
      </c>
      <c r="BB47" s="27" t="s">
        <v>111</v>
      </c>
      <c r="BD47" t="s">
        <v>33</v>
      </c>
      <c r="BE47" t="s">
        <v>100</v>
      </c>
      <c r="BF47" t="s">
        <v>35</v>
      </c>
      <c r="BG47">
        <f>'[1]Expense Master June-26'!G52</f>
        <v>0</v>
      </c>
      <c r="BH47">
        <f>'[1]Expense Master June-26'!H52</f>
        <v>4600</v>
      </c>
      <c r="BI47">
        <f>'[1]Expense Master June-26'!I52</f>
        <v>0</v>
      </c>
      <c r="BJ47">
        <f>'[1]Expense Master June-26'!J52</f>
        <v>5700</v>
      </c>
      <c r="BK47">
        <f>'[1]Expense Master June-26'!K52</f>
        <v>0</v>
      </c>
      <c r="BL47">
        <f>'[1]Expense Master June-26'!L52</f>
        <v>1290</v>
      </c>
      <c r="BM47">
        <f>'[1]Expense Master June-26'!M52</f>
        <v>0</v>
      </c>
      <c r="BN47">
        <f>'[1]Expense Master June-26'!N52</f>
        <v>1900</v>
      </c>
      <c r="BO47">
        <f>'[1]Expense Master June-26'!O52</f>
        <v>0</v>
      </c>
      <c r="BP47">
        <f>'[1]Expense Master June-26'!P52</f>
        <v>1000</v>
      </c>
      <c r="BQ47">
        <f>SUM(SimpleDashData8[[#This Row],[Convayance]:[Misc]])</f>
        <v>14490</v>
      </c>
      <c r="BR47">
        <f>'[1]Expense Master June-26'!R52</f>
        <v>744</v>
      </c>
      <c r="BS47">
        <f>'[1]Expense Master June-26'!S52</f>
        <v>906</v>
      </c>
      <c r="BT47">
        <f>'[1]Expense Master June-26'!T52</f>
        <v>601</v>
      </c>
      <c r="BU47">
        <f>SUM(SimpleDashData8[[#This Row],[Male]:[Child]])</f>
        <v>2251</v>
      </c>
      <c r="BV47">
        <f>'[1]Expense Master June-26'!V52</f>
        <v>3758</v>
      </c>
      <c r="BW47">
        <f>'[1]Expense Master June-26'!W52</f>
        <v>90.04</v>
      </c>
      <c r="BZ47">
        <f>SimpleDashData8[[#This Row],[Total Expense]]/SimpleDashData8[[#This Row],[Total Patients]]</f>
        <v>6.4371390493114173</v>
      </c>
      <c r="CA47">
        <v>0</v>
      </c>
    </row>
    <row r="48" spans="1:79" x14ac:dyDescent="0.3">
      <c r="A48">
        <v>37</v>
      </c>
      <c r="B48" t="str">
        <v>QCNM Hadi Free Hospital</v>
      </c>
      <c r="C48" t="str">
        <v>Trust Act</v>
      </c>
      <c r="D48" t="str">
        <v>Central Punjab Region</v>
      </c>
      <c r="E48" t="str">
        <v>Public</v>
      </c>
      <c r="F48" s="2">
        <v>14490</v>
      </c>
      <c r="G48" s="2">
        <v>2251</v>
      </c>
      <c r="H48" s="13">
        <v>6.4371390493114173</v>
      </c>
      <c r="I48" s="13"/>
      <c r="BA48">
        <v>47</v>
      </c>
      <c r="BB48" s="27" t="s">
        <v>112</v>
      </c>
      <c r="BD48" t="s">
        <v>33</v>
      </c>
      <c r="BE48" t="s">
        <v>100</v>
      </c>
      <c r="BF48" t="s">
        <v>35</v>
      </c>
      <c r="BG48">
        <f>'[1]Expense Master June-26'!G53</f>
        <v>0</v>
      </c>
      <c r="BH48">
        <f>'[1]Expense Master June-26'!H53</f>
        <v>0</v>
      </c>
      <c r="BI48">
        <f>'[1]Expense Master June-26'!I53</f>
        <v>0</v>
      </c>
      <c r="BJ48">
        <f>'[1]Expense Master June-26'!J53</f>
        <v>0</v>
      </c>
      <c r="BK48">
        <f>'[1]Expense Master June-26'!K53</f>
        <v>0</v>
      </c>
      <c r="BL48">
        <f>'[1]Expense Master June-26'!L53</f>
        <v>0</v>
      </c>
      <c r="BM48">
        <f>'[1]Expense Master June-26'!M53</f>
        <v>0</v>
      </c>
      <c r="BN48">
        <f>'[1]Expense Master June-26'!N53</f>
        <v>0</v>
      </c>
      <c r="BO48">
        <f>'[1]Expense Master June-26'!O53</f>
        <v>0</v>
      </c>
      <c r="BP48">
        <f>'[1]Expense Master June-26'!P53</f>
        <v>0</v>
      </c>
      <c r="BQ48">
        <f>SUM(SimpleDashData8[[#This Row],[Convayance]:[Misc]])</f>
        <v>0</v>
      </c>
      <c r="BR48">
        <f>'[1]Expense Master June-26'!R53</f>
        <v>0</v>
      </c>
      <c r="BS48">
        <f>'[1]Expense Master June-26'!S53</f>
        <v>0</v>
      </c>
      <c r="BT48">
        <f>'[1]Expense Master June-26'!T53</f>
        <v>0</v>
      </c>
      <c r="BU48">
        <f>SUM(SimpleDashData8[[#This Row],[Male]:[Child]])</f>
        <v>0</v>
      </c>
      <c r="BV48">
        <f>'[1]Expense Master June-26'!V53</f>
        <v>0</v>
      </c>
      <c r="BW48">
        <f>'[1]Expense Master June-26'!W53</f>
        <v>0</v>
      </c>
      <c r="BZ48" t="e">
        <f>SimpleDashData8[[#This Row],[Total Expense]]/SimpleDashData8[[#This Row],[Total Patients]]</f>
        <v>#DIV/0!</v>
      </c>
      <c r="CA48">
        <v>0</v>
      </c>
    </row>
    <row r="49" spans="1:79" x14ac:dyDescent="0.3">
      <c r="A49">
        <v>38</v>
      </c>
      <c r="B49" t="str">
        <v>QCNM Multan, Central Jail</v>
      </c>
      <c r="C49" t="str">
        <v>Trust Act</v>
      </c>
      <c r="D49" t="str">
        <v>South &amp; North Punjab Region</v>
      </c>
      <c r="E49" t="str">
        <v>Prison</v>
      </c>
      <c r="F49" s="2">
        <v>3153</v>
      </c>
      <c r="G49" s="2">
        <v>2243</v>
      </c>
      <c r="H49" s="13">
        <v>1.4057066428889879</v>
      </c>
      <c r="I49" s="13"/>
      <c r="BA49">
        <v>48</v>
      </c>
      <c r="BB49" s="27" t="s">
        <v>113</v>
      </c>
      <c r="BD49" t="s">
        <v>33</v>
      </c>
      <c r="BE49" t="s">
        <v>100</v>
      </c>
      <c r="BF49" t="s">
        <v>35</v>
      </c>
      <c r="BG49">
        <f>'[1]Expense Master June-26'!G54</f>
        <v>4158</v>
      </c>
      <c r="BH49">
        <f>'[1]Expense Master June-26'!H54</f>
        <v>0</v>
      </c>
      <c r="BI49">
        <f>'[1]Expense Master June-26'!I54</f>
        <v>0</v>
      </c>
      <c r="BJ49">
        <f>'[1]Expense Master June-26'!J54</f>
        <v>0</v>
      </c>
      <c r="BK49">
        <f>'[1]Expense Master June-26'!K54</f>
        <v>0</v>
      </c>
      <c r="BL49">
        <f>'[1]Expense Master June-26'!L54</f>
        <v>4080</v>
      </c>
      <c r="BM49">
        <f>'[1]Expense Master June-26'!M54</f>
        <v>0</v>
      </c>
      <c r="BN49">
        <f>'[1]Expense Master June-26'!N54</f>
        <v>0</v>
      </c>
      <c r="BO49">
        <f>'[1]Expense Master June-26'!O54</f>
        <v>2050</v>
      </c>
      <c r="BP49">
        <f>'[1]Expense Master June-26'!P54</f>
        <v>0</v>
      </c>
      <c r="BQ49">
        <f>SUM(SimpleDashData8[[#This Row],[Convayance]:[Misc]])</f>
        <v>10288</v>
      </c>
      <c r="BR49">
        <f>'[1]Expense Master June-26'!R54</f>
        <v>33</v>
      </c>
      <c r="BS49">
        <f>'[1]Expense Master June-26'!S54</f>
        <v>14</v>
      </c>
      <c r="BT49">
        <f>'[1]Expense Master June-26'!T54</f>
        <v>0</v>
      </c>
      <c r="BU49">
        <f>SUM(SimpleDashData8[[#This Row],[Male]:[Child]])</f>
        <v>47</v>
      </c>
      <c r="BV49">
        <f>'[1]Expense Master June-26'!V54</f>
        <v>61</v>
      </c>
      <c r="BW49">
        <f>'[1]Expense Master June-26'!W54</f>
        <v>1.88</v>
      </c>
      <c r="BZ49">
        <f>SimpleDashData8[[#This Row],[Total Expense]]/SimpleDashData8[[#This Row],[Total Patients]]</f>
        <v>218.89361702127658</v>
      </c>
      <c r="CA49">
        <v>0</v>
      </c>
    </row>
    <row r="50" spans="1:79" x14ac:dyDescent="0.3">
      <c r="A50">
        <v>39</v>
      </c>
      <c r="B50" t="str">
        <v>QCNM Kasur, District Jail</v>
      </c>
      <c r="C50" t="str">
        <v>Trust Act</v>
      </c>
      <c r="D50" t="str">
        <v>Central Punjab Region</v>
      </c>
      <c r="E50" t="str">
        <v>Prison</v>
      </c>
      <c r="F50" s="2">
        <v>5990</v>
      </c>
      <c r="G50" s="2">
        <v>2214</v>
      </c>
      <c r="H50" s="13">
        <v>2.7055103884372178</v>
      </c>
      <c r="I50" s="13"/>
      <c r="BA50">
        <v>49</v>
      </c>
      <c r="BB50" s="27" t="s">
        <v>114</v>
      </c>
      <c r="BD50" t="s">
        <v>33</v>
      </c>
      <c r="BE50" t="s">
        <v>100</v>
      </c>
      <c r="BF50" t="s">
        <v>35</v>
      </c>
      <c r="BG50">
        <f>'[1]Expense Master June-26'!G55</f>
        <v>0</v>
      </c>
      <c r="BH50">
        <f>'[1]Expense Master June-26'!H55</f>
        <v>5000</v>
      </c>
      <c r="BI50">
        <f>'[1]Expense Master June-26'!I55</f>
        <v>0</v>
      </c>
      <c r="BJ50">
        <f>'[1]Expense Master June-26'!J55</f>
        <v>0</v>
      </c>
      <c r="BK50">
        <f>'[1]Expense Master June-26'!K55</f>
        <v>0</v>
      </c>
      <c r="BL50">
        <f>'[1]Expense Master June-26'!L55</f>
        <v>0</v>
      </c>
      <c r="BM50">
        <f>'[1]Expense Master June-26'!M55</f>
        <v>0</v>
      </c>
      <c r="BN50">
        <f>'[1]Expense Master June-26'!N55</f>
        <v>0</v>
      </c>
      <c r="BO50">
        <f>'[1]Expense Master June-26'!O55</f>
        <v>1000</v>
      </c>
      <c r="BP50">
        <f>'[1]Expense Master June-26'!P55</f>
        <v>0</v>
      </c>
      <c r="BQ50">
        <f>SUM(SimpleDashData8[[#This Row],[Convayance]:[Misc]])</f>
        <v>6000</v>
      </c>
      <c r="BR50">
        <f>'[1]Expense Master June-26'!R55</f>
        <v>655</v>
      </c>
      <c r="BS50">
        <f>'[1]Expense Master June-26'!S55</f>
        <v>471</v>
      </c>
      <c r="BT50">
        <f>'[1]Expense Master June-26'!T55</f>
        <v>158</v>
      </c>
      <c r="BU50">
        <f>SUM(SimpleDashData8[[#This Row],[Male]:[Child]])</f>
        <v>1284</v>
      </c>
      <c r="BV50">
        <f>'[1]Expense Master June-26'!V55</f>
        <v>1913</v>
      </c>
      <c r="BW50">
        <f>'[1]Expense Master June-26'!W55</f>
        <v>51.36</v>
      </c>
      <c r="BZ50">
        <f>SimpleDashData8[[#This Row],[Total Expense]]/SimpleDashData8[[#This Row],[Total Patients]]</f>
        <v>4.6728971962616823</v>
      </c>
      <c r="CA50">
        <v>0</v>
      </c>
    </row>
    <row r="51" spans="1:79" ht="28.8" x14ac:dyDescent="0.3">
      <c r="A51">
        <v>40</v>
      </c>
      <c r="B51" t="str">
        <v>QCNM Bannu, Central Prison</v>
      </c>
      <c r="C51" t="str">
        <v>Trust Act</v>
      </c>
      <c r="D51" t="str">
        <v>Capital Region</v>
      </c>
      <c r="E51" t="str">
        <v>Prison</v>
      </c>
      <c r="F51" s="2">
        <v>0</v>
      </c>
      <c r="G51" s="2">
        <v>2208</v>
      </c>
      <c r="H51" s="13">
        <v>0</v>
      </c>
      <c r="I51" s="13"/>
      <c r="BA51">
        <v>50</v>
      </c>
      <c r="BB51" s="27" t="s">
        <v>115</v>
      </c>
      <c r="BD51" t="s">
        <v>33</v>
      </c>
      <c r="BE51" t="s">
        <v>100</v>
      </c>
      <c r="BF51" t="s">
        <v>35</v>
      </c>
      <c r="BG51">
        <f>'[1]Expense Master June-26'!G56</f>
        <v>0</v>
      </c>
      <c r="BH51">
        <f>'[1]Expense Master June-26'!H56</f>
        <v>0</v>
      </c>
      <c r="BI51">
        <f>'[1]Expense Master June-26'!I56</f>
        <v>0</v>
      </c>
      <c r="BJ51">
        <f>'[1]Expense Master June-26'!J56</f>
        <v>0</v>
      </c>
      <c r="BK51">
        <f>'[1]Expense Master June-26'!K56</f>
        <v>0</v>
      </c>
      <c r="BL51">
        <f>'[1]Expense Master June-26'!L56</f>
        <v>0</v>
      </c>
      <c r="BM51">
        <f>'[1]Expense Master June-26'!M56</f>
        <v>0</v>
      </c>
      <c r="BN51">
        <f>'[1]Expense Master June-26'!N56</f>
        <v>0</v>
      </c>
      <c r="BO51">
        <f>'[1]Expense Master June-26'!O56</f>
        <v>0</v>
      </c>
      <c r="BP51">
        <f>'[1]Expense Master June-26'!P56</f>
        <v>0</v>
      </c>
      <c r="BQ51">
        <f>SUM(SimpleDashData8[[#This Row],[Convayance]:[Misc]])</f>
        <v>0</v>
      </c>
      <c r="BR51">
        <f>'[1]Expense Master June-26'!R56</f>
        <v>0</v>
      </c>
      <c r="BS51">
        <f>'[1]Expense Master June-26'!S56</f>
        <v>0</v>
      </c>
      <c r="BT51">
        <f>'[1]Expense Master June-26'!T56</f>
        <v>0</v>
      </c>
      <c r="BU51">
        <f>SUM(SimpleDashData8[[#This Row],[Male]:[Child]])</f>
        <v>0</v>
      </c>
      <c r="BV51">
        <f>'[1]Expense Master June-26'!V56</f>
        <v>0</v>
      </c>
      <c r="BW51">
        <f>'[1]Expense Master June-26'!W56</f>
        <v>0</v>
      </c>
      <c r="BZ51" t="e">
        <f>SimpleDashData8[[#This Row],[Total Expense]]/SimpleDashData8[[#This Row],[Total Patients]]</f>
        <v>#DIV/0!</v>
      </c>
      <c r="CA51">
        <v>0</v>
      </c>
    </row>
    <row r="52" spans="1:79" x14ac:dyDescent="0.3">
      <c r="A52">
        <v>41</v>
      </c>
      <c r="B52" t="str">
        <v>QCNM SSGT Gilgit</v>
      </c>
      <c r="C52" t="str">
        <v>Trust Act</v>
      </c>
      <c r="D52" t="str">
        <v>Capital Region</v>
      </c>
      <c r="E52" t="str">
        <v>Public</v>
      </c>
      <c r="F52" s="2">
        <v>0</v>
      </c>
      <c r="G52" s="2">
        <v>2164</v>
      </c>
      <c r="H52" s="13">
        <v>0</v>
      </c>
      <c r="I52" s="13"/>
      <c r="BA52">
        <v>51</v>
      </c>
      <c r="BB52" s="27" t="s">
        <v>116</v>
      </c>
      <c r="BD52" t="s">
        <v>33</v>
      </c>
      <c r="BE52" t="s">
        <v>100</v>
      </c>
      <c r="BF52" t="s">
        <v>35</v>
      </c>
      <c r="BG52">
        <f>'[1]Expense Master June-26'!G57</f>
        <v>0</v>
      </c>
      <c r="BH52">
        <f>'[1]Expense Master June-26'!H57</f>
        <v>0</v>
      </c>
      <c r="BI52">
        <f>'[1]Expense Master June-26'!I57</f>
        <v>0</v>
      </c>
      <c r="BJ52">
        <f>'[1]Expense Master June-26'!J57</f>
        <v>0</v>
      </c>
      <c r="BK52">
        <f>'[1]Expense Master June-26'!K57</f>
        <v>0</v>
      </c>
      <c r="BL52">
        <f>'[1]Expense Master June-26'!L57</f>
        <v>0</v>
      </c>
      <c r="BM52">
        <f>'[1]Expense Master June-26'!M57</f>
        <v>0</v>
      </c>
      <c r="BN52">
        <f>'[1]Expense Master June-26'!N57</f>
        <v>0</v>
      </c>
      <c r="BO52">
        <f>'[1]Expense Master June-26'!O57</f>
        <v>0</v>
      </c>
      <c r="BP52">
        <f>'[1]Expense Master June-26'!P57</f>
        <v>0</v>
      </c>
      <c r="BQ52">
        <f>SUM(SimpleDashData8[[#This Row],[Convayance]:[Misc]])</f>
        <v>0</v>
      </c>
      <c r="BR52">
        <f>'[1]Expense Master June-26'!R57</f>
        <v>441</v>
      </c>
      <c r="BS52">
        <f>'[1]Expense Master June-26'!S57</f>
        <v>302</v>
      </c>
      <c r="BT52">
        <f>'[1]Expense Master June-26'!T57</f>
        <v>117</v>
      </c>
      <c r="BU52">
        <f>SUM(SimpleDashData8[[#This Row],[Male]:[Child]])</f>
        <v>860</v>
      </c>
      <c r="BV52">
        <f>'[1]Expense Master June-26'!V57</f>
        <v>1279</v>
      </c>
      <c r="BW52">
        <f>'[1]Expense Master June-26'!W57</f>
        <v>34.4</v>
      </c>
      <c r="BZ52">
        <f>SimpleDashData8[[#This Row],[Total Expense]]/SimpleDashData8[[#This Row],[Total Patients]]</f>
        <v>0</v>
      </c>
      <c r="CA52">
        <v>0</v>
      </c>
    </row>
    <row r="53" spans="1:79" x14ac:dyDescent="0.3">
      <c r="A53">
        <v>42</v>
      </c>
      <c r="B53" t="str">
        <v>QCNM RHQ- Hospital Skardu</v>
      </c>
      <c r="C53" t="str">
        <v>Trust Act</v>
      </c>
      <c r="D53" t="str">
        <v>Capital Region</v>
      </c>
      <c r="E53" t="str">
        <v>Public</v>
      </c>
      <c r="F53" s="2">
        <v>2605</v>
      </c>
      <c r="G53" s="2">
        <v>2147</v>
      </c>
      <c r="H53" s="13">
        <v>1.2133209129017233</v>
      </c>
      <c r="I53" s="13"/>
      <c r="BA53">
        <v>52</v>
      </c>
      <c r="BB53" s="12" t="s">
        <v>117</v>
      </c>
      <c r="BC53">
        <v>2010246</v>
      </c>
      <c r="BD53" t="s">
        <v>33</v>
      </c>
      <c r="BE53" t="s">
        <v>100</v>
      </c>
      <c r="BF53" t="s">
        <v>35</v>
      </c>
      <c r="BG53">
        <f>'[1]Expense Master June-26'!G58</f>
        <v>0</v>
      </c>
      <c r="BH53">
        <f>'[1]Expense Master June-26'!H58</f>
        <v>1310</v>
      </c>
      <c r="BI53">
        <f>'[1]Expense Master June-26'!I58</f>
        <v>0</v>
      </c>
      <c r="BJ53">
        <f>'[1]Expense Master June-26'!J58</f>
        <v>1780</v>
      </c>
      <c r="BK53">
        <f>'[1]Expense Master June-26'!K58</f>
        <v>0</v>
      </c>
      <c r="BL53">
        <f>'[1]Expense Master June-26'!L58</f>
        <v>580</v>
      </c>
      <c r="BM53">
        <f>'[1]Expense Master June-26'!M58</f>
        <v>3130</v>
      </c>
      <c r="BN53">
        <f>'[1]Expense Master June-26'!N58</f>
        <v>550</v>
      </c>
      <c r="BO53">
        <f>'[1]Expense Master June-26'!O58</f>
        <v>0</v>
      </c>
      <c r="BP53">
        <f>'[1]Expense Master June-26'!P58</f>
        <v>0</v>
      </c>
      <c r="BQ53">
        <f>SUM(SimpleDashData8[[#This Row],[Convayance]:[Misc]])</f>
        <v>7350</v>
      </c>
      <c r="BR53">
        <f>'[1]Expense Master June-26'!R58</f>
        <v>597</v>
      </c>
      <c r="BS53">
        <f>'[1]Expense Master June-26'!S58</f>
        <v>604</v>
      </c>
      <c r="BT53">
        <f>'[1]Expense Master June-26'!T58</f>
        <v>285</v>
      </c>
      <c r="BU53">
        <f>SUM(SimpleDashData8[[#This Row],[Male]:[Child]])</f>
        <v>1486</v>
      </c>
      <c r="BV53">
        <f>'[1]Expense Master June-26'!V58</f>
        <v>2375</v>
      </c>
      <c r="BW53">
        <f>'[1]Expense Master June-26'!W58</f>
        <v>59.44</v>
      </c>
      <c r="BZ53">
        <f>SimpleDashData8[[#This Row],[Total Expense]]/SimpleDashData8[[#This Row],[Total Patients]]</f>
        <v>4.946164199192463</v>
      </c>
      <c r="CA53">
        <v>0</v>
      </c>
    </row>
    <row r="54" spans="1:79" x14ac:dyDescent="0.3">
      <c r="A54">
        <v>43</v>
      </c>
      <c r="B54" t="str">
        <v>QCNM FUUAST Islamabad</v>
      </c>
      <c r="C54" t="str">
        <v>Trust Act</v>
      </c>
      <c r="D54" t="str">
        <v>Capital Region</v>
      </c>
      <c r="E54" t="str">
        <v>Public</v>
      </c>
      <c r="F54" s="2">
        <v>21619</v>
      </c>
      <c r="G54" s="2">
        <v>2107</v>
      </c>
      <c r="H54" s="13">
        <v>10.260560037968675</v>
      </c>
      <c r="I54" s="13"/>
      <c r="BA54">
        <v>53</v>
      </c>
      <c r="BB54" s="12" t="s">
        <v>118</v>
      </c>
      <c r="BD54" t="s">
        <v>33</v>
      </c>
      <c r="BE54" t="s">
        <v>100</v>
      </c>
      <c r="BF54" t="s">
        <v>35</v>
      </c>
      <c r="BG54">
        <f>'[1]Expense Master June-26'!G59</f>
        <v>4673</v>
      </c>
      <c r="BH54">
        <f>'[1]Expense Master June-26'!H59</f>
        <v>1811</v>
      </c>
      <c r="BI54">
        <f>'[1]Expense Master June-26'!I59</f>
        <v>0</v>
      </c>
      <c r="BJ54">
        <f>'[1]Expense Master June-26'!J59</f>
        <v>0</v>
      </c>
      <c r="BK54">
        <f>'[1]Expense Master June-26'!K59</f>
        <v>0</v>
      </c>
      <c r="BL54">
        <f>'[1]Expense Master June-26'!L59</f>
        <v>0</v>
      </c>
      <c r="BM54">
        <f>'[1]Expense Master June-26'!M59</f>
        <v>0</v>
      </c>
      <c r="BN54">
        <f>'[1]Expense Master June-26'!N59</f>
        <v>0</v>
      </c>
      <c r="BO54">
        <f>'[1]Expense Master June-26'!O59</f>
        <v>0</v>
      </c>
      <c r="BP54">
        <f>'[1]Expense Master June-26'!P59</f>
        <v>0</v>
      </c>
      <c r="BQ54">
        <f>SUM(SimpleDashData8[[#This Row],[Convayance]:[Misc]])</f>
        <v>6484</v>
      </c>
      <c r="BR54">
        <f>'[1]Expense Master June-26'!R59</f>
        <v>175</v>
      </c>
      <c r="BS54">
        <f>'[1]Expense Master June-26'!S59</f>
        <v>25</v>
      </c>
      <c r="BT54">
        <f>'[1]Expense Master June-26'!T59</f>
        <v>5</v>
      </c>
      <c r="BU54">
        <f>SUM(SimpleDashData8[[#This Row],[Male]:[Child]])</f>
        <v>205</v>
      </c>
      <c r="BV54">
        <f>'[1]Expense Master June-26'!V59</f>
        <v>235</v>
      </c>
      <c r="BW54">
        <f>'[1]Expense Master June-26'!W59</f>
        <v>8.1999999999999993</v>
      </c>
      <c r="BZ54">
        <f>SimpleDashData8[[#This Row],[Total Expense]]/SimpleDashData8[[#This Row],[Total Patients]]</f>
        <v>31.629268292682926</v>
      </c>
      <c r="CA54">
        <v>0</v>
      </c>
    </row>
    <row r="55" spans="1:79" x14ac:dyDescent="0.3">
      <c r="A55">
        <v>44</v>
      </c>
      <c r="B55" t="str">
        <v>QCNM Lahore, Chauburji</v>
      </c>
      <c r="C55" t="str">
        <v>Trust Act</v>
      </c>
      <c r="D55" t="str">
        <v>Central Punjab Region</v>
      </c>
      <c r="E55" t="str">
        <v>Public</v>
      </c>
      <c r="F55" s="2">
        <v>27570</v>
      </c>
      <c r="G55" s="2">
        <v>2099</v>
      </c>
      <c r="H55" s="13">
        <v>13.134826107670319</v>
      </c>
      <c r="I55" s="13"/>
      <c r="BA55">
        <v>54</v>
      </c>
      <c r="BB55" s="27" t="s">
        <v>119</v>
      </c>
      <c r="BC55">
        <v>2010227</v>
      </c>
      <c r="BD55" t="s">
        <v>33</v>
      </c>
      <c r="BE55" t="s">
        <v>100</v>
      </c>
      <c r="BF55" t="s">
        <v>64</v>
      </c>
      <c r="BG55">
        <f>'[1]Expense Master June-26'!G60</f>
        <v>0</v>
      </c>
      <c r="BH55">
        <f>'[1]Expense Master June-26'!H60</f>
        <v>0</v>
      </c>
      <c r="BI55">
        <f>'[1]Expense Master June-26'!I60</f>
        <v>0</v>
      </c>
      <c r="BJ55">
        <f>'[1]Expense Master June-26'!J60</f>
        <v>0</v>
      </c>
      <c r="BK55">
        <f>'[1]Expense Master June-26'!K60</f>
        <v>460</v>
      </c>
      <c r="BL55">
        <f>'[1]Expense Master June-26'!L60</f>
        <v>1100</v>
      </c>
      <c r="BM55">
        <f>'[1]Expense Master June-26'!M60</f>
        <v>0</v>
      </c>
      <c r="BN55">
        <f>'[1]Expense Master June-26'!N60</f>
        <v>0</v>
      </c>
      <c r="BO55">
        <f>'[1]Expense Master June-26'!O60</f>
        <v>0</v>
      </c>
      <c r="BP55">
        <f>'[1]Expense Master June-26'!P60</f>
        <v>0</v>
      </c>
      <c r="BQ55">
        <f>SUM(SimpleDashData8[[#This Row],[Convayance]:[Misc]])</f>
        <v>1560</v>
      </c>
      <c r="BR55">
        <f>'[1]Expense Master June-26'!R60</f>
        <v>3682</v>
      </c>
      <c r="BS55">
        <f>'[1]Expense Master June-26'!S60</f>
        <v>0</v>
      </c>
      <c r="BT55">
        <f>'[1]Expense Master June-26'!T60</f>
        <v>0</v>
      </c>
      <c r="BU55">
        <f>SUM(SimpleDashData8[[#This Row],[Male]:[Child]])</f>
        <v>3682</v>
      </c>
      <c r="BV55">
        <f>'[1]Expense Master June-26'!V60</f>
        <v>3682</v>
      </c>
      <c r="BW55">
        <f>'[1]Expense Master June-26'!W60</f>
        <v>147.28</v>
      </c>
      <c r="BZ55">
        <f>SimpleDashData8[[#This Row],[Total Expense]]/SimpleDashData8[[#This Row],[Total Patients]]</f>
        <v>0.42368278109722979</v>
      </c>
      <c r="CA55">
        <v>0</v>
      </c>
    </row>
    <row r="56" spans="1:79" x14ac:dyDescent="0.3">
      <c r="A56">
        <v>45</v>
      </c>
      <c r="B56" t="str">
        <v>QCNM Hattar</v>
      </c>
      <c r="C56" t="str">
        <v>Trust Act</v>
      </c>
      <c r="D56" t="str">
        <v>Capital Region</v>
      </c>
      <c r="E56" t="str">
        <v>Public</v>
      </c>
      <c r="F56" s="2">
        <v>9520</v>
      </c>
      <c r="G56" s="2">
        <v>2092</v>
      </c>
      <c r="H56" s="13">
        <v>4.5506692160611859</v>
      </c>
      <c r="I56" s="13"/>
      <c r="BA56">
        <v>55</v>
      </c>
      <c r="BB56" s="27" t="s">
        <v>120</v>
      </c>
      <c r="BC56">
        <v>2010201</v>
      </c>
      <c r="BD56" t="s">
        <v>33</v>
      </c>
      <c r="BE56" t="s">
        <v>100</v>
      </c>
      <c r="BF56" t="s">
        <v>64</v>
      </c>
      <c r="BG56">
        <f>'[1]Expense Master June-26'!G61</f>
        <v>0</v>
      </c>
      <c r="BH56">
        <f>'[1]Expense Master June-26'!H61</f>
        <v>1000</v>
      </c>
      <c r="BI56">
        <f>'[1]Expense Master June-26'!I61</f>
        <v>0</v>
      </c>
      <c r="BJ56">
        <f>'[1]Expense Master June-26'!J61</f>
        <v>1520</v>
      </c>
      <c r="BK56">
        <f>'[1]Expense Master June-26'!K61</f>
        <v>300</v>
      </c>
      <c r="BL56">
        <f>'[1]Expense Master June-26'!L61</f>
        <v>800</v>
      </c>
      <c r="BM56">
        <f>'[1]Expense Master June-26'!M61</f>
        <v>0</v>
      </c>
      <c r="BN56">
        <f>'[1]Expense Master June-26'!N61</f>
        <v>0</v>
      </c>
      <c r="BO56">
        <f>'[1]Expense Master June-26'!O61</f>
        <v>0</v>
      </c>
      <c r="BP56">
        <f>'[1]Expense Master June-26'!P61</f>
        <v>0</v>
      </c>
      <c r="BQ56">
        <f>SUM(SimpleDashData8[[#This Row],[Convayance]:[Misc]])</f>
        <v>3620</v>
      </c>
      <c r="BR56">
        <f>'[1]Expense Master June-26'!R61</f>
        <v>2505</v>
      </c>
      <c r="BS56">
        <f>'[1]Expense Master June-26'!S61</f>
        <v>0</v>
      </c>
      <c r="BT56">
        <f>'[1]Expense Master June-26'!T61</f>
        <v>0</v>
      </c>
      <c r="BU56">
        <f>SUM(SimpleDashData8[[#This Row],[Male]:[Child]])</f>
        <v>2505</v>
      </c>
      <c r="BV56">
        <f>'[1]Expense Master June-26'!V61</f>
        <v>2505</v>
      </c>
      <c r="BW56">
        <f>'[1]Expense Master June-26'!W61</f>
        <v>100.2</v>
      </c>
      <c r="BZ56">
        <f>SimpleDashData8[[#This Row],[Total Expense]]/SimpleDashData8[[#This Row],[Total Patients]]</f>
        <v>1.4451097804391217</v>
      </c>
      <c r="CA56">
        <v>0</v>
      </c>
    </row>
    <row r="57" spans="1:79" x14ac:dyDescent="0.3">
      <c r="A57">
        <v>46</v>
      </c>
      <c r="B57" t="str">
        <v>QCNM Narowal, Disst Jail</v>
      </c>
      <c r="C57" t="str">
        <v>Trust Act</v>
      </c>
      <c r="D57" t="str">
        <v>Central Punjab Region</v>
      </c>
      <c r="E57" t="str">
        <v>Prison</v>
      </c>
      <c r="F57" s="2">
        <v>12375</v>
      </c>
      <c r="G57" s="2">
        <v>2070</v>
      </c>
      <c r="H57" s="13">
        <v>5.9782608695652177</v>
      </c>
      <c r="I57" s="13"/>
      <c r="BA57">
        <v>56</v>
      </c>
      <c r="BB57" s="27" t="s">
        <v>121</v>
      </c>
      <c r="BC57">
        <v>2010230</v>
      </c>
      <c r="BD57" t="s">
        <v>33</v>
      </c>
      <c r="BE57" t="s">
        <v>100</v>
      </c>
      <c r="BF57" t="s">
        <v>64</v>
      </c>
      <c r="BG57">
        <f>'[1]Expense Master June-26'!G62</f>
        <v>0</v>
      </c>
      <c r="BH57">
        <f>'[1]Expense Master June-26'!H62</f>
        <v>0</v>
      </c>
      <c r="BI57">
        <f>'[1]Expense Master June-26'!I62</f>
        <v>0</v>
      </c>
      <c r="BJ57">
        <f>'[1]Expense Master June-26'!J62</f>
        <v>0</v>
      </c>
      <c r="BK57">
        <f>'[1]Expense Master June-26'!K62</f>
        <v>0</v>
      </c>
      <c r="BL57">
        <f>'[1]Expense Master June-26'!L62</f>
        <v>0</v>
      </c>
      <c r="BM57">
        <f>'[1]Expense Master June-26'!M62</f>
        <v>0</v>
      </c>
      <c r="BN57">
        <f>'[1]Expense Master June-26'!N62</f>
        <v>0</v>
      </c>
      <c r="BO57">
        <f>'[1]Expense Master June-26'!O62</f>
        <v>0</v>
      </c>
      <c r="BP57">
        <f>'[1]Expense Master June-26'!P62</f>
        <v>0</v>
      </c>
      <c r="BQ57">
        <f>SUM(SimpleDashData8[[#This Row],[Convayance]:[Misc]])</f>
        <v>0</v>
      </c>
      <c r="BR57">
        <f>'[1]Expense Master June-26'!R62</f>
        <v>0</v>
      </c>
      <c r="BS57">
        <f>'[1]Expense Master June-26'!S62</f>
        <v>0</v>
      </c>
      <c r="BT57">
        <f>'[1]Expense Master June-26'!T62</f>
        <v>0</v>
      </c>
      <c r="BU57">
        <f>SUM(SimpleDashData8[[#This Row],[Male]:[Child]])</f>
        <v>0</v>
      </c>
      <c r="BV57">
        <f>'[1]Expense Master June-26'!V62</f>
        <v>0</v>
      </c>
      <c r="BW57">
        <f>'[1]Expense Master June-26'!W62</f>
        <v>0</v>
      </c>
      <c r="BZ57" t="e">
        <f>SimpleDashData8[[#This Row],[Total Expense]]/SimpleDashData8[[#This Row],[Total Patients]]</f>
        <v>#DIV/0!</v>
      </c>
      <c r="CA57">
        <v>0</v>
      </c>
    </row>
    <row r="58" spans="1:79" x14ac:dyDescent="0.3">
      <c r="A58">
        <v>47</v>
      </c>
      <c r="B58" t="str">
        <v>QCNM Layyah, District Jail</v>
      </c>
      <c r="C58" t="str">
        <v>Trust Act</v>
      </c>
      <c r="D58" t="str">
        <v>South &amp; North Punjab Region</v>
      </c>
      <c r="E58" t="str">
        <v>Prison</v>
      </c>
      <c r="F58" s="2">
        <v>15900</v>
      </c>
      <c r="G58" s="2">
        <v>2062</v>
      </c>
      <c r="H58" s="13">
        <v>7.7109602327837052</v>
      </c>
      <c r="I58" s="13"/>
      <c r="BA58">
        <v>57</v>
      </c>
      <c r="BB58" s="27" t="s">
        <v>122</v>
      </c>
      <c r="BC58">
        <v>2010223</v>
      </c>
      <c r="BD58" t="s">
        <v>33</v>
      </c>
      <c r="BE58" t="s">
        <v>100</v>
      </c>
      <c r="BF58" t="s">
        <v>64</v>
      </c>
      <c r="BG58">
        <f>'[1]Expense Master June-26'!G63</f>
        <v>0</v>
      </c>
      <c r="BH58">
        <f>'[1]Expense Master June-26'!H63</f>
        <v>0</v>
      </c>
      <c r="BI58">
        <f>'[1]Expense Master June-26'!I63</f>
        <v>0</v>
      </c>
      <c r="BJ58">
        <f>'[1]Expense Master June-26'!J63</f>
        <v>16320</v>
      </c>
      <c r="BK58">
        <f>'[1]Expense Master June-26'!K63</f>
        <v>460</v>
      </c>
      <c r="BL58">
        <f>'[1]Expense Master June-26'!L63</f>
        <v>900</v>
      </c>
      <c r="BM58">
        <f>'[1]Expense Master June-26'!M63</f>
        <v>0</v>
      </c>
      <c r="BN58">
        <f>'[1]Expense Master June-26'!N63</f>
        <v>0</v>
      </c>
      <c r="BO58">
        <f>'[1]Expense Master June-26'!O63</f>
        <v>0</v>
      </c>
      <c r="BP58">
        <f>'[1]Expense Master June-26'!P63</f>
        <v>0</v>
      </c>
      <c r="BQ58">
        <f>SUM(SimpleDashData8[[#This Row],[Convayance]:[Misc]])</f>
        <v>17680</v>
      </c>
      <c r="BR58">
        <f>'[1]Expense Master June-26'!R63</f>
        <v>4988</v>
      </c>
      <c r="BS58">
        <f>'[1]Expense Master June-26'!S63</f>
        <v>15</v>
      </c>
      <c r="BT58">
        <f>'[1]Expense Master June-26'!T63</f>
        <v>0</v>
      </c>
      <c r="BU58">
        <f>SUM(SimpleDashData8[[#This Row],[Male]:[Child]])</f>
        <v>5003</v>
      </c>
      <c r="BV58">
        <f>'[1]Expense Master June-26'!V63</f>
        <v>5018</v>
      </c>
      <c r="BW58">
        <f>'[1]Expense Master June-26'!W63</f>
        <v>200.12</v>
      </c>
      <c r="BZ58">
        <f>SimpleDashData8[[#This Row],[Total Expense]]/SimpleDashData8[[#This Row],[Total Patients]]</f>
        <v>3.5338796721966821</v>
      </c>
      <c r="CA58">
        <v>0</v>
      </c>
    </row>
    <row r="59" spans="1:79" x14ac:dyDescent="0.3">
      <c r="A59">
        <v>48</v>
      </c>
      <c r="B59" t="str">
        <v xml:space="preserve">QCNM University of Balochistan </v>
      </c>
      <c r="C59" t="str">
        <v>Trust Act</v>
      </c>
      <c r="D59" t="str">
        <v>Sindh, Balochistan &amp; AJK Region</v>
      </c>
      <c r="E59" t="str">
        <v>Public</v>
      </c>
      <c r="F59" s="2">
        <v>10160</v>
      </c>
      <c r="G59" s="2">
        <v>2045</v>
      </c>
      <c r="H59" s="13">
        <v>4.9682151589242052</v>
      </c>
      <c r="I59" s="13"/>
      <c r="BA59">
        <v>58</v>
      </c>
      <c r="BB59" s="27" t="s">
        <v>123</v>
      </c>
      <c r="BC59">
        <v>2010235</v>
      </c>
      <c r="BD59" t="s">
        <v>33</v>
      </c>
      <c r="BE59" t="s">
        <v>100</v>
      </c>
      <c r="BF59" t="s">
        <v>64</v>
      </c>
      <c r="BG59">
        <f>'[1]Expense Master June-26'!G64</f>
        <v>0</v>
      </c>
      <c r="BH59">
        <f>'[1]Expense Master June-26'!H64</f>
        <v>1000</v>
      </c>
      <c r="BI59">
        <f>'[1]Expense Master June-26'!I64</f>
        <v>0</v>
      </c>
      <c r="BJ59">
        <f>'[1]Expense Master June-26'!J64</f>
        <v>2410</v>
      </c>
      <c r="BK59">
        <f>'[1]Expense Master June-26'!K64</f>
        <v>570</v>
      </c>
      <c r="BL59">
        <f>'[1]Expense Master June-26'!L64</f>
        <v>1090</v>
      </c>
      <c r="BM59">
        <f>'[1]Expense Master June-26'!M64</f>
        <v>0</v>
      </c>
      <c r="BN59">
        <f>'[1]Expense Master June-26'!N64</f>
        <v>0</v>
      </c>
      <c r="BO59">
        <f>'[1]Expense Master June-26'!O64</f>
        <v>0</v>
      </c>
      <c r="BP59">
        <f>'[1]Expense Master June-26'!P64</f>
        <v>0</v>
      </c>
      <c r="BQ59">
        <f>SUM(SimpleDashData8[[#This Row],[Convayance]:[Misc]])</f>
        <v>5070</v>
      </c>
      <c r="BR59">
        <f>'[1]Expense Master June-26'!R64</f>
        <v>3270</v>
      </c>
      <c r="BS59">
        <f>'[1]Expense Master June-26'!S64</f>
        <v>16</v>
      </c>
      <c r="BT59">
        <f>'[1]Expense Master June-26'!T64</f>
        <v>0</v>
      </c>
      <c r="BU59">
        <f>SUM(SimpleDashData8[[#This Row],[Male]:[Child]])</f>
        <v>3286</v>
      </c>
      <c r="BV59">
        <f>'[1]Expense Master June-26'!V64</f>
        <v>3302</v>
      </c>
      <c r="BW59">
        <f>'[1]Expense Master June-26'!W64</f>
        <v>131.44</v>
      </c>
      <c r="BZ59">
        <f>SimpleDashData8[[#This Row],[Total Expense]]/SimpleDashData8[[#This Row],[Total Patients]]</f>
        <v>1.5429093122337187</v>
      </c>
      <c r="CA59">
        <v>0</v>
      </c>
    </row>
    <row r="60" spans="1:79" x14ac:dyDescent="0.3">
      <c r="A60">
        <v>49</v>
      </c>
      <c r="B60" t="str">
        <v>QCNM Muzaffargarh, District Jail</v>
      </c>
      <c r="C60" t="str">
        <v>Trust Act</v>
      </c>
      <c r="D60" t="str">
        <v>South &amp; North Punjab Region</v>
      </c>
      <c r="E60" t="str">
        <v>Prison</v>
      </c>
      <c r="F60" s="2">
        <v>8590</v>
      </c>
      <c r="G60" s="2">
        <v>2041</v>
      </c>
      <c r="H60" s="13">
        <v>4.2087212150906419</v>
      </c>
      <c r="I60" s="13"/>
      <c r="BA60">
        <v>59</v>
      </c>
      <c r="BB60" s="27" t="s">
        <v>124</v>
      </c>
      <c r="BC60">
        <v>2010225</v>
      </c>
      <c r="BD60" t="s">
        <v>33</v>
      </c>
      <c r="BE60" t="s">
        <v>100</v>
      </c>
      <c r="BF60" t="s">
        <v>64</v>
      </c>
      <c r="BG60">
        <f>'[1]Expense Master June-26'!G65</f>
        <v>1170</v>
      </c>
      <c r="BH60">
        <f>'[1]Expense Master June-26'!H65</f>
        <v>1850</v>
      </c>
      <c r="BI60">
        <f>'[1]Expense Master June-26'!I65</f>
        <v>0</v>
      </c>
      <c r="BJ60">
        <f>'[1]Expense Master June-26'!J65</f>
        <v>2350</v>
      </c>
      <c r="BK60">
        <f>'[1]Expense Master June-26'!K65</f>
        <v>370</v>
      </c>
      <c r="BL60">
        <f>'[1]Expense Master June-26'!L65</f>
        <v>250</v>
      </c>
      <c r="BM60">
        <f>'[1]Expense Master June-26'!M65</f>
        <v>0</v>
      </c>
      <c r="BN60">
        <f>'[1]Expense Master June-26'!N65</f>
        <v>0</v>
      </c>
      <c r="BO60">
        <f>'[1]Expense Master June-26'!O65</f>
        <v>0</v>
      </c>
      <c r="BP60">
        <f>'[1]Expense Master June-26'!P65</f>
        <v>0</v>
      </c>
      <c r="BQ60">
        <f>SUM(SimpleDashData8[[#This Row],[Convayance]:[Misc]])</f>
        <v>5990</v>
      </c>
      <c r="BR60">
        <f>'[1]Expense Master June-26'!R65</f>
        <v>2201</v>
      </c>
      <c r="BS60">
        <f>'[1]Expense Master June-26'!S65</f>
        <v>0</v>
      </c>
      <c r="BT60">
        <f>'[1]Expense Master June-26'!T65</f>
        <v>13</v>
      </c>
      <c r="BU60">
        <f>SUM(SimpleDashData8[[#This Row],[Male]:[Child]])</f>
        <v>2214</v>
      </c>
      <c r="BV60">
        <f>'[1]Expense Master June-26'!V65</f>
        <v>2227</v>
      </c>
      <c r="BW60">
        <f>'[1]Expense Master June-26'!W65</f>
        <v>88.56</v>
      </c>
      <c r="BZ60">
        <f>SimpleDashData8[[#This Row],[Total Expense]]/SimpleDashData8[[#This Row],[Total Patients]]</f>
        <v>2.7055103884372178</v>
      </c>
      <c r="CA60">
        <v>0</v>
      </c>
    </row>
    <row r="61" spans="1:79" x14ac:dyDescent="0.3">
      <c r="A61">
        <v>50</v>
      </c>
      <c r="B61" t="str">
        <v>QCNM D.I Khan, Central Jail</v>
      </c>
      <c r="C61" t="str">
        <v>Trust Act</v>
      </c>
      <c r="D61" t="str">
        <v>Capital Region</v>
      </c>
      <c r="E61" t="str">
        <v>Prison</v>
      </c>
      <c r="F61" s="2">
        <v>1625</v>
      </c>
      <c r="G61" s="2">
        <v>2009</v>
      </c>
      <c r="H61" s="13">
        <v>0.80886012941762075</v>
      </c>
      <c r="I61" s="13"/>
      <c r="BA61">
        <v>60</v>
      </c>
      <c r="BB61" s="27" t="s">
        <v>125</v>
      </c>
      <c r="BC61">
        <v>2010207</v>
      </c>
      <c r="BD61" t="s">
        <v>33</v>
      </c>
      <c r="BE61" t="s">
        <v>100</v>
      </c>
      <c r="BF61" t="s">
        <v>64</v>
      </c>
      <c r="BG61">
        <f>'[1]Expense Master June-26'!G66</f>
        <v>0</v>
      </c>
      <c r="BH61">
        <f>'[1]Expense Master June-26'!H66</f>
        <v>1000</v>
      </c>
      <c r="BI61">
        <f>'[1]Expense Master June-26'!I66</f>
        <v>1230</v>
      </c>
      <c r="BJ61">
        <f>'[1]Expense Master June-26'!J66</f>
        <v>13050</v>
      </c>
      <c r="BK61">
        <f>'[1]Expense Master June-26'!K66</f>
        <v>105</v>
      </c>
      <c r="BL61">
        <f>'[1]Expense Master June-26'!L66</f>
        <v>360</v>
      </c>
      <c r="BM61">
        <f>'[1]Expense Master June-26'!M66</f>
        <v>0</v>
      </c>
      <c r="BN61">
        <f>'[1]Expense Master June-26'!N66</f>
        <v>970</v>
      </c>
      <c r="BO61">
        <f>'[1]Expense Master June-26'!O66</f>
        <v>0</v>
      </c>
      <c r="BP61">
        <f>'[1]Expense Master June-26'!P66</f>
        <v>300</v>
      </c>
      <c r="BQ61">
        <f>SUM(SimpleDashData8[[#This Row],[Convayance]:[Misc]])</f>
        <v>17015</v>
      </c>
      <c r="BR61">
        <f>'[1]Expense Master June-26'!R66</f>
        <v>3508</v>
      </c>
      <c r="BS61">
        <f>'[1]Expense Master June-26'!S66</f>
        <v>0</v>
      </c>
      <c r="BT61">
        <f>'[1]Expense Master June-26'!T66</f>
        <v>0</v>
      </c>
      <c r="BU61">
        <f>SUM(SimpleDashData8[[#This Row],[Male]:[Child]])</f>
        <v>3508</v>
      </c>
      <c r="BV61">
        <f>'[1]Expense Master June-26'!V66</f>
        <v>3508</v>
      </c>
      <c r="BW61">
        <f>'[1]Expense Master June-26'!W66</f>
        <v>159.45454545454547</v>
      </c>
      <c r="BZ61">
        <f>SimpleDashData8[[#This Row],[Total Expense]]/SimpleDashData8[[#This Row],[Total Patients]]</f>
        <v>4.850342075256556</v>
      </c>
      <c r="CA61">
        <v>0</v>
      </c>
    </row>
    <row r="62" spans="1:79" x14ac:dyDescent="0.3">
      <c r="A62">
        <v>51</v>
      </c>
      <c r="B62" t="str">
        <v>QCNM University of Sindh</v>
      </c>
      <c r="C62" t="str">
        <v>Trust Act</v>
      </c>
      <c r="D62" t="str">
        <v>Sindh, Balochistan &amp; AJK Region</v>
      </c>
      <c r="E62" t="str">
        <v>Public</v>
      </c>
      <c r="F62" s="2">
        <v>12016</v>
      </c>
      <c r="G62" s="2">
        <v>1998</v>
      </c>
      <c r="H62" s="13">
        <v>6.0140140140140144</v>
      </c>
      <c r="I62" s="13"/>
      <c r="BA62">
        <v>61</v>
      </c>
      <c r="BB62" s="27" t="s">
        <v>126</v>
      </c>
      <c r="BC62">
        <v>2010208</v>
      </c>
      <c r="BD62" t="s">
        <v>33</v>
      </c>
      <c r="BE62" t="s">
        <v>100</v>
      </c>
      <c r="BF62" t="s">
        <v>64</v>
      </c>
      <c r="BG62">
        <f>'[1]Expense Master June-26'!G67</f>
        <v>930</v>
      </c>
      <c r="BH62">
        <f>'[1]Expense Master June-26'!H67</f>
        <v>1000</v>
      </c>
      <c r="BI62">
        <f>'[1]Expense Master June-26'!I67</f>
        <v>780</v>
      </c>
      <c r="BJ62">
        <f>'[1]Expense Master June-26'!J67</f>
        <v>9910</v>
      </c>
      <c r="BK62">
        <f>'[1]Expense Master June-26'!K67</f>
        <v>0</v>
      </c>
      <c r="BL62">
        <f>'[1]Expense Master June-26'!L67</f>
        <v>630</v>
      </c>
      <c r="BM62">
        <f>'[1]Expense Master June-26'!M67</f>
        <v>0</v>
      </c>
      <c r="BN62">
        <f>'[1]Expense Master June-26'!N67</f>
        <v>880</v>
      </c>
      <c r="BO62">
        <f>'[1]Expense Master June-26'!O67</f>
        <v>0</v>
      </c>
      <c r="BP62">
        <f>'[1]Expense Master June-26'!P67</f>
        <v>1390</v>
      </c>
      <c r="BQ62">
        <f>SUM(SimpleDashData8[[#This Row],[Convayance]:[Misc]])</f>
        <v>15520</v>
      </c>
      <c r="BR62">
        <f>'[1]Expense Master June-26'!R67</f>
        <v>2577</v>
      </c>
      <c r="BS62">
        <f>'[1]Expense Master June-26'!S67</f>
        <v>7</v>
      </c>
      <c r="BT62">
        <f>'[1]Expense Master June-26'!T67</f>
        <v>119</v>
      </c>
      <c r="BU62">
        <f>SUM(SimpleDashData8[[#This Row],[Male]:[Child]])</f>
        <v>2703</v>
      </c>
      <c r="BV62">
        <f>'[1]Expense Master June-26'!V67</f>
        <v>2829</v>
      </c>
      <c r="BW62">
        <f>'[1]Expense Master June-26'!W67</f>
        <v>122.86363636363636</v>
      </c>
      <c r="BZ62">
        <f>SimpleDashData8[[#This Row],[Total Expense]]/SimpleDashData8[[#This Row],[Total Patients]]</f>
        <v>5.7417684054753977</v>
      </c>
      <c r="CA62">
        <v>0</v>
      </c>
    </row>
    <row r="63" spans="1:79" x14ac:dyDescent="0.3">
      <c r="A63">
        <v>52</v>
      </c>
      <c r="B63" t="str">
        <v>QCNM PHQ Gilgit</v>
      </c>
      <c r="C63" t="str">
        <v>Trust Act</v>
      </c>
      <c r="D63" t="str">
        <v>Capital Region</v>
      </c>
      <c r="E63" t="str">
        <v>Public</v>
      </c>
      <c r="F63" s="2">
        <v>480</v>
      </c>
      <c r="G63" s="2">
        <v>1992</v>
      </c>
      <c r="H63" s="13">
        <v>0.24096385542168675</v>
      </c>
      <c r="I63" s="13"/>
      <c r="BA63">
        <v>62</v>
      </c>
      <c r="BB63" s="28" t="s">
        <v>127</v>
      </c>
      <c r="BC63">
        <v>2010254</v>
      </c>
      <c r="BD63" t="s">
        <v>33</v>
      </c>
      <c r="BE63" t="s">
        <v>100</v>
      </c>
      <c r="BF63" t="s">
        <v>64</v>
      </c>
      <c r="BG63">
        <f>'[1]Expense Master June-26'!G68</f>
        <v>0</v>
      </c>
      <c r="BH63">
        <f>'[1]Expense Master June-26'!H68</f>
        <v>1260</v>
      </c>
      <c r="BI63">
        <f>'[1]Expense Master June-26'!I68</f>
        <v>400</v>
      </c>
      <c r="BJ63">
        <f>'[1]Expense Master June-26'!J68</f>
        <v>7630</v>
      </c>
      <c r="BK63">
        <f>'[1]Expense Master June-26'!K68</f>
        <v>400</v>
      </c>
      <c r="BL63">
        <f>'[1]Expense Master June-26'!L68</f>
        <v>930</v>
      </c>
      <c r="BM63">
        <f>'[1]Expense Master June-26'!M68</f>
        <v>0</v>
      </c>
      <c r="BN63">
        <f>'[1]Expense Master June-26'!N68</f>
        <v>470</v>
      </c>
      <c r="BO63">
        <f>'[1]Expense Master June-26'!O68</f>
        <v>485</v>
      </c>
      <c r="BP63">
        <f>'[1]Expense Master June-26'!P68</f>
        <v>800</v>
      </c>
      <c r="BQ63">
        <f>SUM(SimpleDashData8[[#This Row],[Convayance]:[Misc]])</f>
        <v>12375</v>
      </c>
      <c r="BR63">
        <f>'[1]Expense Master June-26'!R68</f>
        <v>2070</v>
      </c>
      <c r="BS63">
        <f>'[1]Expense Master June-26'!S68</f>
        <v>0</v>
      </c>
      <c r="BT63">
        <f>'[1]Expense Master June-26'!T68</f>
        <v>0</v>
      </c>
      <c r="BU63">
        <f>SUM(SimpleDashData8[[#This Row],[Male]:[Child]])</f>
        <v>2070</v>
      </c>
      <c r="BV63">
        <f>'[1]Expense Master June-26'!V68</f>
        <v>2070</v>
      </c>
      <c r="BW63">
        <f>'[1]Expense Master June-26'!W68</f>
        <v>94.090909090909093</v>
      </c>
      <c r="BZ63">
        <f>SimpleDashData8[[#This Row],[Total Expense]]/SimpleDashData8[[#This Row],[Total Patients]]</f>
        <v>5.9782608695652177</v>
      </c>
      <c r="CA63">
        <v>0</v>
      </c>
    </row>
    <row r="64" spans="1:79" x14ac:dyDescent="0.3">
      <c r="A64">
        <v>53</v>
      </c>
      <c r="B64" t="str">
        <v>QCNM RAHMA Hospital Janpur</v>
      </c>
      <c r="C64" t="str">
        <v>Trust Act</v>
      </c>
      <c r="D64" t="str">
        <v>South &amp; North Punjab Region</v>
      </c>
      <c r="E64" t="str">
        <v>Public</v>
      </c>
      <c r="F64" s="2">
        <v>5710</v>
      </c>
      <c r="G64" s="2">
        <v>1972</v>
      </c>
      <c r="H64" s="13">
        <v>2.8955375253549698</v>
      </c>
      <c r="I64" s="13"/>
      <c r="BA64">
        <v>63</v>
      </c>
      <c r="BB64" s="27" t="s">
        <v>128</v>
      </c>
      <c r="BC64">
        <v>2010224</v>
      </c>
      <c r="BD64" t="s">
        <v>33</v>
      </c>
      <c r="BE64" t="s">
        <v>100</v>
      </c>
      <c r="BF64" t="s">
        <v>64</v>
      </c>
      <c r="BG64">
        <f>'[1]Expense Master June-26'!G69</f>
        <v>0</v>
      </c>
      <c r="BH64">
        <f>'[1]Expense Master June-26'!H69</f>
        <v>1000</v>
      </c>
      <c r="BI64">
        <f>'[1]Expense Master June-26'!I69</f>
        <v>0</v>
      </c>
      <c r="BJ64">
        <f>'[1]Expense Master June-26'!J69</f>
        <v>13130</v>
      </c>
      <c r="BK64">
        <f>'[1]Expense Master June-26'!K69</f>
        <v>460</v>
      </c>
      <c r="BL64">
        <f>'[1]Expense Master June-26'!L69</f>
        <v>0</v>
      </c>
      <c r="BM64">
        <f>'[1]Expense Master June-26'!M69</f>
        <v>0</v>
      </c>
      <c r="BN64">
        <f>'[1]Expense Master June-26'!N69</f>
        <v>2610</v>
      </c>
      <c r="BO64">
        <f>'[1]Expense Master June-26'!O69</f>
        <v>0</v>
      </c>
      <c r="BP64">
        <f>'[1]Expense Master June-26'!P69</f>
        <v>1550</v>
      </c>
      <c r="BQ64">
        <f>SUM(SimpleDashData8[[#This Row],[Convayance]:[Misc]])</f>
        <v>18750</v>
      </c>
      <c r="BR64">
        <f>'[1]Expense Master June-26'!R69</f>
        <v>3304</v>
      </c>
      <c r="BS64">
        <f>'[1]Expense Master June-26'!S69</f>
        <v>0</v>
      </c>
      <c r="BT64">
        <f>'[1]Expense Master June-26'!T69</f>
        <v>0</v>
      </c>
      <c r="BU64">
        <f>SUM(SimpleDashData8[[#This Row],[Male]:[Child]])</f>
        <v>3304</v>
      </c>
      <c r="BV64">
        <f>'[1]Expense Master June-26'!V69</f>
        <v>3304</v>
      </c>
      <c r="BW64">
        <f>'[1]Expense Master June-26'!W69</f>
        <v>150.18181818181819</v>
      </c>
      <c r="BZ64">
        <f>SimpleDashData8[[#This Row],[Total Expense]]/SimpleDashData8[[#This Row],[Total Patients]]</f>
        <v>5.674939467312349</v>
      </c>
      <c r="CA64">
        <v>0</v>
      </c>
    </row>
    <row r="65" spans="1:79" x14ac:dyDescent="0.3">
      <c r="A65">
        <v>54</v>
      </c>
      <c r="B65" t="str">
        <v>QCNM University of Okara</v>
      </c>
      <c r="C65" t="str">
        <v>Trust Act</v>
      </c>
      <c r="D65" t="str">
        <v>South &amp; North Punjab Region</v>
      </c>
      <c r="E65" t="str">
        <v>Public</v>
      </c>
      <c r="F65" s="2">
        <v>11465</v>
      </c>
      <c r="G65" s="2">
        <v>1933</v>
      </c>
      <c r="H65" s="13">
        <v>5.9311950336264871</v>
      </c>
      <c r="I65" s="13"/>
      <c r="BA65">
        <v>64</v>
      </c>
      <c r="BB65" s="27" t="s">
        <v>129</v>
      </c>
      <c r="BC65">
        <v>2010229</v>
      </c>
      <c r="BD65" t="s">
        <v>33</v>
      </c>
      <c r="BE65" t="s">
        <v>100</v>
      </c>
      <c r="BF65" t="s">
        <v>64</v>
      </c>
      <c r="BG65">
        <f>'[1]Expense Master June-26'!G70</f>
        <v>0</v>
      </c>
      <c r="BH65">
        <f>'[1]Expense Master June-26'!H70</f>
        <v>0</v>
      </c>
      <c r="BI65">
        <f>'[1]Expense Master June-26'!I70</f>
        <v>0</v>
      </c>
      <c r="BJ65">
        <f>'[1]Expense Master June-26'!J70</f>
        <v>19560</v>
      </c>
      <c r="BK65">
        <f>'[1]Expense Master June-26'!K70</f>
        <v>400</v>
      </c>
      <c r="BL65">
        <f>'[1]Expense Master June-26'!L70</f>
        <v>0</v>
      </c>
      <c r="BM65">
        <f>'[1]Expense Master June-26'!M70</f>
        <v>0</v>
      </c>
      <c r="BN65">
        <f>'[1]Expense Master June-26'!N70</f>
        <v>1710</v>
      </c>
      <c r="BO65">
        <f>'[1]Expense Master June-26'!O70</f>
        <v>0</v>
      </c>
      <c r="BP65">
        <f>'[1]Expense Master June-26'!P70</f>
        <v>0</v>
      </c>
      <c r="BQ65">
        <f>SUM(SimpleDashData8[[#This Row],[Convayance]:[Misc]])</f>
        <v>21670</v>
      </c>
      <c r="BR65">
        <f>'[1]Expense Master June-26'!R70</f>
        <v>4808</v>
      </c>
      <c r="BS65">
        <f>'[1]Expense Master June-26'!S70</f>
        <v>0</v>
      </c>
      <c r="BT65">
        <f>'[1]Expense Master June-26'!T70</f>
        <v>0</v>
      </c>
      <c r="BU65">
        <f>SUM(SimpleDashData8[[#This Row],[Male]:[Child]])</f>
        <v>4808</v>
      </c>
      <c r="BV65">
        <f>'[1]Expense Master June-26'!V70</f>
        <v>4808</v>
      </c>
      <c r="BW65">
        <f>'[1]Expense Master June-26'!W70</f>
        <v>218.54545454545453</v>
      </c>
      <c r="BZ65">
        <f>SimpleDashData8[[#This Row],[Total Expense]]/SimpleDashData8[[#This Row],[Total Patients]]</f>
        <v>4.5070715474209653</v>
      </c>
      <c r="CA65">
        <v>0</v>
      </c>
    </row>
    <row r="66" spans="1:79" x14ac:dyDescent="0.3">
      <c r="A66">
        <v>55</v>
      </c>
      <c r="B66" t="str">
        <v>QCNM Muridke, Disp</v>
      </c>
      <c r="C66" t="str">
        <v>Trust Act</v>
      </c>
      <c r="D66" t="str">
        <v>Central Punjab Region</v>
      </c>
      <c r="E66" t="str">
        <v>Public</v>
      </c>
      <c r="F66" s="2">
        <v>5450</v>
      </c>
      <c r="G66" s="2">
        <v>1930</v>
      </c>
      <c r="H66" s="13">
        <v>2.8238341968911915</v>
      </c>
      <c r="I66" s="13"/>
      <c r="BA66">
        <v>65</v>
      </c>
      <c r="BB66" s="27" t="s">
        <v>130</v>
      </c>
      <c r="BC66">
        <v>2010256</v>
      </c>
      <c r="BD66" t="s">
        <v>33</v>
      </c>
      <c r="BE66" t="s">
        <v>100</v>
      </c>
      <c r="BF66" t="s">
        <v>64</v>
      </c>
      <c r="BG66">
        <f>'[1]Expense Master June-26'!G71</f>
        <v>0</v>
      </c>
      <c r="BH66">
        <f>'[1]Expense Master June-26'!H71</f>
        <v>0</v>
      </c>
      <c r="BI66">
        <f>'[1]Expense Master June-26'!I71</f>
        <v>0</v>
      </c>
      <c r="BJ66">
        <f>'[1]Expense Master June-26'!J71</f>
        <v>0</v>
      </c>
      <c r="BK66">
        <f>'[1]Expense Master June-26'!K71</f>
        <v>0</v>
      </c>
      <c r="BL66">
        <f>'[1]Expense Master June-26'!L71</f>
        <v>0</v>
      </c>
      <c r="BM66">
        <f>'[1]Expense Master June-26'!M71</f>
        <v>0</v>
      </c>
      <c r="BN66">
        <f>'[1]Expense Master June-26'!N71</f>
        <v>0</v>
      </c>
      <c r="BO66">
        <f>'[1]Expense Master June-26'!O71</f>
        <v>0</v>
      </c>
      <c r="BP66">
        <f>'[1]Expense Master June-26'!P71</f>
        <v>0</v>
      </c>
      <c r="BQ66">
        <f>SUM(SimpleDashData8[[#This Row],[Convayance]:[Misc]])</f>
        <v>0</v>
      </c>
      <c r="BR66">
        <f>'[1]Expense Master June-26'!R71</f>
        <v>0</v>
      </c>
      <c r="BS66">
        <f>'[1]Expense Master June-26'!S71</f>
        <v>0</v>
      </c>
      <c r="BT66">
        <f>'[1]Expense Master June-26'!T71</f>
        <v>0</v>
      </c>
      <c r="BU66">
        <f>SUM(SimpleDashData8[[#This Row],[Male]:[Child]])</f>
        <v>0</v>
      </c>
      <c r="BV66">
        <f>'[1]Expense Master June-26'!V71</f>
        <v>0</v>
      </c>
      <c r="BW66">
        <f>'[1]Expense Master June-26'!W71</f>
        <v>0</v>
      </c>
      <c r="BZ66" t="e">
        <f>SimpleDashData8[[#This Row],[Total Expense]]/SimpleDashData8[[#This Row],[Total Patients]]</f>
        <v>#DIV/0!</v>
      </c>
      <c r="CA66">
        <v>0</v>
      </c>
    </row>
    <row r="67" spans="1:79" x14ac:dyDescent="0.3">
      <c r="A67">
        <v>56</v>
      </c>
      <c r="B67" t="str">
        <v>QCNM Karak, Central Jail</v>
      </c>
      <c r="C67" t="str">
        <v>Trust Act</v>
      </c>
      <c r="D67" t="str">
        <v>Capital Region</v>
      </c>
      <c r="E67" t="str">
        <v>Prison</v>
      </c>
      <c r="F67" s="2">
        <v>850</v>
      </c>
      <c r="G67" s="2">
        <v>1892</v>
      </c>
      <c r="H67" s="13">
        <v>0.44926004228329808</v>
      </c>
      <c r="I67" s="13"/>
      <c r="BA67">
        <v>66</v>
      </c>
      <c r="BB67" s="27" t="s">
        <v>131</v>
      </c>
      <c r="BD67" t="s">
        <v>33</v>
      </c>
      <c r="BE67" t="s">
        <v>100</v>
      </c>
      <c r="BF67" t="s">
        <v>64</v>
      </c>
      <c r="BG67">
        <f>'[1]Expense Master June-26'!G72</f>
        <v>3600</v>
      </c>
      <c r="BH67">
        <f>'[1]Expense Master June-26'!H72</f>
        <v>0</v>
      </c>
      <c r="BI67">
        <f>'[1]Expense Master June-26'!I72</f>
        <v>0</v>
      </c>
      <c r="BJ67">
        <f>'[1]Expense Master June-26'!J72</f>
        <v>0</v>
      </c>
      <c r="BK67">
        <f>'[1]Expense Master June-26'!K72</f>
        <v>0</v>
      </c>
      <c r="BL67">
        <f>'[1]Expense Master June-26'!L72</f>
        <v>0</v>
      </c>
      <c r="BM67">
        <f>'[1]Expense Master June-26'!M72</f>
        <v>0</v>
      </c>
      <c r="BN67">
        <f>'[1]Expense Master June-26'!N72</f>
        <v>0</v>
      </c>
      <c r="BO67">
        <f>'[1]Expense Master June-26'!O72</f>
        <v>0</v>
      </c>
      <c r="BP67">
        <f>'[1]Expense Master June-26'!P72</f>
        <v>0</v>
      </c>
      <c r="BQ67">
        <f>SUM(SimpleDashData8[[#This Row],[Convayance]:[Misc]])</f>
        <v>3600</v>
      </c>
      <c r="BR67">
        <f>'[1]Expense Master June-26'!R72</f>
        <v>0</v>
      </c>
      <c r="BS67">
        <f>'[1]Expense Master June-26'!S72</f>
        <v>120</v>
      </c>
      <c r="BT67">
        <f>'[1]Expense Master June-26'!T72</f>
        <v>4</v>
      </c>
      <c r="BU67">
        <f>SUM(SimpleDashData8[[#This Row],[Male]:[Child]])</f>
        <v>124</v>
      </c>
      <c r="BV67">
        <f>'[1]Expense Master June-26'!V72</f>
        <v>248</v>
      </c>
      <c r="BW67">
        <f>'[1]Expense Master June-26'!W72</f>
        <v>5.6363636363636367</v>
      </c>
      <c r="BZ67">
        <f>SimpleDashData8[[#This Row],[Total Expense]]/SimpleDashData8[[#This Row],[Total Patients]]</f>
        <v>29.032258064516128</v>
      </c>
      <c r="CA67">
        <v>0</v>
      </c>
    </row>
    <row r="68" spans="1:79" x14ac:dyDescent="0.3">
      <c r="A68">
        <v>57</v>
      </c>
      <c r="B68" t="str">
        <v>QCNM Larkana, Central Prison</v>
      </c>
      <c r="C68" t="str">
        <v>Trust Act</v>
      </c>
      <c r="D68" t="str">
        <v>Sindh, Balochistan &amp; AJK Region</v>
      </c>
      <c r="E68" t="str">
        <v>Prison</v>
      </c>
      <c r="F68" s="2">
        <v>8470</v>
      </c>
      <c r="G68" s="2">
        <v>1878</v>
      </c>
      <c r="H68" s="13">
        <v>4.5101171458998932</v>
      </c>
      <c r="I68" s="13"/>
      <c r="BA68">
        <v>67</v>
      </c>
      <c r="BB68" s="27" t="s">
        <v>132</v>
      </c>
      <c r="BD68" t="s">
        <v>33</v>
      </c>
      <c r="BE68" t="s">
        <v>100</v>
      </c>
      <c r="BF68" t="s">
        <v>64</v>
      </c>
      <c r="BG68">
        <f>'[1]Expense Master June-26'!G73</f>
        <v>1582</v>
      </c>
      <c r="BH68">
        <f>'[1]Expense Master June-26'!H73</f>
        <v>0</v>
      </c>
      <c r="BI68">
        <f>'[1]Expense Master June-26'!I73</f>
        <v>0</v>
      </c>
      <c r="BJ68">
        <f>'[1]Expense Master June-26'!J73</f>
        <v>0</v>
      </c>
      <c r="BK68">
        <f>'[1]Expense Master June-26'!K73</f>
        <v>0</v>
      </c>
      <c r="BL68">
        <f>'[1]Expense Master June-26'!L73</f>
        <v>0</v>
      </c>
      <c r="BM68">
        <f>'[1]Expense Master June-26'!M73</f>
        <v>0</v>
      </c>
      <c r="BN68">
        <f>'[1]Expense Master June-26'!N73</f>
        <v>0</v>
      </c>
      <c r="BO68">
        <f>'[1]Expense Master June-26'!O73</f>
        <v>0</v>
      </c>
      <c r="BP68">
        <f>'[1]Expense Master June-26'!P73</f>
        <v>0</v>
      </c>
      <c r="BQ68">
        <f>SUM(SimpleDashData8[[#This Row],[Convayance]:[Misc]])</f>
        <v>1582</v>
      </c>
      <c r="BR68">
        <f>'[1]Expense Master June-26'!R73</f>
        <v>0</v>
      </c>
      <c r="BS68">
        <f>'[1]Expense Master June-26'!S73</f>
        <v>101</v>
      </c>
      <c r="BT68">
        <f>'[1]Expense Master June-26'!T73</f>
        <v>2</v>
      </c>
      <c r="BU68">
        <f>SUM(SimpleDashData8[[#This Row],[Male]:[Child]])</f>
        <v>103</v>
      </c>
      <c r="BV68">
        <f>'[1]Expense Master June-26'!V73</f>
        <v>206</v>
      </c>
      <c r="BW68">
        <f>'[1]Expense Master June-26'!W73</f>
        <v>4.6818181818181817</v>
      </c>
      <c r="BZ68">
        <f>SimpleDashData8[[#This Row],[Total Expense]]/SimpleDashData8[[#This Row],[Total Patients]]</f>
        <v>15.359223300970873</v>
      </c>
      <c r="CA68">
        <v>0</v>
      </c>
    </row>
    <row r="69" spans="1:79" x14ac:dyDescent="0.3">
      <c r="A69">
        <v>58</v>
      </c>
      <c r="B69" t="str">
        <v>QCNM Multan, District Jail</v>
      </c>
      <c r="C69" t="str">
        <v>Trust Act</v>
      </c>
      <c r="D69" t="str">
        <v>South &amp; North Punjab Region</v>
      </c>
      <c r="E69" t="str">
        <v>Prison</v>
      </c>
      <c r="F69" s="2">
        <v>8080</v>
      </c>
      <c r="G69" s="2">
        <v>1870</v>
      </c>
      <c r="H69" s="13">
        <v>4.3208556149732624</v>
      </c>
      <c r="I69" s="13"/>
      <c r="BA69">
        <v>68</v>
      </c>
      <c r="BB69" s="12" t="s">
        <v>133</v>
      </c>
      <c r="BC69">
        <v>2010245</v>
      </c>
      <c r="BD69" t="s">
        <v>33</v>
      </c>
      <c r="BE69" t="s">
        <v>100</v>
      </c>
      <c r="BF69" t="s">
        <v>64</v>
      </c>
      <c r="BG69">
        <f>'[1]Expense Master June-26'!G74</f>
        <v>0</v>
      </c>
      <c r="BH69">
        <f>'[1]Expense Master June-26'!H74</f>
        <v>0</v>
      </c>
      <c r="BI69">
        <f>'[1]Expense Master June-26'!I74</f>
        <v>0</v>
      </c>
      <c r="BJ69">
        <f>'[1]Expense Master June-26'!J74</f>
        <v>6665</v>
      </c>
      <c r="BK69">
        <f>'[1]Expense Master June-26'!K74</f>
        <v>0</v>
      </c>
      <c r="BL69">
        <f>'[1]Expense Master June-26'!L74</f>
        <v>1050</v>
      </c>
      <c r="BM69">
        <f>'[1]Expense Master June-26'!M74</f>
        <v>0</v>
      </c>
      <c r="BN69">
        <f>'[1]Expense Master June-26'!N74</f>
        <v>0</v>
      </c>
      <c r="BO69">
        <f>'[1]Expense Master June-26'!O74</f>
        <v>0</v>
      </c>
      <c r="BP69">
        <f>'[1]Expense Master June-26'!P74</f>
        <v>1000</v>
      </c>
      <c r="BQ69">
        <f>SUM(SimpleDashData8[[#This Row],[Convayance]:[Misc]])</f>
        <v>8715</v>
      </c>
      <c r="BR69">
        <f>'[1]Expense Master June-26'!R74</f>
        <v>3301</v>
      </c>
      <c r="BS69">
        <f>'[1]Expense Master June-26'!S74</f>
        <v>0</v>
      </c>
      <c r="BT69">
        <f>'[1]Expense Master June-26'!T74</f>
        <v>0</v>
      </c>
      <c r="BU69">
        <f>SUM(SimpleDashData8[[#This Row],[Male]:[Child]])</f>
        <v>3301</v>
      </c>
      <c r="BV69">
        <f>'[1]Expense Master June-26'!V74</f>
        <v>3301</v>
      </c>
      <c r="BW69">
        <f>'[1]Expense Master June-26'!W74</f>
        <v>150.04545454545453</v>
      </c>
      <c r="BZ69">
        <f>SimpleDashData8[[#This Row],[Total Expense]]/SimpleDashData8[[#This Row],[Total Patients]]</f>
        <v>2.6401090578612543</v>
      </c>
      <c r="CA69">
        <v>0</v>
      </c>
    </row>
    <row r="70" spans="1:79" x14ac:dyDescent="0.3">
      <c r="A70">
        <v>59</v>
      </c>
      <c r="B70" t="str">
        <v>QCNM Swat, District Jail</v>
      </c>
      <c r="C70" t="str">
        <v>Trust Act</v>
      </c>
      <c r="D70" t="str">
        <v>Capital Region</v>
      </c>
      <c r="E70" t="str">
        <v>Prison</v>
      </c>
      <c r="F70" s="2">
        <v>5700</v>
      </c>
      <c r="G70" s="2">
        <v>1749</v>
      </c>
      <c r="H70" s="13">
        <v>3.2590051457975986</v>
      </c>
      <c r="I70" s="13"/>
      <c r="BA70">
        <v>69</v>
      </c>
      <c r="BB70" s="12" t="s">
        <v>134</v>
      </c>
      <c r="BD70" t="s">
        <v>33</v>
      </c>
      <c r="BE70" t="s">
        <v>135</v>
      </c>
      <c r="BF70" t="s">
        <v>35</v>
      </c>
      <c r="BG70">
        <f>'[1]Expense Master June-26'!G75</f>
        <v>1500</v>
      </c>
      <c r="BH70">
        <f>'[1]Expense Master June-26'!H75</f>
        <v>0</v>
      </c>
      <c r="BI70">
        <f>'[1]Expense Master June-26'!I75</f>
        <v>1000</v>
      </c>
      <c r="BJ70">
        <f>'[1]Expense Master June-26'!J75</f>
        <v>6480</v>
      </c>
      <c r="BK70">
        <f>'[1]Expense Master June-26'!K75</f>
        <v>0</v>
      </c>
      <c r="BL70">
        <f>'[1]Expense Master June-26'!L75</f>
        <v>890</v>
      </c>
      <c r="BM70">
        <f>'[1]Expense Master June-26'!M75</f>
        <v>0</v>
      </c>
      <c r="BN70">
        <f>'[1]Expense Master June-26'!N75</f>
        <v>0</v>
      </c>
      <c r="BO70">
        <f>'[1]Expense Master June-26'!O75</f>
        <v>0</v>
      </c>
      <c r="BP70">
        <f>'[1]Expense Master June-26'!P75</f>
        <v>0</v>
      </c>
      <c r="BQ70">
        <f>SUM(SimpleDashData8[[#This Row],[Convayance]:[Misc]])</f>
        <v>9870</v>
      </c>
      <c r="BR70">
        <f>'[1]Expense Master June-26'!R75</f>
        <v>522</v>
      </c>
      <c r="BS70">
        <f>'[1]Expense Master June-26'!S75</f>
        <v>563</v>
      </c>
      <c r="BT70">
        <f>'[1]Expense Master June-26'!T75</f>
        <v>381</v>
      </c>
      <c r="BU70">
        <f>SUM(SimpleDashData8[[#This Row],[Male]:[Child]])</f>
        <v>1466</v>
      </c>
      <c r="BV70">
        <f>'[1]Expense Master June-26'!V75</f>
        <v>2410</v>
      </c>
      <c r="BW70">
        <f>'[1]Expense Master June-26'!W75</f>
        <v>66.63636363636364</v>
      </c>
      <c r="BZ70">
        <f>SimpleDashData8[[#This Row],[Total Expense]]/SimpleDashData8[[#This Row],[Total Patients]]</f>
        <v>6.7326057298772168</v>
      </c>
      <c r="CA70">
        <v>0</v>
      </c>
    </row>
    <row r="71" spans="1:79" x14ac:dyDescent="0.3">
      <c r="A71">
        <v>60</v>
      </c>
      <c r="B71" t="str">
        <v>QCNM Buner Central Prison</v>
      </c>
      <c r="C71" t="str">
        <v>Trust Act</v>
      </c>
      <c r="D71" t="str">
        <v>Capital Region</v>
      </c>
      <c r="E71" t="str">
        <v>Prison</v>
      </c>
      <c r="F71" s="2">
        <v>5500</v>
      </c>
      <c r="G71" s="2">
        <v>1746</v>
      </c>
      <c r="H71" s="13">
        <v>3.1500572737686139</v>
      </c>
      <c r="I71" s="13"/>
      <c r="BA71">
        <v>70</v>
      </c>
      <c r="BB71" s="12" t="s">
        <v>136</v>
      </c>
      <c r="BD71" t="s">
        <v>33</v>
      </c>
      <c r="BE71" t="s">
        <v>135</v>
      </c>
      <c r="BF71" t="s">
        <v>35</v>
      </c>
      <c r="BG71">
        <f>'[1]Expense Master June-26'!G76</f>
        <v>0</v>
      </c>
      <c r="BH71">
        <f>'[1]Expense Master June-26'!H76</f>
        <v>1000</v>
      </c>
      <c r="BI71">
        <f>'[1]Expense Master June-26'!I76</f>
        <v>0</v>
      </c>
      <c r="BJ71">
        <f>'[1]Expense Master June-26'!J76</f>
        <v>5850</v>
      </c>
      <c r="BK71">
        <f>'[1]Expense Master June-26'!K76</f>
        <v>510</v>
      </c>
      <c r="BL71">
        <f>'[1]Expense Master June-26'!L76</f>
        <v>0</v>
      </c>
      <c r="BM71">
        <f>'[1]Expense Master June-26'!M76</f>
        <v>0</v>
      </c>
      <c r="BN71">
        <f>'[1]Expense Master June-26'!N76</f>
        <v>610</v>
      </c>
      <c r="BO71">
        <f>'[1]Expense Master June-26'!O76</f>
        <v>0</v>
      </c>
      <c r="BP71">
        <f>'[1]Expense Master June-26'!P76</f>
        <v>1270</v>
      </c>
      <c r="BQ71">
        <f>SUM(SimpleDashData8[[#This Row],[Convayance]:[Misc]])</f>
        <v>9240</v>
      </c>
      <c r="BR71">
        <f>'[1]Expense Master June-26'!R76</f>
        <v>1149</v>
      </c>
      <c r="BS71">
        <f>'[1]Expense Master June-26'!S76</f>
        <v>1052</v>
      </c>
      <c r="BT71">
        <f>'[1]Expense Master June-26'!T76</f>
        <v>263</v>
      </c>
      <c r="BU71">
        <f>SUM(SimpleDashData8[[#This Row],[Male]:[Child]])</f>
        <v>2464</v>
      </c>
      <c r="BV71">
        <f>'[1]Expense Master June-26'!V76</f>
        <v>3779</v>
      </c>
      <c r="BW71">
        <f>'[1]Expense Master June-26'!W76</f>
        <v>112</v>
      </c>
      <c r="BZ71">
        <f>SimpleDashData8[[#This Row],[Total Expense]]/SimpleDashData8[[#This Row],[Total Patients]]</f>
        <v>3.75</v>
      </c>
      <c r="CA71">
        <v>0</v>
      </c>
    </row>
    <row r="72" spans="1:79" x14ac:dyDescent="0.3">
      <c r="A72">
        <v>61</v>
      </c>
      <c r="B72" t="str">
        <v>QCNM Sargodha, District Jail</v>
      </c>
      <c r="C72" t="str">
        <v>Trust Act</v>
      </c>
      <c r="D72" t="str">
        <v>South &amp; North Punjab Region</v>
      </c>
      <c r="E72" t="str">
        <v>Prison</v>
      </c>
      <c r="F72" s="2">
        <v>8145</v>
      </c>
      <c r="G72" s="2">
        <v>1732</v>
      </c>
      <c r="H72" s="13">
        <v>4.7026558891454968</v>
      </c>
      <c r="I72" s="13"/>
      <c r="BA72">
        <v>71</v>
      </c>
      <c r="BB72" s="12" t="s">
        <v>137</v>
      </c>
      <c r="BD72" t="s">
        <v>33</v>
      </c>
      <c r="BE72" t="s">
        <v>135</v>
      </c>
      <c r="BF72" t="s">
        <v>35</v>
      </c>
      <c r="BG72">
        <f>'[1]Expense Master June-26'!G77</f>
        <v>2900</v>
      </c>
      <c r="BH72">
        <f>'[1]Expense Master June-26'!H77</f>
        <v>0</v>
      </c>
      <c r="BI72">
        <f>'[1]Expense Master June-26'!I77</f>
        <v>2250</v>
      </c>
      <c r="BJ72">
        <f>'[1]Expense Master June-26'!J77</f>
        <v>1000</v>
      </c>
      <c r="BK72">
        <f>'[1]Expense Master June-26'!K77</f>
        <v>560</v>
      </c>
      <c r="BL72">
        <f>'[1]Expense Master June-26'!L77</f>
        <v>100</v>
      </c>
      <c r="BM72">
        <f>'[1]Expense Master June-26'!M77</f>
        <v>0</v>
      </c>
      <c r="BN72">
        <f>'[1]Expense Master June-26'!N77</f>
        <v>1021</v>
      </c>
      <c r="BO72">
        <f>'[1]Expense Master June-26'!O77</f>
        <v>12446</v>
      </c>
      <c r="BP72">
        <f>'[1]Expense Master June-26'!P77</f>
        <v>0</v>
      </c>
      <c r="BQ72">
        <f>SUM(SimpleDashData8[[#This Row],[Convayance]:[Misc]])</f>
        <v>20277</v>
      </c>
      <c r="BR72">
        <f>'[1]Expense Master June-26'!R77</f>
        <v>1202</v>
      </c>
      <c r="BS72">
        <f>'[1]Expense Master June-26'!S77</f>
        <v>1030</v>
      </c>
      <c r="BT72">
        <f>'[1]Expense Master June-26'!T77</f>
        <v>318</v>
      </c>
      <c r="BU72">
        <f>SUM(SimpleDashData8[[#This Row],[Male]:[Child]])</f>
        <v>2550</v>
      </c>
      <c r="BV72">
        <f>'[1]Expense Master June-26'!V77</f>
        <v>3898</v>
      </c>
      <c r="BW72">
        <f>'[1]Expense Master June-26'!W77</f>
        <v>115.90909090909091</v>
      </c>
      <c r="BZ72">
        <f>SimpleDashData8[[#This Row],[Total Expense]]/SimpleDashData8[[#This Row],[Total Patients]]</f>
        <v>7.9517647058823533</v>
      </c>
      <c r="CA72">
        <v>0</v>
      </c>
    </row>
    <row r="73" spans="1:79" x14ac:dyDescent="0.3">
      <c r="A73">
        <v>62</v>
      </c>
      <c r="B73" t="str">
        <v>QCNM Mamukanjan</v>
      </c>
      <c r="C73" t="str">
        <v>Trust Act</v>
      </c>
      <c r="D73" t="str">
        <v>Central Punjab Region</v>
      </c>
      <c r="E73" t="str">
        <v>Public</v>
      </c>
      <c r="F73" s="2">
        <v>23441</v>
      </c>
      <c r="G73" s="2">
        <v>1723</v>
      </c>
      <c r="H73" s="13">
        <v>13.604759141033082</v>
      </c>
      <c r="I73" s="13"/>
      <c r="BA73">
        <v>72</v>
      </c>
      <c r="BB73" s="12" t="s">
        <v>138</v>
      </c>
      <c r="BD73" t="s">
        <v>33</v>
      </c>
      <c r="BE73" t="s">
        <v>135</v>
      </c>
      <c r="BF73" t="s">
        <v>35</v>
      </c>
      <c r="BG73">
        <f>'[1]Expense Master June-26'!G78</f>
        <v>0</v>
      </c>
      <c r="BH73">
        <f>'[1]Expense Master June-26'!H78</f>
        <v>0</v>
      </c>
      <c r="BI73">
        <f>'[1]Expense Master June-26'!I78</f>
        <v>0</v>
      </c>
      <c r="BJ73">
        <f>'[1]Expense Master June-26'!J78</f>
        <v>5300</v>
      </c>
      <c r="BK73">
        <f>'[1]Expense Master June-26'!K78</f>
        <v>495</v>
      </c>
      <c r="BL73">
        <f>'[1]Expense Master June-26'!L78</f>
        <v>90</v>
      </c>
      <c r="BM73">
        <f>'[1]Expense Master June-26'!M78</f>
        <v>0</v>
      </c>
      <c r="BN73">
        <f>'[1]Expense Master June-26'!N78</f>
        <v>780</v>
      </c>
      <c r="BO73">
        <f>'[1]Expense Master June-26'!O78</f>
        <v>0</v>
      </c>
      <c r="BP73">
        <f>'[1]Expense Master June-26'!P78</f>
        <v>0</v>
      </c>
      <c r="BQ73">
        <f>SUM(SimpleDashData8[[#This Row],[Convayance]:[Misc]])</f>
        <v>6665</v>
      </c>
      <c r="BR73">
        <f>'[1]Expense Master June-26'!R78</f>
        <v>1583</v>
      </c>
      <c r="BS73">
        <f>'[1]Expense Master June-26'!S78</f>
        <v>535</v>
      </c>
      <c r="BT73">
        <f>'[1]Expense Master June-26'!T78</f>
        <v>395</v>
      </c>
      <c r="BU73">
        <f>SUM(SimpleDashData8[[#This Row],[Male]:[Child]])</f>
        <v>2513</v>
      </c>
      <c r="BV73">
        <f>'[1]Expense Master June-26'!V78</f>
        <v>3443</v>
      </c>
      <c r="BW73">
        <f>'[1]Expense Master June-26'!W78</f>
        <v>114.22727272727273</v>
      </c>
      <c r="BZ73">
        <f>SimpleDashData8[[#This Row],[Total Expense]]/SimpleDashData8[[#This Row],[Total Patients]]</f>
        <v>2.6522085157182649</v>
      </c>
      <c r="CA73">
        <v>0</v>
      </c>
    </row>
    <row r="74" spans="1:79" x14ac:dyDescent="0.3">
      <c r="A74">
        <v>63</v>
      </c>
      <c r="B74" t="str">
        <v>QCNM Okara, District Jail</v>
      </c>
      <c r="C74" t="str">
        <v>Trust Act</v>
      </c>
      <c r="D74" t="str">
        <v>South &amp; North Punjab Region</v>
      </c>
      <c r="E74" t="str">
        <v>Prison</v>
      </c>
      <c r="F74" s="2">
        <v>2120</v>
      </c>
      <c r="G74" s="2">
        <v>1707</v>
      </c>
      <c r="H74" s="13">
        <v>1.2419449326303456</v>
      </c>
      <c r="I74" s="13"/>
      <c r="BA74">
        <v>73</v>
      </c>
      <c r="BB74" s="12" t="s">
        <v>139</v>
      </c>
      <c r="BD74" t="s">
        <v>33</v>
      </c>
      <c r="BE74" t="s">
        <v>135</v>
      </c>
      <c r="BF74" t="s">
        <v>35</v>
      </c>
      <c r="BG74">
        <f>'[1]Expense Master June-26'!G79</f>
        <v>0</v>
      </c>
      <c r="BH74">
        <f>'[1]Expense Master June-26'!H79</f>
        <v>1700</v>
      </c>
      <c r="BI74">
        <f>'[1]Expense Master June-26'!I79</f>
        <v>0</v>
      </c>
      <c r="BJ74">
        <f>'[1]Expense Master June-26'!J79</f>
        <v>1600</v>
      </c>
      <c r="BK74">
        <f>'[1]Expense Master June-26'!K79</f>
        <v>600</v>
      </c>
      <c r="BL74">
        <f>'[1]Expense Master June-26'!L79</f>
        <v>330</v>
      </c>
      <c r="BM74">
        <f>'[1]Expense Master June-26'!M79</f>
        <v>0</v>
      </c>
      <c r="BN74">
        <f>'[1]Expense Master June-26'!N79</f>
        <v>1480</v>
      </c>
      <c r="BO74">
        <f>'[1]Expense Master June-26'!O79</f>
        <v>0</v>
      </c>
      <c r="BP74">
        <f>'[1]Expense Master June-26'!P79</f>
        <v>0</v>
      </c>
      <c r="BQ74">
        <f>SUM(SimpleDashData8[[#This Row],[Convayance]:[Misc]])</f>
        <v>5710</v>
      </c>
      <c r="BR74">
        <f>'[1]Expense Master June-26'!R79</f>
        <v>777</v>
      </c>
      <c r="BS74">
        <f>'[1]Expense Master June-26'!S79</f>
        <v>865</v>
      </c>
      <c r="BT74">
        <f>'[1]Expense Master June-26'!T79</f>
        <v>330</v>
      </c>
      <c r="BU74">
        <f>SUM(SimpleDashData8[[#This Row],[Male]:[Child]])</f>
        <v>1972</v>
      </c>
      <c r="BV74">
        <f>'[1]Expense Master June-26'!V79</f>
        <v>3167</v>
      </c>
      <c r="BW74">
        <f>'[1]Expense Master June-26'!W79</f>
        <v>89.63636363636364</v>
      </c>
      <c r="BZ74">
        <f>SimpleDashData8[[#This Row],[Total Expense]]/SimpleDashData8[[#This Row],[Total Patients]]</f>
        <v>2.8955375253549698</v>
      </c>
      <c r="CA74">
        <v>0</v>
      </c>
    </row>
    <row r="75" spans="1:79" x14ac:dyDescent="0.3">
      <c r="A75">
        <v>64</v>
      </c>
      <c r="B75" t="str">
        <v>QCNM Jehlum, District Jail</v>
      </c>
      <c r="C75" t="str">
        <v>Trust Act</v>
      </c>
      <c r="D75" t="str">
        <v>South &amp; North Punjab Region</v>
      </c>
      <c r="E75" t="str">
        <v>Prison</v>
      </c>
      <c r="F75" s="2">
        <v>5515</v>
      </c>
      <c r="G75" s="2">
        <v>1705</v>
      </c>
      <c r="H75" s="13">
        <v>3.2346041055718473</v>
      </c>
      <c r="I75" s="13"/>
      <c r="BA75">
        <v>74</v>
      </c>
      <c r="BB75" s="12" t="s">
        <v>140</v>
      </c>
      <c r="BD75" t="s">
        <v>33</v>
      </c>
      <c r="BE75" t="s">
        <v>135</v>
      </c>
      <c r="BF75" t="s">
        <v>35</v>
      </c>
      <c r="BG75">
        <f>'[1]Expense Master June-26'!G80</f>
        <v>6500</v>
      </c>
      <c r="BH75">
        <f>'[1]Expense Master June-26'!H80</f>
        <v>1485</v>
      </c>
      <c r="BI75">
        <f>'[1]Expense Master June-26'!I80</f>
        <v>0</v>
      </c>
      <c r="BJ75">
        <f>'[1]Expense Master June-26'!J80</f>
        <v>1590</v>
      </c>
      <c r="BK75">
        <f>'[1]Expense Master June-26'!K80</f>
        <v>510</v>
      </c>
      <c r="BL75">
        <f>'[1]Expense Master June-26'!L80</f>
        <v>80</v>
      </c>
      <c r="BM75">
        <f>'[1]Expense Master June-26'!M80</f>
        <v>300</v>
      </c>
      <c r="BN75">
        <f>'[1]Expense Master June-26'!N80</f>
        <v>0</v>
      </c>
      <c r="BO75">
        <f>'[1]Expense Master June-26'!O80</f>
        <v>1000</v>
      </c>
      <c r="BP75">
        <f>'[1]Expense Master June-26'!P80</f>
        <v>0</v>
      </c>
      <c r="BQ75">
        <f>SUM(SimpleDashData8[[#This Row],[Convayance]:[Misc]])</f>
        <v>11465</v>
      </c>
      <c r="BR75">
        <f>'[1]Expense Master June-26'!R80</f>
        <v>759</v>
      </c>
      <c r="BS75">
        <f>'[1]Expense Master June-26'!S80</f>
        <v>719</v>
      </c>
      <c r="BT75">
        <f>'[1]Expense Master June-26'!T80</f>
        <v>455</v>
      </c>
      <c r="BU75">
        <f>SUM(SimpleDashData8[[#This Row],[Male]:[Child]])</f>
        <v>1933</v>
      </c>
      <c r="BV75">
        <f>'[1]Expense Master June-26'!V80</f>
        <v>3107</v>
      </c>
      <c r="BW75">
        <f>'[1]Expense Master June-26'!W80</f>
        <v>87.86363636363636</v>
      </c>
      <c r="BZ75">
        <f>SimpleDashData8[[#This Row],[Total Expense]]/SimpleDashData8[[#This Row],[Total Patients]]</f>
        <v>5.9311950336264871</v>
      </c>
      <c r="CA75">
        <v>0</v>
      </c>
    </row>
    <row r="76" spans="1:79" x14ac:dyDescent="0.3">
      <c r="A76">
        <v>65</v>
      </c>
      <c r="B76" t="str">
        <v>QCNM Lasbela (LUWAMS) University</v>
      </c>
      <c r="C76" t="str">
        <v>Trust Act</v>
      </c>
      <c r="D76" t="str">
        <v>Sindh, Balochistan &amp; AJK Region</v>
      </c>
      <c r="E76" t="str">
        <v>Public</v>
      </c>
      <c r="F76" s="2">
        <v>4820</v>
      </c>
      <c r="G76" s="2">
        <v>1696</v>
      </c>
      <c r="H76" s="13">
        <v>2.8419811320754715</v>
      </c>
      <c r="I76" s="13"/>
      <c r="BA76">
        <v>75</v>
      </c>
      <c r="BB76" s="12" t="s">
        <v>141</v>
      </c>
      <c r="BD76" t="s">
        <v>33</v>
      </c>
      <c r="BE76" t="s">
        <v>135</v>
      </c>
      <c r="BF76" t="s">
        <v>35</v>
      </c>
      <c r="BG76">
        <f>'[1]Expense Master June-26'!G81</f>
        <v>0</v>
      </c>
      <c r="BH76">
        <f>'[1]Expense Master June-26'!H81</f>
        <v>3170</v>
      </c>
      <c r="BI76">
        <f>'[1]Expense Master June-26'!I81</f>
        <v>1500</v>
      </c>
      <c r="BJ76">
        <f>'[1]Expense Master June-26'!J81</f>
        <v>1400</v>
      </c>
      <c r="BK76">
        <f>'[1]Expense Master June-26'!K81</f>
        <v>0</v>
      </c>
      <c r="BL76">
        <f>'[1]Expense Master June-26'!L81</f>
        <v>0</v>
      </c>
      <c r="BM76">
        <f>'[1]Expense Master June-26'!M81</f>
        <v>18700</v>
      </c>
      <c r="BN76">
        <f>'[1]Expense Master June-26'!N81</f>
        <v>870</v>
      </c>
      <c r="BO76">
        <f>'[1]Expense Master June-26'!O81</f>
        <v>1000</v>
      </c>
      <c r="BP76">
        <f>'[1]Expense Master June-26'!P81</f>
        <v>600</v>
      </c>
      <c r="BQ76">
        <f>SUM(SimpleDashData8[[#This Row],[Convayance]:[Misc]])</f>
        <v>27240</v>
      </c>
      <c r="BR76">
        <f>'[1]Expense Master June-26'!R81</f>
        <v>1293</v>
      </c>
      <c r="BS76">
        <f>'[1]Expense Master June-26'!S81</f>
        <v>751</v>
      </c>
      <c r="BT76">
        <f>'[1]Expense Master June-26'!T81</f>
        <v>317</v>
      </c>
      <c r="BU76">
        <f>SUM(SimpleDashData8[[#This Row],[Male]:[Child]])</f>
        <v>2361</v>
      </c>
      <c r="BV76">
        <f>'[1]Expense Master June-26'!V81</f>
        <v>3429</v>
      </c>
      <c r="BW76">
        <f>'[1]Expense Master June-26'!W81</f>
        <v>107.31818181818181</v>
      </c>
      <c r="BZ76">
        <f>SimpleDashData8[[#This Row],[Total Expense]]/SimpleDashData8[[#This Row],[Total Patients]]</f>
        <v>11.537484116899618</v>
      </c>
      <c r="CA76">
        <v>0</v>
      </c>
    </row>
    <row r="77" spans="1:79" x14ac:dyDescent="0.3">
      <c r="A77">
        <v>66</v>
      </c>
      <c r="B77" t="str">
        <v>QCNM Rajanpur, Distrit jail</v>
      </c>
      <c r="C77" t="str">
        <v>Trust Act</v>
      </c>
      <c r="D77" t="str">
        <v>South &amp; North Punjab Region</v>
      </c>
      <c r="E77" t="str">
        <v>Prison</v>
      </c>
      <c r="F77" s="2">
        <v>12180</v>
      </c>
      <c r="G77" s="2">
        <v>1620</v>
      </c>
      <c r="H77" s="13">
        <v>7.5185185185185182</v>
      </c>
      <c r="I77" s="13"/>
      <c r="BA77">
        <v>76</v>
      </c>
      <c r="BB77" s="12" t="s">
        <v>142</v>
      </c>
      <c r="BD77" t="s">
        <v>33</v>
      </c>
      <c r="BE77" t="s">
        <v>135</v>
      </c>
      <c r="BF77" t="s">
        <v>64</v>
      </c>
      <c r="BG77">
        <f>'[1]Expense Master June-26'!G82</f>
        <v>0</v>
      </c>
      <c r="BH77">
        <f>'[1]Expense Master June-26'!H82</f>
        <v>0</v>
      </c>
      <c r="BI77">
        <f>'[1]Expense Master June-26'!I82</f>
        <v>0</v>
      </c>
      <c r="BJ77">
        <f>'[1]Expense Master June-26'!J82</f>
        <v>6090</v>
      </c>
      <c r="BK77">
        <f>'[1]Expense Master June-26'!K82</f>
        <v>620</v>
      </c>
      <c r="BL77">
        <f>'[1]Expense Master June-26'!L82</f>
        <v>0</v>
      </c>
      <c r="BM77">
        <f>'[1]Expense Master June-26'!M82</f>
        <v>0</v>
      </c>
      <c r="BN77">
        <f>'[1]Expense Master June-26'!N82</f>
        <v>0</v>
      </c>
      <c r="BO77">
        <f>'[1]Expense Master June-26'!O82</f>
        <v>0</v>
      </c>
      <c r="BP77">
        <f>'[1]Expense Master June-26'!P82</f>
        <v>0</v>
      </c>
      <c r="BQ77">
        <f>SUM(SimpleDashData8[[#This Row],[Convayance]:[Misc]])</f>
        <v>6710</v>
      </c>
      <c r="BR77">
        <f>'[1]Expense Master June-26'!R82</f>
        <v>2765</v>
      </c>
      <c r="BS77">
        <f>'[1]Expense Master June-26'!S82</f>
        <v>0</v>
      </c>
      <c r="BT77">
        <f>'[1]Expense Master June-26'!T82</f>
        <v>0</v>
      </c>
      <c r="BU77">
        <f>SUM(SimpleDashData8[[#This Row],[Male]:[Child]])</f>
        <v>2765</v>
      </c>
      <c r="BV77">
        <f>'[1]Expense Master June-26'!V82</f>
        <v>2765</v>
      </c>
      <c r="BW77">
        <f>'[1]Expense Master June-26'!W82</f>
        <v>125.68181818181819</v>
      </c>
      <c r="BZ77">
        <f>SimpleDashData8[[#This Row],[Total Expense]]/SimpleDashData8[[#This Row],[Total Patients]]</f>
        <v>2.4267631103074141</v>
      </c>
      <c r="CA77">
        <v>0</v>
      </c>
    </row>
    <row r="78" spans="1:79" x14ac:dyDescent="0.3">
      <c r="A78">
        <v>67</v>
      </c>
      <c r="B78" t="str">
        <v>QCNM Lakki Marwat District Jail</v>
      </c>
      <c r="C78" t="str">
        <v>Trust Act</v>
      </c>
      <c r="D78" t="str">
        <v>Capital Region</v>
      </c>
      <c r="E78" t="str">
        <v>Prison</v>
      </c>
      <c r="F78" s="2">
        <v>2040</v>
      </c>
      <c r="G78" s="2">
        <v>1596</v>
      </c>
      <c r="H78" s="13">
        <v>1.2781954887218046</v>
      </c>
      <c r="I78" s="13"/>
      <c r="BA78">
        <v>77</v>
      </c>
      <c r="BB78" s="12" t="s">
        <v>143</v>
      </c>
      <c r="BD78" t="s">
        <v>33</v>
      </c>
      <c r="BE78" t="s">
        <v>135</v>
      </c>
      <c r="BF78" t="s">
        <v>64</v>
      </c>
      <c r="BG78">
        <f>'[1]Expense Master June-26'!G83</f>
        <v>0</v>
      </c>
      <c r="BH78">
        <f>'[1]Expense Master June-26'!H83</f>
        <v>0</v>
      </c>
      <c r="BI78">
        <f>'[1]Expense Master June-26'!I83</f>
        <v>0</v>
      </c>
      <c r="BJ78">
        <f>'[1]Expense Master June-26'!J83</f>
        <v>3600</v>
      </c>
      <c r="BK78">
        <f>'[1]Expense Master June-26'!K83</f>
        <v>105</v>
      </c>
      <c r="BL78">
        <f>'[1]Expense Master June-26'!L83</f>
        <v>0</v>
      </c>
      <c r="BM78">
        <f>'[1]Expense Master June-26'!M83</f>
        <v>0</v>
      </c>
      <c r="BN78">
        <f>'[1]Expense Master June-26'!N83</f>
        <v>500</v>
      </c>
      <c r="BO78">
        <f>'[1]Expense Master June-26'!O83</f>
        <v>0</v>
      </c>
      <c r="BP78">
        <f>'[1]Expense Master June-26'!P83</f>
        <v>1310</v>
      </c>
      <c r="BQ78">
        <f>SUM(SimpleDashData8[[#This Row],[Convayance]:[Misc]])</f>
        <v>5515</v>
      </c>
      <c r="BR78">
        <f>'[1]Expense Master June-26'!R83</f>
        <v>1369</v>
      </c>
      <c r="BS78">
        <f>'[1]Expense Master June-26'!S83</f>
        <v>124</v>
      </c>
      <c r="BT78">
        <f>'[1]Expense Master June-26'!T83</f>
        <v>212</v>
      </c>
      <c r="BU78">
        <f>SUM(SimpleDashData8[[#This Row],[Male]:[Child]])</f>
        <v>1705</v>
      </c>
      <c r="BV78">
        <f>'[1]Expense Master June-26'!V83</f>
        <v>2041</v>
      </c>
      <c r="BW78">
        <f>'[1]Expense Master June-26'!W83</f>
        <v>77.5</v>
      </c>
      <c r="BZ78">
        <f>SimpleDashData8[[#This Row],[Total Expense]]/SimpleDashData8[[#This Row],[Total Patients]]</f>
        <v>3.2346041055718473</v>
      </c>
      <c r="CA78">
        <v>0</v>
      </c>
    </row>
    <row r="79" spans="1:79" x14ac:dyDescent="0.3">
      <c r="A79">
        <v>68</v>
      </c>
      <c r="B79" t="str">
        <v>QCNM RHQ Chillas</v>
      </c>
      <c r="C79" t="str">
        <v>Trust Act</v>
      </c>
      <c r="D79" t="str">
        <v>Capital Region</v>
      </c>
      <c r="E79" t="str">
        <v>Public</v>
      </c>
      <c r="F79" s="2">
        <v>3000</v>
      </c>
      <c r="G79" s="2">
        <v>1595</v>
      </c>
      <c r="H79" s="13">
        <v>1.8808777429467085</v>
      </c>
      <c r="I79" s="13"/>
      <c r="BA79">
        <v>78</v>
      </c>
      <c r="BB79" s="12" t="s">
        <v>144</v>
      </c>
      <c r="BD79" t="s">
        <v>33</v>
      </c>
      <c r="BE79" t="s">
        <v>135</v>
      </c>
      <c r="BF79" t="s">
        <v>64</v>
      </c>
      <c r="BG79">
        <f>'[1]Expense Master June-26'!G84</f>
        <v>3200</v>
      </c>
      <c r="BH79">
        <f>'[1]Expense Master June-26'!H84</f>
        <v>1000</v>
      </c>
      <c r="BI79">
        <f>'[1]Expense Master June-26'!I84</f>
        <v>0</v>
      </c>
      <c r="BJ79">
        <f>'[1]Expense Master June-26'!J84</f>
        <v>8260</v>
      </c>
      <c r="BK79">
        <f>'[1]Expense Master June-26'!K84</f>
        <v>400</v>
      </c>
      <c r="BL79">
        <f>'[1]Expense Master June-26'!L84</f>
        <v>650</v>
      </c>
      <c r="BM79">
        <f>'[1]Expense Master June-26'!M84</f>
        <v>0</v>
      </c>
      <c r="BN79">
        <f>'[1]Expense Master June-26'!N84</f>
        <v>2000</v>
      </c>
      <c r="BO79">
        <f>'[1]Expense Master June-26'!O84</f>
        <v>0</v>
      </c>
      <c r="BP79">
        <f>'[1]Expense Master June-26'!P84</f>
        <v>0</v>
      </c>
      <c r="BQ79">
        <f>SUM(SimpleDashData8[[#This Row],[Convayance]:[Misc]])</f>
        <v>15510</v>
      </c>
      <c r="BR79">
        <f>'[1]Expense Master June-26'!R84</f>
        <v>3687</v>
      </c>
      <c r="BS79">
        <f>'[1]Expense Master June-26'!S84</f>
        <v>0</v>
      </c>
      <c r="BT79">
        <f>'[1]Expense Master June-26'!T84</f>
        <v>0</v>
      </c>
      <c r="BU79">
        <f>SUM(SimpleDashData8[[#This Row],[Male]:[Child]])</f>
        <v>3687</v>
      </c>
      <c r="BV79">
        <f>'[1]Expense Master June-26'!V84</f>
        <v>3687</v>
      </c>
      <c r="BW79">
        <f>'[1]Expense Master June-26'!W84</f>
        <v>167.59090909090909</v>
      </c>
      <c r="BZ79">
        <f>SimpleDashData8[[#This Row],[Total Expense]]/SimpleDashData8[[#This Row],[Total Patients]]</f>
        <v>4.2066720911310007</v>
      </c>
      <c r="CA79">
        <v>0</v>
      </c>
    </row>
    <row r="80" spans="1:79" x14ac:dyDescent="0.3">
      <c r="A80">
        <v>69</v>
      </c>
      <c r="B80" t="str">
        <v>QCNM Chitral District Jail</v>
      </c>
      <c r="C80" t="str">
        <v>Trust Act</v>
      </c>
      <c r="D80" t="str">
        <v>Capital Region</v>
      </c>
      <c r="E80" t="str">
        <v>Prison</v>
      </c>
      <c r="F80" s="2">
        <v>1847</v>
      </c>
      <c r="G80" s="2">
        <v>1585</v>
      </c>
      <c r="H80" s="13">
        <v>1.1652996845425867</v>
      </c>
      <c r="I80" s="13"/>
      <c r="BA80">
        <v>79</v>
      </c>
      <c r="BB80" s="12" t="s">
        <v>145</v>
      </c>
      <c r="BD80" t="s">
        <v>33</v>
      </c>
      <c r="BE80" t="s">
        <v>135</v>
      </c>
      <c r="BF80" t="s">
        <v>64</v>
      </c>
      <c r="BG80">
        <f>'[1]Expense Master June-26'!G85</f>
        <v>0</v>
      </c>
      <c r="BH80">
        <f>'[1]Expense Master June-26'!H85</f>
        <v>0</v>
      </c>
      <c r="BI80">
        <f>'[1]Expense Master June-26'!I85</f>
        <v>0</v>
      </c>
      <c r="BJ80">
        <f>'[1]Expense Master June-26'!J85</f>
        <v>650</v>
      </c>
      <c r="BK80">
        <f>'[1]Expense Master June-26'!K85</f>
        <v>90</v>
      </c>
      <c r="BL80">
        <f>'[1]Expense Master June-26'!L85</f>
        <v>750</v>
      </c>
      <c r="BM80">
        <f>'[1]Expense Master June-26'!M85</f>
        <v>0</v>
      </c>
      <c r="BN80">
        <f>'[1]Expense Master June-26'!N85</f>
        <v>380</v>
      </c>
      <c r="BO80">
        <f>'[1]Expense Master June-26'!O85</f>
        <v>0</v>
      </c>
      <c r="BP80">
        <f>'[1]Expense Master June-26'!P85</f>
        <v>0</v>
      </c>
      <c r="BQ80">
        <f>SUM(SimpleDashData8[[#This Row],[Convayance]:[Misc]])</f>
        <v>1870</v>
      </c>
      <c r="BR80">
        <f>'[1]Expense Master June-26'!R85</f>
        <v>862</v>
      </c>
      <c r="BS80">
        <f>'[1]Expense Master June-26'!S85</f>
        <v>0</v>
      </c>
      <c r="BT80">
        <f>'[1]Expense Master June-26'!T85</f>
        <v>0</v>
      </c>
      <c r="BU80">
        <f>SUM(SimpleDashData8[[#This Row],[Male]:[Child]])</f>
        <v>862</v>
      </c>
      <c r="BV80">
        <f>'[1]Expense Master June-26'!V85</f>
        <v>862</v>
      </c>
      <c r="BW80">
        <f>'[1]Expense Master June-26'!W85</f>
        <v>39.18181818181818</v>
      </c>
      <c r="BZ80">
        <f>SimpleDashData8[[#This Row],[Total Expense]]/SimpleDashData8[[#This Row],[Total Patients]]</f>
        <v>2.1693735498839906</v>
      </c>
      <c r="CA80">
        <v>0</v>
      </c>
    </row>
    <row r="81" spans="1:79" x14ac:dyDescent="0.3">
      <c r="A81">
        <v>70</v>
      </c>
      <c r="B81" t="str">
        <v>QCNM Central Jail Mach</v>
      </c>
      <c r="C81" t="str">
        <v>U/S 42</v>
      </c>
      <c r="D81" t="str">
        <v>Sindh, Balochistan &amp; AJK Region</v>
      </c>
      <c r="E81" t="str">
        <v>Prison</v>
      </c>
      <c r="F81" s="2">
        <v>500</v>
      </c>
      <c r="G81" s="2">
        <v>1578</v>
      </c>
      <c r="H81" s="13">
        <v>0.31685678073510776</v>
      </c>
      <c r="I81" s="13"/>
      <c r="BA81">
        <v>80</v>
      </c>
      <c r="BB81" s="12" t="s">
        <v>146</v>
      </c>
      <c r="BD81" t="s">
        <v>33</v>
      </c>
      <c r="BE81" t="s">
        <v>135</v>
      </c>
      <c r="BF81" t="s">
        <v>64</v>
      </c>
      <c r="BG81">
        <f>'[1]Expense Master June-26'!G86</f>
        <v>0</v>
      </c>
      <c r="BH81">
        <f>'[1]Expense Master June-26'!H86</f>
        <v>0</v>
      </c>
      <c r="BI81">
        <f>'[1]Expense Master June-26'!I86</f>
        <v>0</v>
      </c>
      <c r="BJ81">
        <f>'[1]Expense Master June-26'!J86</f>
        <v>8180</v>
      </c>
      <c r="BK81">
        <f>'[1]Expense Master June-26'!K86</f>
        <v>610</v>
      </c>
      <c r="BL81">
        <f>'[1]Expense Master June-26'!L86</f>
        <v>520</v>
      </c>
      <c r="BM81">
        <f>'[1]Expense Master June-26'!M86</f>
        <v>300</v>
      </c>
      <c r="BN81">
        <f>'[1]Expense Master June-26'!N86</f>
        <v>0</v>
      </c>
      <c r="BO81">
        <f>'[1]Expense Master June-26'!O86</f>
        <v>0</v>
      </c>
      <c r="BP81">
        <f>'[1]Expense Master June-26'!P86</f>
        <v>0</v>
      </c>
      <c r="BQ81">
        <f>SUM(SimpleDashData8[[#This Row],[Convayance]:[Misc]])</f>
        <v>9610</v>
      </c>
      <c r="BR81">
        <f>'[1]Expense Master June-26'!R86</f>
        <v>2757</v>
      </c>
      <c r="BS81">
        <f>'[1]Expense Master June-26'!S86</f>
        <v>0</v>
      </c>
      <c r="BT81">
        <f>'[1]Expense Master June-26'!T86</f>
        <v>0</v>
      </c>
      <c r="BU81">
        <f>SUM(SimpleDashData8[[#This Row],[Male]:[Child]])</f>
        <v>2757</v>
      </c>
      <c r="BV81">
        <f>'[1]Expense Master June-26'!V86</f>
        <v>2757</v>
      </c>
      <c r="BW81">
        <f>'[1]Expense Master June-26'!W86</f>
        <v>125.31818181818181</v>
      </c>
      <c r="BZ81">
        <f>SimpleDashData8[[#This Row],[Total Expense]]/SimpleDashData8[[#This Row],[Total Patients]]</f>
        <v>3.4856728327892639</v>
      </c>
      <c r="CA81">
        <v>0</v>
      </c>
    </row>
    <row r="82" spans="1:79" x14ac:dyDescent="0.3">
      <c r="A82">
        <v>71</v>
      </c>
      <c r="B82" t="str">
        <v>QCNM Lahore, Molvi Najjar Ashiana Housing</v>
      </c>
      <c r="C82" t="str">
        <v>Trust Act</v>
      </c>
      <c r="D82" t="str">
        <v>Central Punjab Region</v>
      </c>
      <c r="E82" t="str">
        <v>Public</v>
      </c>
      <c r="F82" s="2">
        <v>25149</v>
      </c>
      <c r="G82" s="2">
        <v>1536</v>
      </c>
      <c r="H82" s="13">
        <v>16.373046875</v>
      </c>
      <c r="I82" s="13"/>
      <c r="BA82">
        <v>81</v>
      </c>
      <c r="BB82" s="12" t="s">
        <v>147</v>
      </c>
      <c r="BD82" t="s">
        <v>33</v>
      </c>
      <c r="BE82" t="s">
        <v>135</v>
      </c>
      <c r="BF82" t="s">
        <v>64</v>
      </c>
      <c r="BG82">
        <f>'[1]Expense Master June-26'!G87</f>
        <v>0</v>
      </c>
      <c r="BH82">
        <f>'[1]Expense Master June-26'!H87</f>
        <v>990</v>
      </c>
      <c r="BI82">
        <f>'[1]Expense Master June-26'!I87</f>
        <v>0</v>
      </c>
      <c r="BJ82">
        <f>'[1]Expense Master June-26'!J87</f>
        <v>3840</v>
      </c>
      <c r="BK82">
        <f>'[1]Expense Master June-26'!K87</f>
        <v>0</v>
      </c>
      <c r="BL82">
        <f>'[1]Expense Master June-26'!L87</f>
        <v>200</v>
      </c>
      <c r="BM82">
        <f>'[1]Expense Master June-26'!M87</f>
        <v>0</v>
      </c>
      <c r="BN82">
        <f>'[1]Expense Master June-26'!N87</f>
        <v>60</v>
      </c>
      <c r="BO82">
        <f>'[1]Expense Master June-26'!O87</f>
        <v>0</v>
      </c>
      <c r="BP82">
        <f>'[1]Expense Master June-26'!P87</f>
        <v>0</v>
      </c>
      <c r="BQ82">
        <f>SUM(SimpleDashData8[[#This Row],[Convayance]:[Misc]])</f>
        <v>5090</v>
      </c>
      <c r="BR82">
        <f>'[1]Expense Master June-26'!R87</f>
        <v>2924</v>
      </c>
      <c r="BS82">
        <f>'[1]Expense Master June-26'!S87</f>
        <v>0</v>
      </c>
      <c r="BT82">
        <f>'[1]Expense Master June-26'!T87</f>
        <v>0</v>
      </c>
      <c r="BU82">
        <f>SUM(SimpleDashData8[[#This Row],[Male]:[Child]])</f>
        <v>2924</v>
      </c>
      <c r="BV82">
        <f>'[1]Expense Master June-26'!V87</f>
        <v>2924</v>
      </c>
      <c r="BW82">
        <f>'[1]Expense Master June-26'!W87</f>
        <v>132.90909090909091</v>
      </c>
      <c r="BZ82">
        <f>SimpleDashData8[[#This Row],[Total Expense]]/SimpleDashData8[[#This Row],[Total Patients]]</f>
        <v>1.740766073871409</v>
      </c>
      <c r="CA82">
        <v>0</v>
      </c>
    </row>
    <row r="83" spans="1:79" x14ac:dyDescent="0.3">
      <c r="A83">
        <v>72</v>
      </c>
      <c r="B83" t="str">
        <v>QCNM Karachi, Central Prison</v>
      </c>
      <c r="C83" t="str">
        <v>Trust Act</v>
      </c>
      <c r="D83" t="str">
        <v>Sindh, Balochistan &amp; AJK Region</v>
      </c>
      <c r="E83" t="str">
        <v>Prison</v>
      </c>
      <c r="F83" s="2">
        <v>4050</v>
      </c>
      <c r="G83" s="2">
        <v>1525</v>
      </c>
      <c r="H83" s="13">
        <v>2.6557377049180326</v>
      </c>
      <c r="I83" s="13"/>
      <c r="BA83">
        <v>82</v>
      </c>
      <c r="BB83" s="12" t="s">
        <v>148</v>
      </c>
      <c r="BD83" t="s">
        <v>33</v>
      </c>
      <c r="BE83" t="s">
        <v>135</v>
      </c>
      <c r="BF83" t="s">
        <v>64</v>
      </c>
      <c r="BG83">
        <f>'[1]Expense Master June-26'!G88</f>
        <v>0</v>
      </c>
      <c r="BH83">
        <f>'[1]Expense Master June-26'!H88</f>
        <v>0</v>
      </c>
      <c r="BI83">
        <f>'[1]Expense Master June-26'!I88</f>
        <v>0</v>
      </c>
      <c r="BJ83">
        <f>'[1]Expense Master June-26'!J88</f>
        <v>0</v>
      </c>
      <c r="BK83">
        <f>'[1]Expense Master June-26'!K88</f>
        <v>610</v>
      </c>
      <c r="BL83">
        <f>'[1]Expense Master June-26'!L88</f>
        <v>620</v>
      </c>
      <c r="BM83">
        <f>'[1]Expense Master June-26'!M88</f>
        <v>0</v>
      </c>
      <c r="BN83">
        <f>'[1]Expense Master June-26'!N88</f>
        <v>0</v>
      </c>
      <c r="BO83">
        <f>'[1]Expense Master June-26'!O88</f>
        <v>0</v>
      </c>
      <c r="BP83">
        <f>'[1]Expense Master June-26'!P88</f>
        <v>0</v>
      </c>
      <c r="BQ83">
        <f>SUM(SimpleDashData8[[#This Row],[Convayance]:[Misc]])</f>
        <v>1230</v>
      </c>
      <c r="BR83">
        <f>'[1]Expense Master June-26'!R88</f>
        <v>3042</v>
      </c>
      <c r="BS83">
        <f>'[1]Expense Master June-26'!S88</f>
        <v>0</v>
      </c>
      <c r="BT83">
        <f>'[1]Expense Master June-26'!T88</f>
        <v>0</v>
      </c>
      <c r="BU83">
        <f>SUM(SimpleDashData8[[#This Row],[Male]:[Child]])</f>
        <v>3042</v>
      </c>
      <c r="BV83">
        <f>'[1]Expense Master June-26'!V88</f>
        <v>3042</v>
      </c>
      <c r="BW83">
        <f>'[1]Expense Master June-26'!W88</f>
        <v>138.27272727272728</v>
      </c>
      <c r="BZ83">
        <f>SimpleDashData8[[#This Row],[Total Expense]]/SimpleDashData8[[#This Row],[Total Patients]]</f>
        <v>0.40433925049309666</v>
      </c>
      <c r="CA83">
        <v>0</v>
      </c>
    </row>
    <row r="84" spans="1:79" x14ac:dyDescent="0.3">
      <c r="A84">
        <v>73</v>
      </c>
      <c r="B84" t="str">
        <v>QCNM Mansehra, District Jail</v>
      </c>
      <c r="C84" t="str">
        <v>Trust Act</v>
      </c>
      <c r="D84" t="str">
        <v>Capital Region</v>
      </c>
      <c r="E84" t="str">
        <v>Prison</v>
      </c>
      <c r="F84" s="2">
        <v>7660</v>
      </c>
      <c r="G84" s="2">
        <v>1499</v>
      </c>
      <c r="H84" s="13">
        <v>5.1100733822548365</v>
      </c>
      <c r="I84" s="13"/>
      <c r="BA84">
        <v>83</v>
      </c>
      <c r="BB84" s="12" t="s">
        <v>149</v>
      </c>
      <c r="BD84" t="s">
        <v>33</v>
      </c>
      <c r="BE84" t="s">
        <v>135</v>
      </c>
      <c r="BF84" t="s">
        <v>64</v>
      </c>
      <c r="BG84">
        <f>'[1]Expense Master June-26'!G89</f>
        <v>0</v>
      </c>
      <c r="BH84">
        <f>'[1]Expense Master June-26'!H89</f>
        <v>0</v>
      </c>
      <c r="BI84">
        <f>'[1]Expense Master June-26'!I89</f>
        <v>500</v>
      </c>
      <c r="BJ84">
        <f>'[1]Expense Master June-26'!J89</f>
        <v>6145</v>
      </c>
      <c r="BK84">
        <f>'[1]Expense Master June-26'!K89</f>
        <v>560</v>
      </c>
      <c r="BL84">
        <f>'[1]Expense Master June-26'!L89</f>
        <v>0</v>
      </c>
      <c r="BM84">
        <f>'[1]Expense Master June-26'!M89</f>
        <v>0</v>
      </c>
      <c r="BN84">
        <f>'[1]Expense Master June-26'!N89</f>
        <v>940</v>
      </c>
      <c r="BO84">
        <f>'[1]Expense Master June-26'!O89</f>
        <v>0</v>
      </c>
      <c r="BP84">
        <f>'[1]Expense Master June-26'!P89</f>
        <v>0</v>
      </c>
      <c r="BQ84">
        <f>SUM(SimpleDashData8[[#This Row],[Convayance]:[Misc]])</f>
        <v>8145</v>
      </c>
      <c r="BR84">
        <f>'[1]Expense Master June-26'!R89</f>
        <v>1732</v>
      </c>
      <c r="BS84">
        <f>'[1]Expense Master June-26'!S89</f>
        <v>0</v>
      </c>
      <c r="BT84">
        <f>'[1]Expense Master June-26'!T89</f>
        <v>0</v>
      </c>
      <c r="BU84">
        <f>SUM(SimpleDashData8[[#This Row],[Male]:[Child]])</f>
        <v>1732</v>
      </c>
      <c r="BV84">
        <f>'[1]Expense Master June-26'!V89</f>
        <v>1732</v>
      </c>
      <c r="BW84">
        <f>'[1]Expense Master June-26'!W89</f>
        <v>78.727272727272734</v>
      </c>
      <c r="BZ84">
        <f>SimpleDashData8[[#This Row],[Total Expense]]/SimpleDashData8[[#This Row],[Total Patients]]</f>
        <v>4.7026558891454968</v>
      </c>
      <c r="CA84">
        <v>0</v>
      </c>
    </row>
    <row r="85" spans="1:79" x14ac:dyDescent="0.3">
      <c r="A85">
        <v>74</v>
      </c>
      <c r="B85" t="str">
        <v xml:space="preserve">QCNM Gujrat, HK Sardar Ali </v>
      </c>
      <c r="C85" t="str">
        <v>Trust Act</v>
      </c>
      <c r="D85" t="str">
        <v>Central Punjab Region</v>
      </c>
      <c r="E85" t="str">
        <v>Public</v>
      </c>
      <c r="F85" s="2">
        <v>7350</v>
      </c>
      <c r="G85" s="2">
        <v>1486</v>
      </c>
      <c r="H85" s="13">
        <v>4.946164199192463</v>
      </c>
      <c r="I85" s="13"/>
      <c r="BA85">
        <v>84</v>
      </c>
      <c r="BB85" s="12" t="s">
        <v>150</v>
      </c>
      <c r="BD85" t="s">
        <v>33</v>
      </c>
      <c r="BE85" t="s">
        <v>135</v>
      </c>
      <c r="BF85" t="s">
        <v>64</v>
      </c>
      <c r="BG85">
        <f>'[1]Expense Master June-26'!G90</f>
        <v>670</v>
      </c>
      <c r="BH85">
        <f>'[1]Expense Master June-26'!H90</f>
        <v>0</v>
      </c>
      <c r="BI85">
        <f>'[1]Expense Master June-26'!I90</f>
        <v>0</v>
      </c>
      <c r="BJ85">
        <f>'[1]Expense Master June-26'!J90</f>
        <v>3650</v>
      </c>
      <c r="BK85">
        <f>'[1]Expense Master June-26'!K90</f>
        <v>630</v>
      </c>
      <c r="BL85">
        <f>'[1]Expense Master June-26'!L90</f>
        <v>280</v>
      </c>
      <c r="BM85">
        <f>'[1]Expense Master June-26'!M90</f>
        <v>0</v>
      </c>
      <c r="BN85">
        <f>'[1]Expense Master June-26'!N90</f>
        <v>200</v>
      </c>
      <c r="BO85">
        <f>'[1]Expense Master June-26'!O90</f>
        <v>0</v>
      </c>
      <c r="BP85">
        <f>'[1]Expense Master June-26'!P90</f>
        <v>0</v>
      </c>
      <c r="BQ85">
        <f>SUM(SimpleDashData8[[#This Row],[Convayance]:[Misc]])</f>
        <v>5430</v>
      </c>
      <c r="BR85">
        <f>'[1]Expense Master June-26'!R90</f>
        <v>3136</v>
      </c>
      <c r="BS85">
        <f>'[1]Expense Master June-26'!S90</f>
        <v>0</v>
      </c>
      <c r="BT85">
        <f>'[1]Expense Master June-26'!T90</f>
        <v>0</v>
      </c>
      <c r="BU85">
        <f>SUM(SimpleDashData8[[#This Row],[Male]:[Child]])</f>
        <v>3136</v>
      </c>
      <c r="BV85">
        <f>'[1]Expense Master June-26'!V90</f>
        <v>3136</v>
      </c>
      <c r="BW85">
        <f>'[1]Expense Master June-26'!W90</f>
        <v>142.54545454545453</v>
      </c>
      <c r="BZ85">
        <f>SimpleDashData8[[#This Row],[Total Expense]]/SimpleDashData8[[#This Row],[Total Patients]]</f>
        <v>1.7315051020408163</v>
      </c>
      <c r="CA85">
        <v>0</v>
      </c>
    </row>
    <row r="86" spans="1:79" x14ac:dyDescent="0.3">
      <c r="A86">
        <v>75</v>
      </c>
      <c r="B86" t="str">
        <v>QCNM Hangu, District Jail</v>
      </c>
      <c r="C86" t="str">
        <v>Trust Act</v>
      </c>
      <c r="D86" t="str">
        <v>Capital Region</v>
      </c>
      <c r="E86" t="str">
        <v>Prison</v>
      </c>
      <c r="F86" s="2">
        <v>0</v>
      </c>
      <c r="G86" s="2">
        <v>1475</v>
      </c>
      <c r="H86" s="13">
        <v>0</v>
      </c>
      <c r="I86" s="13"/>
      <c r="BA86">
        <v>85</v>
      </c>
      <c r="BB86" s="12" t="s">
        <v>151</v>
      </c>
      <c r="BD86" t="s">
        <v>33</v>
      </c>
      <c r="BE86" t="s">
        <v>135</v>
      </c>
      <c r="BF86" t="s">
        <v>64</v>
      </c>
      <c r="BG86">
        <f>'[1]Expense Master June-26'!G91</f>
        <v>0</v>
      </c>
      <c r="BH86">
        <f>'[1]Expense Master June-26'!H91</f>
        <v>0</v>
      </c>
      <c r="BI86">
        <f>'[1]Expense Master June-26'!I91</f>
        <v>0</v>
      </c>
      <c r="BJ86">
        <f>'[1]Expense Master June-26'!J91</f>
        <v>1760</v>
      </c>
      <c r="BK86">
        <f>'[1]Expense Master June-26'!K91</f>
        <v>495</v>
      </c>
      <c r="BL86">
        <f>'[1]Expense Master June-26'!L91</f>
        <v>180</v>
      </c>
      <c r="BM86">
        <f>'[1]Expense Master June-26'!M91</f>
        <v>0</v>
      </c>
      <c r="BN86">
        <f>'[1]Expense Master June-26'!N91</f>
        <v>220</v>
      </c>
      <c r="BO86">
        <f>'[1]Expense Master June-26'!O91</f>
        <v>0</v>
      </c>
      <c r="BP86">
        <f>'[1]Expense Master June-26'!P91</f>
        <v>100</v>
      </c>
      <c r="BQ86">
        <f>SUM(SimpleDashData8[[#This Row],[Convayance]:[Misc]])</f>
        <v>2755</v>
      </c>
      <c r="BR86">
        <f>'[1]Expense Master June-26'!R91</f>
        <v>925</v>
      </c>
      <c r="BS86">
        <f>'[1]Expense Master June-26'!S91</f>
        <v>0</v>
      </c>
      <c r="BT86">
        <f>'[1]Expense Master June-26'!T91</f>
        <v>0</v>
      </c>
      <c r="BU86">
        <f>SUM(SimpleDashData8[[#This Row],[Male]:[Child]])</f>
        <v>925</v>
      </c>
      <c r="BV86">
        <f>'[1]Expense Master June-26'!V91</f>
        <v>925</v>
      </c>
      <c r="BW86">
        <f>'[1]Expense Master June-26'!W91</f>
        <v>42.045454545454547</v>
      </c>
      <c r="BZ86">
        <f>SimpleDashData8[[#This Row],[Total Expense]]/SimpleDashData8[[#This Row],[Total Patients]]</f>
        <v>2.9783783783783786</v>
      </c>
      <c r="CA86">
        <v>0</v>
      </c>
    </row>
    <row r="87" spans="1:79" x14ac:dyDescent="0.3">
      <c r="A87">
        <v>76</v>
      </c>
      <c r="B87" t="str">
        <v>QCNM Burhan, Doke Mughalan</v>
      </c>
      <c r="C87" t="str">
        <v>Trust Act</v>
      </c>
      <c r="D87" t="str">
        <v>South &amp; North Punjab Region</v>
      </c>
      <c r="E87" t="str">
        <v>Public</v>
      </c>
      <c r="F87" s="2">
        <v>9870</v>
      </c>
      <c r="G87" s="2">
        <v>1466</v>
      </c>
      <c r="H87" s="13">
        <v>6.7326057298772168</v>
      </c>
      <c r="I87" s="13"/>
      <c r="BA87">
        <v>86</v>
      </c>
      <c r="BB87" s="12" t="s">
        <v>152</v>
      </c>
      <c r="BD87" t="s">
        <v>33</v>
      </c>
      <c r="BE87" t="s">
        <v>135</v>
      </c>
      <c r="BF87" t="s">
        <v>64</v>
      </c>
      <c r="BG87">
        <f>'[1]Expense Master June-26'!G92</f>
        <v>0</v>
      </c>
      <c r="BH87">
        <f>'[1]Expense Master June-26'!H92</f>
        <v>1000</v>
      </c>
      <c r="BI87">
        <f>'[1]Expense Master June-26'!I92</f>
        <v>0</v>
      </c>
      <c r="BJ87">
        <f>'[1]Expense Master June-26'!J92</f>
        <v>1200</v>
      </c>
      <c r="BK87">
        <f>'[1]Expense Master June-26'!K92</f>
        <v>0</v>
      </c>
      <c r="BL87">
        <f>'[1]Expense Master June-26'!L92</f>
        <v>342</v>
      </c>
      <c r="BM87">
        <f>'[1]Expense Master June-26'!M92</f>
        <v>0</v>
      </c>
      <c r="BN87">
        <f>'[1]Expense Master June-26'!N92</f>
        <v>0</v>
      </c>
      <c r="BO87">
        <f>'[1]Expense Master June-26'!O92</f>
        <v>0</v>
      </c>
      <c r="BP87">
        <f>'[1]Expense Master June-26'!P92</f>
        <v>0</v>
      </c>
      <c r="BQ87">
        <f>SUM(SimpleDashData8[[#This Row],[Convayance]:[Misc]])</f>
        <v>2542</v>
      </c>
      <c r="BR87">
        <f>'[1]Expense Master June-26'!R92</f>
        <v>3161</v>
      </c>
      <c r="BS87">
        <f>'[1]Expense Master June-26'!S92</f>
        <v>0</v>
      </c>
      <c r="BT87">
        <f>'[1]Expense Master June-26'!T92</f>
        <v>0</v>
      </c>
      <c r="BU87">
        <f>SUM(SimpleDashData8[[#This Row],[Male]:[Child]])</f>
        <v>3161</v>
      </c>
      <c r="BV87">
        <f>'[1]Expense Master June-26'!V92</f>
        <v>3161</v>
      </c>
      <c r="BW87">
        <f>'[1]Expense Master June-26'!W92</f>
        <v>143.68181818181819</v>
      </c>
      <c r="BZ87">
        <f>SimpleDashData8[[#This Row],[Total Expense]]/SimpleDashData8[[#This Row],[Total Patients]]</f>
        <v>0.80417589370452391</v>
      </c>
      <c r="CA87">
        <v>0</v>
      </c>
    </row>
    <row r="88" spans="1:79" x14ac:dyDescent="0.3">
      <c r="A88">
        <v>77</v>
      </c>
      <c r="B88" t="str">
        <v>QCNM Kotli District Jail</v>
      </c>
      <c r="C88" t="str">
        <v>Society Act</v>
      </c>
      <c r="D88" t="str">
        <v>Sindh, Balochistan &amp; AJK Region</v>
      </c>
      <c r="E88" t="str">
        <v>Prison</v>
      </c>
      <c r="F88" s="2">
        <v>2500</v>
      </c>
      <c r="G88" s="2">
        <v>1459</v>
      </c>
      <c r="H88" s="13">
        <v>1.7135023989033584</v>
      </c>
      <c r="I88" s="13"/>
      <c r="BA88">
        <v>87</v>
      </c>
      <c r="BB88" s="12" t="s">
        <v>153</v>
      </c>
      <c r="BD88" t="s">
        <v>33</v>
      </c>
      <c r="BE88" t="s">
        <v>135</v>
      </c>
      <c r="BF88" t="s">
        <v>64</v>
      </c>
      <c r="BG88">
        <f>'[1]Expense Master June-26'!G93</f>
        <v>0</v>
      </c>
      <c r="BH88">
        <f>'[1]Expense Master June-26'!H93</f>
        <v>0</v>
      </c>
      <c r="BI88">
        <f>'[1]Expense Master June-26'!I93</f>
        <v>0</v>
      </c>
      <c r="BJ88">
        <f>'[1]Expense Master June-26'!J93</f>
        <v>0</v>
      </c>
      <c r="BK88">
        <f>'[1]Expense Master June-26'!K93</f>
        <v>0</v>
      </c>
      <c r="BL88">
        <f>'[1]Expense Master June-26'!L93</f>
        <v>175</v>
      </c>
      <c r="BM88">
        <f>'[1]Expense Master June-26'!M93</f>
        <v>0</v>
      </c>
      <c r="BN88">
        <f>'[1]Expense Master June-26'!N93</f>
        <v>0</v>
      </c>
      <c r="BO88">
        <f>'[1]Expense Master June-26'!O93</f>
        <v>0</v>
      </c>
      <c r="BP88">
        <f>'[1]Expense Master June-26'!P93</f>
        <v>0</v>
      </c>
      <c r="BQ88">
        <f>SUM(SimpleDashData8[[#This Row],[Convayance]:[Misc]])</f>
        <v>175</v>
      </c>
      <c r="BR88">
        <f>'[1]Expense Master June-26'!R93</f>
        <v>555</v>
      </c>
      <c r="BS88">
        <f>'[1]Expense Master June-26'!S93</f>
        <v>3</v>
      </c>
      <c r="BT88">
        <f>'[1]Expense Master June-26'!T93</f>
        <v>0</v>
      </c>
      <c r="BU88">
        <f>SUM(SimpleDashData8[[#This Row],[Male]:[Child]])</f>
        <v>558</v>
      </c>
      <c r="BV88">
        <f>'[1]Expense Master June-26'!V93</f>
        <v>561</v>
      </c>
      <c r="BW88">
        <f>'[1]Expense Master June-26'!W93</f>
        <v>25.363636363636363</v>
      </c>
      <c r="BZ88">
        <f>SimpleDashData8[[#This Row],[Total Expense]]/SimpleDashData8[[#This Row],[Total Patients]]</f>
        <v>0.31362007168458783</v>
      </c>
      <c r="CA88">
        <v>0</v>
      </c>
    </row>
    <row r="89" spans="1:79" x14ac:dyDescent="0.3">
      <c r="A89">
        <v>78</v>
      </c>
      <c r="B89" t="str">
        <v>QCNM Quetta, District Jail</v>
      </c>
      <c r="C89" t="str">
        <v>U/S 42</v>
      </c>
      <c r="D89" t="str">
        <v>Sindh, Balochistan &amp; AJK Region</v>
      </c>
      <c r="E89" t="str">
        <v>Prison</v>
      </c>
      <c r="F89" s="2">
        <v>1460</v>
      </c>
      <c r="G89" s="2">
        <v>1434</v>
      </c>
      <c r="H89" s="13">
        <v>1.0181311018131103</v>
      </c>
      <c r="I89" s="13"/>
      <c r="BA89">
        <v>88</v>
      </c>
      <c r="BB89" s="12" t="s">
        <v>154</v>
      </c>
      <c r="BD89" t="s">
        <v>33</v>
      </c>
      <c r="BE89" t="s">
        <v>135</v>
      </c>
      <c r="BF89" t="s">
        <v>64</v>
      </c>
      <c r="BG89">
        <f>'[1]Expense Master June-26'!G94</f>
        <v>0</v>
      </c>
      <c r="BH89">
        <f>'[1]Expense Master June-26'!H94</f>
        <v>0</v>
      </c>
      <c r="BI89">
        <f>'[1]Expense Master June-26'!I94</f>
        <v>0</v>
      </c>
      <c r="BJ89">
        <f>'[1]Expense Master June-26'!J94</f>
        <v>7200</v>
      </c>
      <c r="BK89">
        <f>'[1]Expense Master June-26'!K94</f>
        <v>0</v>
      </c>
      <c r="BL89">
        <f>'[1]Expense Master June-26'!L94</f>
        <v>870</v>
      </c>
      <c r="BM89">
        <f>'[1]Expense Master June-26'!M94</f>
        <v>0</v>
      </c>
      <c r="BN89">
        <f>'[1]Expense Master June-26'!N94</f>
        <v>600</v>
      </c>
      <c r="BO89">
        <f>'[1]Expense Master June-26'!O94</f>
        <v>0</v>
      </c>
      <c r="BP89">
        <f>'[1]Expense Master June-26'!P94</f>
        <v>0</v>
      </c>
      <c r="BQ89">
        <f>SUM(SimpleDashData8[[#This Row],[Convayance]:[Misc]])</f>
        <v>8670</v>
      </c>
      <c r="BR89">
        <f>'[1]Expense Master June-26'!R94</f>
        <v>2444</v>
      </c>
      <c r="BS89">
        <f>'[1]Expense Master June-26'!S94</f>
        <v>2</v>
      </c>
      <c r="BT89">
        <f>'[1]Expense Master June-26'!T94</f>
        <v>68</v>
      </c>
      <c r="BU89">
        <f>SUM(SimpleDashData8[[#This Row],[Male]:[Child]])</f>
        <v>2514</v>
      </c>
      <c r="BV89">
        <f>'[1]Expense Master June-26'!V94</f>
        <v>2584</v>
      </c>
      <c r="BW89">
        <f>'[1]Expense Master June-26'!W94</f>
        <v>114.27272727272727</v>
      </c>
      <c r="BZ89">
        <f>SimpleDashData8[[#This Row],[Total Expense]]/SimpleDashData8[[#This Row],[Total Patients]]</f>
        <v>3.4486873508353222</v>
      </c>
      <c r="CA89">
        <v>0</v>
      </c>
    </row>
    <row r="90" spans="1:79" x14ac:dyDescent="0.3">
      <c r="A90">
        <v>79</v>
      </c>
      <c r="B90" t="str">
        <v>QCNM Kohat, District Jail</v>
      </c>
      <c r="C90" t="str">
        <v>Trust Act</v>
      </c>
      <c r="D90" t="str">
        <v>Capital Region</v>
      </c>
      <c r="E90" t="str">
        <v>Prison</v>
      </c>
      <c r="F90" s="2">
        <v>1550</v>
      </c>
      <c r="G90" s="2">
        <v>1409</v>
      </c>
      <c r="H90" s="13">
        <v>1.1000709723207949</v>
      </c>
      <c r="I90" s="13"/>
      <c r="BA90">
        <v>89</v>
      </c>
      <c r="BB90" s="12" t="s">
        <v>155</v>
      </c>
      <c r="BD90" t="s">
        <v>33</v>
      </c>
      <c r="BE90" t="s">
        <v>135</v>
      </c>
      <c r="BF90" t="s">
        <v>64</v>
      </c>
      <c r="BG90">
        <f>'[1]Expense Master June-26'!G95</f>
        <v>4800</v>
      </c>
      <c r="BH90">
        <f>'[1]Expense Master June-26'!H95</f>
        <v>0</v>
      </c>
      <c r="BI90">
        <f>'[1]Expense Master June-26'!I95</f>
        <v>0</v>
      </c>
      <c r="BJ90">
        <f>'[1]Expense Master June-26'!J95</f>
        <v>4700</v>
      </c>
      <c r="BK90">
        <f>'[1]Expense Master June-26'!K95</f>
        <v>300</v>
      </c>
      <c r="BL90">
        <f>'[1]Expense Master June-26'!L95</f>
        <v>360</v>
      </c>
      <c r="BM90">
        <f>'[1]Expense Master June-26'!M95</f>
        <v>0</v>
      </c>
      <c r="BN90">
        <f>'[1]Expense Master June-26'!N95</f>
        <v>0</v>
      </c>
      <c r="BO90">
        <f>'[1]Expense Master June-26'!O95</f>
        <v>0</v>
      </c>
      <c r="BP90">
        <f>'[1]Expense Master June-26'!P95</f>
        <v>0</v>
      </c>
      <c r="BQ90">
        <f>SUM(SimpleDashData8[[#This Row],[Convayance]:[Misc]])</f>
        <v>10160</v>
      </c>
      <c r="BR90">
        <f>'[1]Expense Master June-26'!R95</f>
        <v>2275</v>
      </c>
      <c r="BS90">
        <f>'[1]Expense Master June-26'!S95</f>
        <v>0</v>
      </c>
      <c r="BT90">
        <f>'[1]Expense Master June-26'!T95</f>
        <v>0</v>
      </c>
      <c r="BU90">
        <f>SUM(SimpleDashData8[[#This Row],[Male]:[Child]])</f>
        <v>2275</v>
      </c>
      <c r="BV90">
        <f>'[1]Expense Master June-26'!V95</f>
        <v>2275</v>
      </c>
      <c r="BW90">
        <f>'[1]Expense Master June-26'!W95</f>
        <v>103.40909090909091</v>
      </c>
      <c r="BZ90">
        <f>SimpleDashData8[[#This Row],[Total Expense]]/SimpleDashData8[[#This Row],[Total Patients]]</f>
        <v>4.4659340659340661</v>
      </c>
      <c r="CA90">
        <v>0</v>
      </c>
    </row>
    <row r="91" spans="1:79" x14ac:dyDescent="0.3">
      <c r="A91">
        <v>80</v>
      </c>
      <c r="B91" t="str">
        <v>QCNM, Fedral Urdu University</v>
      </c>
      <c r="C91" t="str">
        <v>Trust Act</v>
      </c>
      <c r="D91" t="str">
        <v>Sindh, Balochistan &amp; AJK Region</v>
      </c>
      <c r="E91" t="str">
        <v>Public</v>
      </c>
      <c r="F91" s="2">
        <v>6135</v>
      </c>
      <c r="G91" s="2">
        <v>1378</v>
      </c>
      <c r="H91" s="13">
        <v>4.4521044992743102</v>
      </c>
      <c r="I91" s="13"/>
      <c r="BA91">
        <v>90</v>
      </c>
      <c r="BB91" s="12" t="s">
        <v>156</v>
      </c>
      <c r="BD91" t="s">
        <v>33</v>
      </c>
      <c r="BE91" t="s">
        <v>135</v>
      </c>
      <c r="BF91" t="s">
        <v>64</v>
      </c>
      <c r="BG91">
        <f>'[1]Expense Master June-26'!G96</f>
        <v>0</v>
      </c>
      <c r="BH91">
        <f>'[1]Expense Master June-26'!H96</f>
        <v>0</v>
      </c>
      <c r="BI91">
        <f>'[1]Expense Master June-26'!I96</f>
        <v>0</v>
      </c>
      <c r="BJ91">
        <f>'[1]Expense Master June-26'!J96</f>
        <v>3550</v>
      </c>
      <c r="BK91">
        <f>'[1]Expense Master June-26'!K96</f>
        <v>600</v>
      </c>
      <c r="BL91">
        <f>'[1]Expense Master June-26'!L96</f>
        <v>0</v>
      </c>
      <c r="BM91">
        <f>'[1]Expense Master June-26'!M96</f>
        <v>0</v>
      </c>
      <c r="BN91">
        <f>'[1]Expense Master June-26'!N96</f>
        <v>790</v>
      </c>
      <c r="BO91">
        <f>'[1]Expense Master June-26'!O96</f>
        <v>0</v>
      </c>
      <c r="BP91">
        <f>'[1]Expense Master June-26'!P96</f>
        <v>0</v>
      </c>
      <c r="BQ91">
        <f>SUM(SimpleDashData8[[#This Row],[Convayance]:[Misc]])</f>
        <v>4940</v>
      </c>
      <c r="BR91">
        <f>'[1]Expense Master June-26'!R96</f>
        <v>2579</v>
      </c>
      <c r="BS91">
        <f>'[1]Expense Master June-26'!S96</f>
        <v>0</v>
      </c>
      <c r="BT91">
        <f>'[1]Expense Master June-26'!T96</f>
        <v>0</v>
      </c>
      <c r="BU91">
        <f>SUM(SimpleDashData8[[#This Row],[Male]:[Child]])</f>
        <v>2579</v>
      </c>
      <c r="BV91">
        <f>'[1]Expense Master June-26'!V96</f>
        <v>2579</v>
      </c>
      <c r="BW91">
        <f>'[1]Expense Master June-26'!W96</f>
        <v>117.22727272727273</v>
      </c>
      <c r="BZ91">
        <f>SimpleDashData8[[#This Row],[Total Expense]]/SimpleDashData8[[#This Row],[Total Patients]]</f>
        <v>1.9154711128344319</v>
      </c>
      <c r="CA91">
        <v>0</v>
      </c>
    </row>
    <row r="92" spans="1:79" x14ac:dyDescent="0.3">
      <c r="A92">
        <v>81</v>
      </c>
      <c r="B92" t="str">
        <v>Lahore, QCNM Saggian</v>
      </c>
      <c r="C92" t="str">
        <v>Trust Act</v>
      </c>
      <c r="D92" t="str">
        <v>Central Punjab Region</v>
      </c>
      <c r="E92" t="str">
        <v>Public</v>
      </c>
      <c r="F92" s="2">
        <v>16060</v>
      </c>
      <c r="G92" s="2">
        <v>1364</v>
      </c>
      <c r="H92" s="13">
        <v>11.774193548387096</v>
      </c>
      <c r="I92" s="13"/>
      <c r="BA92">
        <v>91</v>
      </c>
      <c r="BB92" s="12" t="s">
        <v>157</v>
      </c>
      <c r="BD92" t="s">
        <v>33</v>
      </c>
      <c r="BE92" t="s">
        <v>135</v>
      </c>
      <c r="BF92" t="s">
        <v>64</v>
      </c>
      <c r="BG92">
        <f>'[1]Expense Master June-26'!G97</f>
        <v>0</v>
      </c>
      <c r="BH92">
        <f>'[1]Expense Master June-26'!H97</f>
        <v>1010</v>
      </c>
      <c r="BI92">
        <f>'[1]Expense Master June-26'!I97</f>
        <v>0</v>
      </c>
      <c r="BJ92">
        <f>'[1]Expense Master June-26'!J97</f>
        <v>2590</v>
      </c>
      <c r="BK92">
        <f>'[1]Expense Master June-26'!K97</f>
        <v>510</v>
      </c>
      <c r="BL92">
        <f>'[1]Expense Master June-26'!L97</f>
        <v>500</v>
      </c>
      <c r="BM92">
        <f>'[1]Expense Master June-26'!M97</f>
        <v>0</v>
      </c>
      <c r="BN92">
        <f>'[1]Expense Master June-26'!N97</f>
        <v>80</v>
      </c>
      <c r="BO92">
        <f>'[1]Expense Master June-26'!O97</f>
        <v>0</v>
      </c>
      <c r="BP92">
        <f>'[1]Expense Master June-26'!P97</f>
        <v>0</v>
      </c>
      <c r="BQ92">
        <f>SUM(SimpleDashData8[[#This Row],[Convayance]:[Misc]])</f>
        <v>4690</v>
      </c>
      <c r="BR92">
        <f>'[1]Expense Master June-26'!R97</f>
        <v>1211</v>
      </c>
      <c r="BS92">
        <f>'[1]Expense Master June-26'!S97</f>
        <v>0</v>
      </c>
      <c r="BT92">
        <f>'[1]Expense Master June-26'!T97</f>
        <v>0</v>
      </c>
      <c r="BU92">
        <f>SUM(SimpleDashData8[[#This Row],[Male]:[Child]])</f>
        <v>1211</v>
      </c>
      <c r="BV92">
        <f>'[1]Expense Master June-26'!V97</f>
        <v>1211</v>
      </c>
      <c r="BW92">
        <f>'[1]Expense Master June-26'!W97</f>
        <v>55.045454545454547</v>
      </c>
      <c r="BZ92">
        <f>SimpleDashData8[[#This Row],[Total Expense]]/SimpleDashData8[[#This Row],[Total Patients]]</f>
        <v>3.8728323699421967</v>
      </c>
      <c r="CA92">
        <v>0</v>
      </c>
    </row>
    <row r="93" spans="1:79" x14ac:dyDescent="0.3">
      <c r="A93">
        <v>82</v>
      </c>
      <c r="B93" t="str">
        <v>QCNM Nowshera, Sub Jail</v>
      </c>
      <c r="C93" t="str">
        <v>Trust Act</v>
      </c>
      <c r="D93" t="str">
        <v>Capital Region</v>
      </c>
      <c r="E93" t="str">
        <v>Prison</v>
      </c>
      <c r="F93" s="2">
        <v>630</v>
      </c>
      <c r="G93" s="2">
        <v>1342</v>
      </c>
      <c r="H93" s="13">
        <v>0.46944858420268254</v>
      </c>
      <c r="I93" s="13"/>
      <c r="BA93">
        <v>92</v>
      </c>
      <c r="BB93" s="12" t="s">
        <v>158</v>
      </c>
      <c r="BD93" t="s">
        <v>33</v>
      </c>
      <c r="BE93" t="s">
        <v>135</v>
      </c>
      <c r="BF93" t="s">
        <v>64</v>
      </c>
      <c r="BG93">
        <f>'[1]Expense Master June-26'!G98</f>
        <v>7500</v>
      </c>
      <c r="BH93">
        <f>'[1]Expense Master June-26'!H98</f>
        <v>1000</v>
      </c>
      <c r="BI93">
        <f>'[1]Expense Master June-26'!I98</f>
        <v>0</v>
      </c>
      <c r="BJ93">
        <f>'[1]Expense Master June-26'!J98</f>
        <v>5760</v>
      </c>
      <c r="BK93">
        <f>'[1]Expense Master June-26'!K98</f>
        <v>570</v>
      </c>
      <c r="BL93">
        <f>'[1]Expense Master June-26'!L98</f>
        <v>0</v>
      </c>
      <c r="BM93">
        <f>'[1]Expense Master June-26'!M98</f>
        <v>0</v>
      </c>
      <c r="BN93">
        <f>'[1]Expense Master June-26'!N98</f>
        <v>610</v>
      </c>
      <c r="BO93">
        <f>'[1]Expense Master June-26'!O98</f>
        <v>460</v>
      </c>
      <c r="BP93">
        <f>'[1]Expense Master June-26'!P98</f>
        <v>0</v>
      </c>
      <c r="BQ93">
        <f>SUM(SimpleDashData8[[#This Row],[Convayance]:[Misc]])</f>
        <v>15900</v>
      </c>
      <c r="BR93">
        <f>'[1]Expense Master June-26'!R98</f>
        <v>2062</v>
      </c>
      <c r="BS93">
        <f>'[1]Expense Master June-26'!S98</f>
        <v>0</v>
      </c>
      <c r="BT93">
        <f>'[1]Expense Master June-26'!T98</f>
        <v>0</v>
      </c>
      <c r="BU93">
        <f>SUM(SimpleDashData8[[#This Row],[Male]:[Child]])</f>
        <v>2062</v>
      </c>
      <c r="BV93">
        <f>'[1]Expense Master June-26'!V98</f>
        <v>2062</v>
      </c>
      <c r="BW93">
        <f>'[1]Expense Master June-26'!W98</f>
        <v>93.727272727272734</v>
      </c>
      <c r="BZ93">
        <f>SimpleDashData8[[#This Row],[Total Expense]]/SimpleDashData8[[#This Row],[Total Patients]]</f>
        <v>7.7109602327837052</v>
      </c>
      <c r="CA93">
        <v>0</v>
      </c>
    </row>
    <row r="94" spans="1:79" x14ac:dyDescent="0.3">
      <c r="A94">
        <v>83</v>
      </c>
      <c r="B94" t="str">
        <v>QCNM Rahim Yar Khan, District Jail</v>
      </c>
      <c r="C94" t="str">
        <v>Trust Act</v>
      </c>
      <c r="D94" t="str">
        <v>South &amp; North Punjab Region</v>
      </c>
      <c r="E94" t="str">
        <v>Prison</v>
      </c>
      <c r="F94" s="2">
        <v>10974</v>
      </c>
      <c r="G94" s="2">
        <v>1341</v>
      </c>
      <c r="H94" s="13">
        <v>8.1834451901565988</v>
      </c>
      <c r="I94" s="13"/>
      <c r="BA94">
        <v>93</v>
      </c>
      <c r="BB94" s="12" t="s">
        <v>159</v>
      </c>
      <c r="BD94" t="s">
        <v>33</v>
      </c>
      <c r="BE94" t="s">
        <v>135</v>
      </c>
      <c r="BF94" t="s">
        <v>64</v>
      </c>
      <c r="BG94">
        <f>'[1]Expense Master June-26'!G99</f>
        <v>0</v>
      </c>
      <c r="BH94">
        <f>'[1]Expense Master June-26'!H99</f>
        <v>660</v>
      </c>
      <c r="BI94">
        <f>'[1]Expense Master June-26'!I99</f>
        <v>1000</v>
      </c>
      <c r="BJ94">
        <f>'[1]Expense Master June-26'!J99</f>
        <v>8030</v>
      </c>
      <c r="BK94">
        <f>'[1]Expense Master June-26'!K99</f>
        <v>500</v>
      </c>
      <c r="BL94">
        <f>'[1]Expense Master June-26'!L99</f>
        <v>790</v>
      </c>
      <c r="BM94">
        <f>'[1]Expense Master June-26'!M99</f>
        <v>0</v>
      </c>
      <c r="BN94">
        <f>'[1]Expense Master June-26'!N99</f>
        <v>700</v>
      </c>
      <c r="BO94">
        <f>'[1]Expense Master June-26'!O99</f>
        <v>0</v>
      </c>
      <c r="BP94">
        <f>'[1]Expense Master June-26'!P99</f>
        <v>0</v>
      </c>
      <c r="BQ94">
        <f>SUM(SimpleDashData8[[#This Row],[Convayance]:[Misc]])</f>
        <v>11680</v>
      </c>
      <c r="BR94">
        <f>'[1]Expense Master June-26'!R99</f>
        <v>2932</v>
      </c>
      <c r="BS94">
        <f>'[1]Expense Master June-26'!S99</f>
        <v>0</v>
      </c>
      <c r="BT94">
        <f>'[1]Expense Master June-26'!T99</f>
        <v>0</v>
      </c>
      <c r="BU94">
        <f>SUM(SimpleDashData8[[#This Row],[Male]:[Child]])</f>
        <v>2932</v>
      </c>
      <c r="BV94">
        <f>'[1]Expense Master June-26'!V99</f>
        <v>2932</v>
      </c>
      <c r="BW94">
        <f>'[1]Expense Master June-26'!W99</f>
        <v>133.27272727272728</v>
      </c>
      <c r="BZ94">
        <f>SimpleDashData8[[#This Row],[Total Expense]]/SimpleDashData8[[#This Row],[Total Patients]]</f>
        <v>3.9836289222373806</v>
      </c>
      <c r="CA94">
        <v>0</v>
      </c>
    </row>
    <row r="95" spans="1:79" x14ac:dyDescent="0.3">
      <c r="A95">
        <v>84</v>
      </c>
      <c r="B95" t="str">
        <v>QCNM University of Karachi</v>
      </c>
      <c r="C95" t="str">
        <v>Trust Act</v>
      </c>
      <c r="D95" t="str">
        <v>Sindh, Balochistan &amp; AJK Region</v>
      </c>
      <c r="E95" t="str">
        <v>Public</v>
      </c>
      <c r="F95" s="2">
        <v>9150</v>
      </c>
      <c r="G95" s="2">
        <v>1320</v>
      </c>
      <c r="H95" s="13">
        <v>6.9318181818181817</v>
      </c>
      <c r="I95" s="13"/>
      <c r="BA95">
        <v>94</v>
      </c>
      <c r="BB95" s="12" t="s">
        <v>160</v>
      </c>
      <c r="BD95" t="s">
        <v>33</v>
      </c>
      <c r="BE95" t="s">
        <v>135</v>
      </c>
      <c r="BF95" t="s">
        <v>64</v>
      </c>
      <c r="BG95">
        <f>'[1]Expense Master June-26'!G100</f>
        <v>500</v>
      </c>
      <c r="BH95">
        <f>'[1]Expense Master June-26'!H100</f>
        <v>1000</v>
      </c>
      <c r="BI95">
        <f>'[1]Expense Master June-26'!I100</f>
        <v>0</v>
      </c>
      <c r="BJ95">
        <f>'[1]Expense Master June-26'!J100</f>
        <v>0</v>
      </c>
      <c r="BK95">
        <f>'[1]Expense Master June-26'!K100</f>
        <v>518</v>
      </c>
      <c r="BL95">
        <f>'[1]Expense Master June-26'!L100</f>
        <v>945</v>
      </c>
      <c r="BM95">
        <f>'[1]Expense Master June-26'!M100</f>
        <v>0</v>
      </c>
      <c r="BN95">
        <f>'[1]Expense Master June-26'!N100</f>
        <v>190</v>
      </c>
      <c r="BO95">
        <f>'[1]Expense Master June-26'!O100</f>
        <v>0</v>
      </c>
      <c r="BP95">
        <f>'[1]Expense Master June-26'!P100</f>
        <v>0</v>
      </c>
      <c r="BQ95">
        <f>SUM(SimpleDashData8[[#This Row],[Convayance]:[Misc]])</f>
        <v>3153</v>
      </c>
      <c r="BR95">
        <f>'[1]Expense Master June-26'!R100</f>
        <v>2243</v>
      </c>
      <c r="BS95">
        <f>'[1]Expense Master June-26'!S100</f>
        <v>0</v>
      </c>
      <c r="BT95">
        <f>'[1]Expense Master June-26'!T100</f>
        <v>0</v>
      </c>
      <c r="BU95">
        <f>SUM(SimpleDashData8[[#This Row],[Male]:[Child]])</f>
        <v>2243</v>
      </c>
      <c r="BV95">
        <f>'[1]Expense Master June-26'!V100</f>
        <v>2243</v>
      </c>
      <c r="BW95">
        <f>'[1]Expense Master June-26'!W100</f>
        <v>101.95454545454545</v>
      </c>
      <c r="BZ95">
        <f>SimpleDashData8[[#This Row],[Total Expense]]/SimpleDashData8[[#This Row],[Total Patients]]</f>
        <v>1.4057066428889879</v>
      </c>
      <c r="CA95">
        <v>0</v>
      </c>
    </row>
    <row r="96" spans="1:79" x14ac:dyDescent="0.3">
      <c r="A96">
        <v>85</v>
      </c>
      <c r="B96" t="str">
        <v>QCNM Muzaffarabad Central Jail</v>
      </c>
      <c r="C96" t="str">
        <v>Society Act</v>
      </c>
      <c r="D96" t="str">
        <v>Sindh, Balochistan &amp; AJK Region</v>
      </c>
      <c r="E96" t="str">
        <v>Prison</v>
      </c>
      <c r="F96" s="2">
        <v>6400</v>
      </c>
      <c r="G96" s="2">
        <v>1298</v>
      </c>
      <c r="H96" s="13">
        <v>4.9306625577812015</v>
      </c>
      <c r="I96" s="13"/>
      <c r="BA96">
        <v>95</v>
      </c>
      <c r="BB96" s="12" t="s">
        <v>161</v>
      </c>
      <c r="BD96" t="s">
        <v>33</v>
      </c>
      <c r="BE96" t="s">
        <v>135</v>
      </c>
      <c r="BF96" t="s">
        <v>64</v>
      </c>
      <c r="BG96">
        <f>'[1]Expense Master June-26'!G101</f>
        <v>0</v>
      </c>
      <c r="BH96">
        <f>'[1]Expense Master June-26'!H101</f>
        <v>0</v>
      </c>
      <c r="BI96">
        <f>'[1]Expense Master June-26'!I101</f>
        <v>0</v>
      </c>
      <c r="BJ96">
        <f>'[1]Expense Master June-26'!J101</f>
        <v>6250</v>
      </c>
      <c r="BK96">
        <f>'[1]Expense Master June-26'!K101</f>
        <v>570</v>
      </c>
      <c r="BL96">
        <f>'[1]Expense Master June-26'!L101</f>
        <v>170</v>
      </c>
      <c r="BM96">
        <f>'[1]Expense Master June-26'!M101</f>
        <v>0</v>
      </c>
      <c r="BN96">
        <f>'[1]Expense Master June-26'!N101</f>
        <v>90</v>
      </c>
      <c r="BO96">
        <f>'[1]Expense Master June-26'!O101</f>
        <v>1000</v>
      </c>
      <c r="BP96">
        <f>'[1]Expense Master June-26'!P101</f>
        <v>0</v>
      </c>
      <c r="BQ96">
        <f>SUM(SimpleDashData8[[#This Row],[Convayance]:[Misc]])</f>
        <v>8080</v>
      </c>
      <c r="BR96">
        <f>'[1]Expense Master June-26'!R101</f>
        <v>1870</v>
      </c>
      <c r="BS96">
        <f>'[1]Expense Master June-26'!S101</f>
        <v>0</v>
      </c>
      <c r="BT96">
        <f>'[1]Expense Master June-26'!T101</f>
        <v>0</v>
      </c>
      <c r="BU96">
        <f>SUM(SimpleDashData8[[#This Row],[Male]:[Child]])</f>
        <v>1870</v>
      </c>
      <c r="BV96">
        <f>'[1]Expense Master June-26'!V101</f>
        <v>1870</v>
      </c>
      <c r="BW96">
        <f>'[1]Expense Master June-26'!W101</f>
        <v>85</v>
      </c>
      <c r="BZ96">
        <f>SimpleDashData8[[#This Row],[Total Expense]]/SimpleDashData8[[#This Row],[Total Patients]]</f>
        <v>4.3208556149732624</v>
      </c>
      <c r="CA96">
        <v>0</v>
      </c>
    </row>
    <row r="97" spans="1:79" x14ac:dyDescent="0.3">
      <c r="A97">
        <v>86</v>
      </c>
      <c r="B97" t="str">
        <v>QCNM Khairpur, Central Jail</v>
      </c>
      <c r="C97" t="str">
        <v>Trust Act</v>
      </c>
      <c r="D97" t="str">
        <v>Sindh, Balochistan &amp; AJK Region</v>
      </c>
      <c r="E97" t="str">
        <v>Prison</v>
      </c>
      <c r="F97" s="2">
        <v>2100</v>
      </c>
      <c r="G97" s="2">
        <v>1285</v>
      </c>
      <c r="H97" s="13">
        <v>1.6342412451361867</v>
      </c>
      <c r="I97" s="13"/>
      <c r="BA97">
        <v>96</v>
      </c>
      <c r="BB97" s="12" t="s">
        <v>162</v>
      </c>
      <c r="BD97" t="s">
        <v>33</v>
      </c>
      <c r="BE97" t="s">
        <v>135</v>
      </c>
      <c r="BF97" t="s">
        <v>64</v>
      </c>
      <c r="BG97">
        <f>'[1]Expense Master June-26'!G102</f>
        <v>0</v>
      </c>
      <c r="BH97">
        <f>'[1]Expense Master June-26'!H102</f>
        <v>1000</v>
      </c>
      <c r="BI97">
        <f>'[1]Expense Master June-26'!I102</f>
        <v>0</v>
      </c>
      <c r="BJ97">
        <f>'[1]Expense Master June-26'!J102</f>
        <v>6570</v>
      </c>
      <c r="BK97">
        <f>'[1]Expense Master June-26'!K102</f>
        <v>560</v>
      </c>
      <c r="BL97">
        <f>'[1]Expense Master June-26'!L102</f>
        <v>460</v>
      </c>
      <c r="BM97">
        <f>'[1]Expense Master June-26'!M102</f>
        <v>0</v>
      </c>
      <c r="BN97">
        <f>'[1]Expense Master June-26'!N102</f>
        <v>0</v>
      </c>
      <c r="BO97">
        <f>'[1]Expense Master June-26'!O102</f>
        <v>0</v>
      </c>
      <c r="BP97">
        <f>'[1]Expense Master June-26'!P102</f>
        <v>0</v>
      </c>
      <c r="BQ97">
        <f>SUM(SimpleDashData8[[#This Row],[Convayance]:[Misc]])</f>
        <v>8590</v>
      </c>
      <c r="BR97">
        <f>'[1]Expense Master June-26'!R102</f>
        <v>2041</v>
      </c>
      <c r="BS97">
        <f>'[1]Expense Master June-26'!S102</f>
        <v>0</v>
      </c>
      <c r="BT97">
        <f>'[1]Expense Master June-26'!T102</f>
        <v>0</v>
      </c>
      <c r="BU97">
        <f>SUM(SimpleDashData8[[#This Row],[Male]:[Child]])</f>
        <v>2041</v>
      </c>
      <c r="BV97">
        <f>'[1]Expense Master June-26'!V102</f>
        <v>2041</v>
      </c>
      <c r="BW97">
        <f>'[1]Expense Master June-26'!W102</f>
        <v>92.772727272727266</v>
      </c>
      <c r="BZ97">
        <f>SimpleDashData8[[#This Row],[Total Expense]]/SimpleDashData8[[#This Row],[Total Patients]]</f>
        <v>4.2087212150906419</v>
      </c>
      <c r="CA97">
        <v>0</v>
      </c>
    </row>
    <row r="98" spans="1:79" x14ac:dyDescent="0.3">
      <c r="A98">
        <v>87</v>
      </c>
      <c r="B98" t="str">
        <v>QCNM Gift University Gujranwala</v>
      </c>
      <c r="C98" t="str">
        <v>Trust Act</v>
      </c>
      <c r="D98" t="str">
        <v>Central Punjab Region</v>
      </c>
      <c r="E98" t="str">
        <v>Public</v>
      </c>
      <c r="F98" s="2">
        <v>6000</v>
      </c>
      <c r="G98" s="2">
        <v>1284</v>
      </c>
      <c r="H98" s="13">
        <v>4.6728971962616823</v>
      </c>
      <c r="I98" s="13"/>
      <c r="BA98">
        <v>97</v>
      </c>
      <c r="BB98" s="12" t="s">
        <v>163</v>
      </c>
      <c r="BD98" t="s">
        <v>33</v>
      </c>
      <c r="BE98" t="s">
        <v>135</v>
      </c>
      <c r="BF98" t="s">
        <v>64</v>
      </c>
      <c r="BG98">
        <f>'[1]Expense Master June-26'!G103</f>
        <v>3000</v>
      </c>
      <c r="BH98">
        <f>'[1]Expense Master June-26'!H103</f>
        <v>0</v>
      </c>
      <c r="BI98">
        <f>'[1]Expense Master June-26'!I103</f>
        <v>0</v>
      </c>
      <c r="BJ98">
        <f>'[1]Expense Master June-26'!J103</f>
        <v>580</v>
      </c>
      <c r="BK98">
        <f>'[1]Expense Master June-26'!K103</f>
        <v>560</v>
      </c>
      <c r="BL98">
        <f>'[1]Expense Master June-26'!L103</f>
        <v>300</v>
      </c>
      <c r="BM98">
        <f>'[1]Expense Master June-26'!M103</f>
        <v>0</v>
      </c>
      <c r="BN98">
        <f>'[1]Expense Master June-26'!N103</f>
        <v>0</v>
      </c>
      <c r="BO98">
        <f>'[1]Expense Master June-26'!O103</f>
        <v>0</v>
      </c>
      <c r="BP98">
        <f>'[1]Expense Master June-26'!P103</f>
        <v>911</v>
      </c>
      <c r="BQ98">
        <f>SUM(SimpleDashData8[[#This Row],[Convayance]:[Misc]])</f>
        <v>5351</v>
      </c>
      <c r="BR98">
        <f>'[1]Expense Master June-26'!R103</f>
        <v>127</v>
      </c>
      <c r="BS98">
        <f>'[1]Expense Master June-26'!S103</f>
        <v>553</v>
      </c>
      <c r="BT98">
        <f>'[1]Expense Master June-26'!T103</f>
        <v>200</v>
      </c>
      <c r="BU98">
        <f>SUM(SimpleDashData8[[#This Row],[Male]:[Child]])</f>
        <v>880</v>
      </c>
      <c r="BV98">
        <f>'[1]Expense Master June-26'!V103</f>
        <v>1633</v>
      </c>
      <c r="BW98">
        <f>'[1]Expense Master June-26'!W103</f>
        <v>40</v>
      </c>
      <c r="BZ98">
        <f>SimpleDashData8[[#This Row],[Total Expense]]/SimpleDashData8[[#This Row],[Total Patients]]</f>
        <v>6.0806818181818185</v>
      </c>
      <c r="CA98">
        <v>0</v>
      </c>
    </row>
    <row r="99" spans="1:79" x14ac:dyDescent="0.3">
      <c r="A99">
        <v>88</v>
      </c>
      <c r="B99" t="str">
        <v>QCNM RHC Washbood</v>
      </c>
      <c r="C99" t="str">
        <v>U/S 42</v>
      </c>
      <c r="D99" t="str">
        <v>Sindh, Balochistan &amp; AJK Region</v>
      </c>
      <c r="E99" t="str">
        <v>Public</v>
      </c>
      <c r="F99" s="2">
        <v>600</v>
      </c>
      <c r="G99" s="2">
        <v>1265</v>
      </c>
      <c r="H99" s="13">
        <v>0.4743083003952569</v>
      </c>
      <c r="I99" s="13"/>
      <c r="BA99">
        <v>98</v>
      </c>
      <c r="BB99" s="12" t="s">
        <v>164</v>
      </c>
      <c r="BD99" t="s">
        <v>33</v>
      </c>
      <c r="BE99" t="s">
        <v>135</v>
      </c>
      <c r="BF99" t="s">
        <v>64</v>
      </c>
      <c r="BG99">
        <f>'[1]Expense Master June-26'!G104</f>
        <v>0</v>
      </c>
      <c r="BH99">
        <f>'[1]Expense Master June-26'!H104</f>
        <v>0</v>
      </c>
      <c r="BI99">
        <f>'[1]Expense Master June-26'!I104</f>
        <v>0</v>
      </c>
      <c r="BJ99">
        <f>'[1]Expense Master June-26'!J104</f>
        <v>1110</v>
      </c>
      <c r="BK99">
        <f>'[1]Expense Master June-26'!K104</f>
        <v>460</v>
      </c>
      <c r="BL99">
        <f>'[1]Expense Master June-26'!L104</f>
        <v>0</v>
      </c>
      <c r="BM99">
        <f>'[1]Expense Master June-26'!M104</f>
        <v>0</v>
      </c>
      <c r="BN99">
        <f>'[1]Expense Master June-26'!N104</f>
        <v>550</v>
      </c>
      <c r="BO99">
        <f>'[1]Expense Master June-26'!O104</f>
        <v>0</v>
      </c>
      <c r="BP99">
        <f>'[1]Expense Master June-26'!P104</f>
        <v>0</v>
      </c>
      <c r="BQ99">
        <f>SUM(SimpleDashData8[[#This Row],[Convayance]:[Misc]])</f>
        <v>2120</v>
      </c>
      <c r="BR99">
        <f>'[1]Expense Master June-26'!R104</f>
        <v>1686</v>
      </c>
      <c r="BS99">
        <f>'[1]Expense Master June-26'!S104</f>
        <v>21</v>
      </c>
      <c r="BT99">
        <f>'[1]Expense Master June-26'!T104</f>
        <v>0</v>
      </c>
      <c r="BU99">
        <f>SUM(SimpleDashData8[[#This Row],[Male]:[Child]])</f>
        <v>1707</v>
      </c>
      <c r="BV99">
        <f>'[1]Expense Master June-26'!V104</f>
        <v>1728</v>
      </c>
      <c r="BW99">
        <f>'[1]Expense Master June-26'!W104</f>
        <v>77.590909090909093</v>
      </c>
      <c r="BZ99">
        <f>SimpleDashData8[[#This Row],[Total Expense]]/SimpleDashData8[[#This Row],[Total Patients]]</f>
        <v>1.2419449326303456</v>
      </c>
      <c r="CA99">
        <v>0</v>
      </c>
    </row>
    <row r="100" spans="1:79" x14ac:dyDescent="0.3">
      <c r="A100">
        <v>89</v>
      </c>
      <c r="B100" t="str">
        <v>QCNM Sardar Bahdur Khan University</v>
      </c>
      <c r="C100" t="str">
        <v>Trust Act</v>
      </c>
      <c r="D100" t="str">
        <v>Sindh, Balochistan &amp; AJK Region</v>
      </c>
      <c r="E100" t="str">
        <v>Public</v>
      </c>
      <c r="F100" s="2">
        <v>6800</v>
      </c>
      <c r="G100" s="2">
        <v>1242</v>
      </c>
      <c r="H100" s="13">
        <v>5.4750402576489536</v>
      </c>
      <c r="I100" s="13"/>
      <c r="BA100">
        <v>99</v>
      </c>
      <c r="BB100" s="12" t="s">
        <v>165</v>
      </c>
      <c r="BD100" t="s">
        <v>33</v>
      </c>
      <c r="BE100" t="s">
        <v>135</v>
      </c>
      <c r="BF100" t="s">
        <v>64</v>
      </c>
      <c r="BG100">
        <f>'[1]Expense Master June-26'!G105</f>
        <v>0</v>
      </c>
      <c r="BH100">
        <f>'[1]Expense Master June-26'!H105</f>
        <v>0</v>
      </c>
      <c r="BI100">
        <f>'[1]Expense Master June-26'!I105</f>
        <v>0</v>
      </c>
      <c r="BJ100">
        <f>'[1]Expense Master June-26'!J105</f>
        <v>2290</v>
      </c>
      <c r="BK100">
        <f>'[1]Expense Master June-26'!K105</f>
        <v>575</v>
      </c>
      <c r="BL100">
        <f>'[1]Expense Master June-26'!L105</f>
        <v>600</v>
      </c>
      <c r="BM100">
        <f>'[1]Expense Master June-26'!M105</f>
        <v>0</v>
      </c>
      <c r="BN100">
        <f>'[1]Expense Master June-26'!N105</f>
        <v>380</v>
      </c>
      <c r="BO100">
        <f>'[1]Expense Master June-26'!O105</f>
        <v>0</v>
      </c>
      <c r="BP100">
        <f>'[1]Expense Master June-26'!P105</f>
        <v>0</v>
      </c>
      <c r="BQ100">
        <f>SUM(SimpleDashData8[[#This Row],[Convayance]:[Misc]])</f>
        <v>3845</v>
      </c>
      <c r="BR100">
        <f>'[1]Expense Master June-26'!R105</f>
        <v>2313</v>
      </c>
      <c r="BS100">
        <f>'[1]Expense Master June-26'!S105</f>
        <v>0</v>
      </c>
      <c r="BT100">
        <f>'[1]Expense Master June-26'!T105</f>
        <v>0</v>
      </c>
      <c r="BU100">
        <f>SUM(SimpleDashData8[[#This Row],[Male]:[Child]])</f>
        <v>2313</v>
      </c>
      <c r="BV100">
        <f>'[1]Expense Master June-26'!V105</f>
        <v>2313</v>
      </c>
      <c r="BW100">
        <f>'[1]Expense Master June-26'!W105</f>
        <v>105.13636363636364</v>
      </c>
      <c r="BZ100">
        <f>SimpleDashData8[[#This Row],[Total Expense]]/SimpleDashData8[[#This Row],[Total Patients]]</f>
        <v>1.6623432771292694</v>
      </c>
      <c r="CA100">
        <v>0</v>
      </c>
    </row>
    <row r="101" spans="1:79" x14ac:dyDescent="0.3">
      <c r="A101">
        <v>90</v>
      </c>
      <c r="B101" t="str">
        <v>QCNM Hyderabad, Central Prison</v>
      </c>
      <c r="C101" t="str">
        <v>Trust Act</v>
      </c>
      <c r="D101" t="str">
        <v>Sindh, Balochistan &amp; AJK Region</v>
      </c>
      <c r="E101" t="str">
        <v>Prison</v>
      </c>
      <c r="F101" s="2">
        <v>4033</v>
      </c>
      <c r="G101" s="2">
        <v>1239</v>
      </c>
      <c r="H101" s="13">
        <v>3.255044390637611</v>
      </c>
      <c r="I101" s="13"/>
      <c r="BA101">
        <v>100</v>
      </c>
      <c r="BB101" s="12" t="s">
        <v>166</v>
      </c>
      <c r="BD101" t="s">
        <v>33</v>
      </c>
      <c r="BE101" t="s">
        <v>135</v>
      </c>
      <c r="BF101" t="s">
        <v>64</v>
      </c>
      <c r="BG101">
        <f>'[1]Expense Master June-26'!G106</f>
        <v>9220</v>
      </c>
      <c r="BH101">
        <f>'[1]Expense Master June-26'!H106</f>
        <v>1000</v>
      </c>
      <c r="BI101">
        <f>'[1]Expense Master June-26'!I106</f>
        <v>0</v>
      </c>
      <c r="BJ101">
        <f>'[1]Expense Master June-26'!J106</f>
        <v>800</v>
      </c>
      <c r="BK101">
        <f>'[1]Expense Master June-26'!K106</f>
        <v>560</v>
      </c>
      <c r="BL101">
        <f>'[1]Expense Master June-26'!L106</f>
        <v>0</v>
      </c>
      <c r="BM101">
        <f>'[1]Expense Master June-26'!M106</f>
        <v>0</v>
      </c>
      <c r="BN101">
        <f>'[1]Expense Master June-26'!N106</f>
        <v>600</v>
      </c>
      <c r="BO101">
        <f>'[1]Expense Master June-26'!O106</f>
        <v>0</v>
      </c>
      <c r="BP101">
        <f>'[1]Expense Master June-26'!P106</f>
        <v>0</v>
      </c>
      <c r="BQ101">
        <f>SUM(SimpleDashData8[[#This Row],[Convayance]:[Misc]])</f>
        <v>12180</v>
      </c>
      <c r="BR101">
        <f>'[1]Expense Master June-26'!R106</f>
        <v>1620</v>
      </c>
      <c r="BS101">
        <f>'[1]Expense Master June-26'!S106</f>
        <v>0</v>
      </c>
      <c r="BT101">
        <f>'[1]Expense Master June-26'!T106</f>
        <v>0</v>
      </c>
      <c r="BU101">
        <f>SUM(SimpleDashData8[[#This Row],[Male]:[Child]])</f>
        <v>1620</v>
      </c>
      <c r="BV101">
        <f>'[1]Expense Master June-26'!V106</f>
        <v>1620</v>
      </c>
      <c r="BW101">
        <f>'[1]Expense Master June-26'!W106</f>
        <v>73.63636363636364</v>
      </c>
      <c r="BZ101">
        <f>SimpleDashData8[[#This Row],[Total Expense]]/SimpleDashData8[[#This Row],[Total Patients]]</f>
        <v>7.5185185185185182</v>
      </c>
      <c r="CA101">
        <v>0</v>
      </c>
    </row>
    <row r="102" spans="1:79" x14ac:dyDescent="0.3">
      <c r="A102">
        <v>91</v>
      </c>
      <c r="B102" t="str">
        <v>QCNM Khanewal, District Jail</v>
      </c>
      <c r="C102" t="str">
        <v>Trust Act</v>
      </c>
      <c r="D102" t="str">
        <v>South &amp; North Punjab Region</v>
      </c>
      <c r="E102" t="str">
        <v>Prison</v>
      </c>
      <c r="F102" s="2">
        <v>4690</v>
      </c>
      <c r="G102" s="2">
        <v>1211</v>
      </c>
      <c r="H102" s="13">
        <v>3.8728323699421967</v>
      </c>
      <c r="I102" s="13"/>
      <c r="BA102">
        <v>101</v>
      </c>
      <c r="BB102" s="12" t="s">
        <v>167</v>
      </c>
      <c r="BD102" t="s">
        <v>33</v>
      </c>
      <c r="BE102" t="s">
        <v>135</v>
      </c>
      <c r="BF102" t="s">
        <v>64</v>
      </c>
      <c r="BG102">
        <f>'[1]Expense Master June-26'!G107</f>
        <v>9730</v>
      </c>
      <c r="BH102">
        <f>'[1]Expense Master June-26'!H107</f>
        <v>0</v>
      </c>
      <c r="BI102">
        <f>'[1]Expense Master June-26'!I107</f>
        <v>0</v>
      </c>
      <c r="BJ102">
        <f>'[1]Expense Master June-26'!J107</f>
        <v>0</v>
      </c>
      <c r="BK102">
        <f>'[1]Expense Master June-26'!K107</f>
        <v>560</v>
      </c>
      <c r="BL102">
        <f>'[1]Expense Master June-26'!L107</f>
        <v>0</v>
      </c>
      <c r="BM102">
        <f>'[1]Expense Master June-26'!M107</f>
        <v>0</v>
      </c>
      <c r="BN102">
        <f>'[1]Expense Master June-26'!N107</f>
        <v>684</v>
      </c>
      <c r="BO102">
        <f>'[1]Expense Master June-26'!O107</f>
        <v>0</v>
      </c>
      <c r="BP102">
        <f>'[1]Expense Master June-26'!P107</f>
        <v>0</v>
      </c>
      <c r="BQ102">
        <f>SUM(SimpleDashData8[[#This Row],[Convayance]:[Misc]])</f>
        <v>10974</v>
      </c>
      <c r="BR102">
        <f>'[1]Expense Master June-26'!R107</f>
        <v>1321</v>
      </c>
      <c r="BS102">
        <f>'[1]Expense Master June-26'!S107</f>
        <v>14</v>
      </c>
      <c r="BT102">
        <f>'[1]Expense Master June-26'!T107</f>
        <v>6</v>
      </c>
      <c r="BU102">
        <f>SUM(SimpleDashData8[[#This Row],[Male]:[Child]])</f>
        <v>1341</v>
      </c>
      <c r="BV102">
        <f>'[1]Expense Master June-26'!V107</f>
        <v>1361</v>
      </c>
      <c r="BW102">
        <f>'[1]Expense Master June-26'!W107</f>
        <v>60.954545454545453</v>
      </c>
      <c r="BZ102">
        <f>SimpleDashData8[[#This Row],[Total Expense]]/SimpleDashData8[[#This Row],[Total Patients]]</f>
        <v>8.1834451901565988</v>
      </c>
      <c r="CA102">
        <v>0</v>
      </c>
    </row>
    <row r="103" spans="1:79" x14ac:dyDescent="0.3">
      <c r="A103">
        <v>92</v>
      </c>
      <c r="B103" t="str">
        <v>QCNM Swabi, Sub Jail</v>
      </c>
      <c r="C103" t="str">
        <v>Trust Act</v>
      </c>
      <c r="D103" t="str">
        <v>Capital Region</v>
      </c>
      <c r="E103" t="str">
        <v>Prison</v>
      </c>
      <c r="F103" s="2">
        <v>4635</v>
      </c>
      <c r="G103" s="2">
        <v>1207</v>
      </c>
      <c r="H103" s="13">
        <v>3.8400994200497101</v>
      </c>
      <c r="I103" s="13"/>
      <c r="BA103">
        <v>102</v>
      </c>
      <c r="BB103" s="12" t="s">
        <v>168</v>
      </c>
      <c r="BD103" t="s">
        <v>33</v>
      </c>
      <c r="BE103" t="s">
        <v>135</v>
      </c>
      <c r="BF103" t="s">
        <v>64</v>
      </c>
      <c r="BG103">
        <f>'[1]Expense Master June-26'!G108</f>
        <v>0</v>
      </c>
      <c r="BH103">
        <f>'[1]Expense Master June-26'!H108</f>
        <v>0</v>
      </c>
      <c r="BI103">
        <f>'[1]Expense Master June-26'!I108</f>
        <v>0</v>
      </c>
      <c r="BJ103">
        <f>'[1]Expense Master June-26'!J108</f>
        <v>5770</v>
      </c>
      <c r="BK103">
        <f>'[1]Expense Master June-26'!K108</f>
        <v>920</v>
      </c>
      <c r="BL103">
        <f>'[1]Expense Master June-26'!L108</f>
        <v>780</v>
      </c>
      <c r="BM103">
        <f>'[1]Expense Master June-26'!M108</f>
        <v>0</v>
      </c>
      <c r="BN103">
        <f>'[1]Expense Master June-26'!N108</f>
        <v>260</v>
      </c>
      <c r="BO103">
        <f>'[1]Expense Master June-26'!O108</f>
        <v>0</v>
      </c>
      <c r="BP103">
        <f>'[1]Expense Master June-26'!P108</f>
        <v>0</v>
      </c>
      <c r="BQ103">
        <f>SUM(SimpleDashData8[[#This Row],[Convayance]:[Misc]])</f>
        <v>7730</v>
      </c>
      <c r="BR103">
        <f>'[1]Expense Master June-26'!R108</f>
        <v>2437</v>
      </c>
      <c r="BS103">
        <f>'[1]Expense Master June-26'!S108</f>
        <v>0</v>
      </c>
      <c r="BT103">
        <f>'[1]Expense Master June-26'!T108</f>
        <v>0</v>
      </c>
      <c r="BU103">
        <f>SUM(SimpleDashData8[[#This Row],[Male]:[Child]])</f>
        <v>2437</v>
      </c>
      <c r="BV103">
        <f>'[1]Expense Master June-26'!V108</f>
        <v>2437</v>
      </c>
      <c r="BW103">
        <f>'[1]Expense Master June-26'!W108</f>
        <v>110.77272727272727</v>
      </c>
      <c r="BZ103">
        <f>SimpleDashData8[[#This Row],[Total Expense]]/SimpleDashData8[[#This Row],[Total Patients]]</f>
        <v>3.1719327041444401</v>
      </c>
      <c r="CA103">
        <v>0</v>
      </c>
    </row>
    <row r="104" spans="1:79" x14ac:dyDescent="0.3">
      <c r="A104">
        <v>93</v>
      </c>
      <c r="B104" t="str">
        <v>QCNM Haripur, Central Jail</v>
      </c>
      <c r="C104" t="str">
        <v>Trust Act</v>
      </c>
      <c r="D104" t="str">
        <v>Capital Region</v>
      </c>
      <c r="E104" t="str">
        <v>Prison</v>
      </c>
      <c r="F104" s="2">
        <v>2060</v>
      </c>
      <c r="G104" s="2">
        <v>1202</v>
      </c>
      <c r="H104" s="13">
        <v>1.7138103161397671</v>
      </c>
      <c r="I104" s="13"/>
      <c r="BA104">
        <v>103</v>
      </c>
      <c r="BB104" s="12" t="s">
        <v>169</v>
      </c>
      <c r="BD104" t="s">
        <v>33</v>
      </c>
      <c r="BE104" t="s">
        <v>135</v>
      </c>
      <c r="BF104" t="s">
        <v>64</v>
      </c>
      <c r="BG104">
        <f>'[1]Expense Master June-26'!G109</f>
        <v>0</v>
      </c>
      <c r="BH104">
        <f>'[1]Expense Master June-26'!H109</f>
        <v>0</v>
      </c>
      <c r="BI104">
        <f>'[1]Expense Master June-26'!I109</f>
        <v>0</v>
      </c>
      <c r="BJ104">
        <f>'[1]Expense Master June-26'!J109</f>
        <v>0</v>
      </c>
      <c r="BK104">
        <f>'[1]Expense Master June-26'!K109</f>
        <v>495</v>
      </c>
      <c r="BL104">
        <f>'[1]Expense Master June-26'!L109</f>
        <v>170</v>
      </c>
      <c r="BM104">
        <f>'[1]Expense Master June-26'!M109</f>
        <v>0</v>
      </c>
      <c r="BN104">
        <f>'[1]Expense Master June-26'!N109</f>
        <v>300</v>
      </c>
      <c r="BO104">
        <f>'[1]Expense Master June-26'!O109</f>
        <v>0</v>
      </c>
      <c r="BP104">
        <f>'[1]Expense Master June-26'!P109</f>
        <v>0</v>
      </c>
      <c r="BQ104">
        <f>SUM(SimpleDashData8[[#This Row],[Convayance]:[Misc]])</f>
        <v>965</v>
      </c>
      <c r="BR104">
        <f>'[1]Expense Master June-26'!R109</f>
        <v>2375</v>
      </c>
      <c r="BS104">
        <f>'[1]Expense Master June-26'!S109</f>
        <v>4</v>
      </c>
      <c r="BT104">
        <f>'[1]Expense Master June-26'!T109</f>
        <v>0</v>
      </c>
      <c r="BU104">
        <f>SUM(SimpleDashData8[[#This Row],[Male]:[Child]])</f>
        <v>2379</v>
      </c>
      <c r="BV104">
        <f>'[1]Expense Master June-26'!V109</f>
        <v>2383</v>
      </c>
      <c r="BW104">
        <f>'[1]Expense Master June-26'!W109</f>
        <v>108.13636363636364</v>
      </c>
      <c r="BZ104">
        <f>SimpleDashData8[[#This Row],[Total Expense]]/SimpleDashData8[[#This Row],[Total Patients]]</f>
        <v>0.40563261874737283</v>
      </c>
      <c r="CA104">
        <v>0</v>
      </c>
    </row>
    <row r="105" spans="1:79" x14ac:dyDescent="0.3">
      <c r="A105">
        <v>94</v>
      </c>
      <c r="B105" t="str">
        <v>QCNM Charsadda, Sub Jail</v>
      </c>
      <c r="C105" t="str">
        <v>Trust Act</v>
      </c>
      <c r="D105" t="str">
        <v>Capital Region</v>
      </c>
      <c r="E105" t="str">
        <v>Prison</v>
      </c>
      <c r="F105" s="2">
        <v>1350</v>
      </c>
      <c r="G105" s="2">
        <v>1202</v>
      </c>
      <c r="H105" s="13">
        <v>1.1231281198003327</v>
      </c>
      <c r="I105" s="13"/>
      <c r="BA105">
        <v>104</v>
      </c>
      <c r="BB105" s="12" t="s">
        <v>170</v>
      </c>
      <c r="BD105" t="s">
        <v>33</v>
      </c>
      <c r="BE105" t="s">
        <v>135</v>
      </c>
      <c r="BF105" t="s">
        <v>64</v>
      </c>
      <c r="BG105">
        <f>'[1]Expense Master June-26'!G110</f>
        <v>0</v>
      </c>
      <c r="BH105">
        <f>'[1]Expense Master June-26'!H110</f>
        <v>0</v>
      </c>
      <c r="BI105">
        <f>'[1]Expense Master June-26'!I110</f>
        <v>0</v>
      </c>
      <c r="BJ105">
        <f>'[1]Expense Master June-26'!J110</f>
        <v>6720</v>
      </c>
      <c r="BK105">
        <f>'[1]Expense Master June-26'!K110</f>
        <v>460</v>
      </c>
      <c r="BL105">
        <f>'[1]Expense Master June-26'!L110</f>
        <v>0</v>
      </c>
      <c r="BM105">
        <f>'[1]Expense Master June-26'!M110</f>
        <v>0</v>
      </c>
      <c r="BN105">
        <f>'[1]Expense Master June-26'!N110</f>
        <v>310</v>
      </c>
      <c r="BO105">
        <f>'[1]Expense Master June-26'!O110</f>
        <v>0</v>
      </c>
      <c r="BP105">
        <f>'[1]Expense Master June-26'!P110</f>
        <v>0</v>
      </c>
      <c r="BQ105">
        <f>SUM(SimpleDashData8[[#This Row],[Convayance]:[Misc]])</f>
        <v>7490</v>
      </c>
      <c r="BR105">
        <f>'[1]Expense Master June-26'!R110</f>
        <v>2262</v>
      </c>
      <c r="BS105">
        <f>'[1]Expense Master June-26'!S110</f>
        <v>0</v>
      </c>
      <c r="BT105">
        <f>'[1]Expense Master June-26'!T110</f>
        <v>0</v>
      </c>
      <c r="BU105">
        <f>SUM(SimpleDashData8[[#This Row],[Male]:[Child]])</f>
        <v>2262</v>
      </c>
      <c r="BV105">
        <f>'[1]Expense Master June-26'!V110</f>
        <v>2262</v>
      </c>
      <c r="BW105">
        <f>'[1]Expense Master June-26'!W110</f>
        <v>102.81818181818181</v>
      </c>
      <c r="BZ105">
        <f>SimpleDashData8[[#This Row],[Total Expense]]/SimpleDashData8[[#This Row],[Total Patients]]</f>
        <v>3.3112290008841732</v>
      </c>
      <c r="CA105">
        <v>0</v>
      </c>
    </row>
    <row r="106" spans="1:79" x14ac:dyDescent="0.3">
      <c r="A106">
        <v>95</v>
      </c>
      <c r="B106" t="str">
        <v>QCNM Timergara, District Jail</v>
      </c>
      <c r="C106" t="str">
        <v>Trust Act</v>
      </c>
      <c r="D106" t="str">
        <v>Capital Region</v>
      </c>
      <c r="E106" t="str">
        <v>Prison</v>
      </c>
      <c r="F106" s="2">
        <v>1750</v>
      </c>
      <c r="G106" s="2">
        <v>1171</v>
      </c>
      <c r="H106" s="13">
        <v>1.4944491887275833</v>
      </c>
      <c r="I106" s="13"/>
      <c r="BA106">
        <v>105</v>
      </c>
      <c r="BB106" s="12" t="s">
        <v>171</v>
      </c>
      <c r="BD106" t="s">
        <v>33</v>
      </c>
      <c r="BE106" t="s">
        <v>172</v>
      </c>
      <c r="BF106" t="s">
        <v>35</v>
      </c>
      <c r="BG106">
        <f>'[1]Expense Master June-26'!G111</f>
        <v>0</v>
      </c>
      <c r="BH106">
        <f>'[1]Expense Master June-26'!H111</f>
        <v>0</v>
      </c>
      <c r="BI106">
        <f>'[1]Expense Master June-26'!I111</f>
        <v>0</v>
      </c>
      <c r="BJ106">
        <f>'[1]Expense Master June-26'!J111</f>
        <v>0</v>
      </c>
      <c r="BK106">
        <f>'[1]Expense Master June-26'!K111</f>
        <v>0</v>
      </c>
      <c r="BL106">
        <f>'[1]Expense Master June-26'!L111</f>
        <v>0</v>
      </c>
      <c r="BM106">
        <f>'[1]Expense Master June-26'!M111</f>
        <v>0</v>
      </c>
      <c r="BN106">
        <f>'[1]Expense Master June-26'!N111</f>
        <v>0</v>
      </c>
      <c r="BO106">
        <f>'[1]Expense Master June-26'!O111</f>
        <v>0</v>
      </c>
      <c r="BP106">
        <f>'[1]Expense Master June-26'!P111</f>
        <v>0</v>
      </c>
      <c r="BQ106">
        <f>SUM(SimpleDashData8[[#This Row],[Convayance]:[Misc]])</f>
        <v>0</v>
      </c>
      <c r="BR106">
        <f>'[1]Expense Master June-26'!R111</f>
        <v>308</v>
      </c>
      <c r="BS106">
        <f>'[1]Expense Master June-26'!S111</f>
        <v>369</v>
      </c>
      <c r="BT106">
        <f>'[1]Expense Master June-26'!T111</f>
        <v>209</v>
      </c>
      <c r="BU106">
        <f>SUM(SimpleDashData8[[#This Row],[Male]:[Child]])</f>
        <v>886</v>
      </c>
      <c r="BV106">
        <f>'[1]Expense Master June-26'!V111</f>
        <v>1464</v>
      </c>
      <c r="BW106">
        <f>'[1]Expense Master June-26'!W111</f>
        <v>40.272727272727273</v>
      </c>
      <c r="BZ106">
        <f>SimpleDashData8[[#This Row],[Total Expense]]/SimpleDashData8[[#This Row],[Total Patients]]</f>
        <v>0</v>
      </c>
      <c r="CA106">
        <v>0</v>
      </c>
    </row>
    <row r="107" spans="1:79" x14ac:dyDescent="0.3">
      <c r="A107">
        <v>96</v>
      </c>
      <c r="B107" t="str">
        <v>QCNM Mirpur Central Jail</v>
      </c>
      <c r="C107" t="str">
        <v>Society Act</v>
      </c>
      <c r="D107" t="str">
        <v>Sindh, Balochistan &amp; AJK Region</v>
      </c>
      <c r="E107" t="str">
        <v>Prison</v>
      </c>
      <c r="F107" s="2">
        <v>0</v>
      </c>
      <c r="G107" s="2">
        <v>1169</v>
      </c>
      <c r="H107" s="13">
        <v>0</v>
      </c>
      <c r="I107" s="13"/>
      <c r="BA107">
        <v>106</v>
      </c>
      <c r="BB107" s="12" t="s">
        <v>173</v>
      </c>
      <c r="BD107" t="s">
        <v>33</v>
      </c>
      <c r="BE107" t="s">
        <v>172</v>
      </c>
      <c r="BF107" t="s">
        <v>35</v>
      </c>
      <c r="BG107">
        <f>'[1]Expense Master June-26'!G112</f>
        <v>0</v>
      </c>
      <c r="BH107">
        <f>'[1]Expense Master June-26'!H112</f>
        <v>5600</v>
      </c>
      <c r="BI107">
        <f>'[1]Expense Master June-26'!I112</f>
        <v>0</v>
      </c>
      <c r="BJ107">
        <f>'[1]Expense Master June-26'!J112</f>
        <v>0</v>
      </c>
      <c r="BK107">
        <f>'[1]Expense Master June-26'!K112</f>
        <v>535</v>
      </c>
      <c r="BL107">
        <f>'[1]Expense Master June-26'!L112</f>
        <v>0</v>
      </c>
      <c r="BM107">
        <f>'[1]Expense Master June-26'!M112</f>
        <v>0</v>
      </c>
      <c r="BN107">
        <f>'[1]Expense Master June-26'!N112</f>
        <v>0</v>
      </c>
      <c r="BO107">
        <f>'[1]Expense Master June-26'!O112</f>
        <v>0</v>
      </c>
      <c r="BP107">
        <f>'[1]Expense Master June-26'!P112</f>
        <v>0</v>
      </c>
      <c r="BQ107">
        <f>SUM(SimpleDashData8[[#This Row],[Convayance]:[Misc]])</f>
        <v>6135</v>
      </c>
      <c r="BR107">
        <f>'[1]Expense Master June-26'!R112</f>
        <v>614</v>
      </c>
      <c r="BS107">
        <f>'[1]Expense Master June-26'!S112</f>
        <v>482</v>
      </c>
      <c r="BT107">
        <f>'[1]Expense Master June-26'!T112</f>
        <v>282</v>
      </c>
      <c r="BU107">
        <f>SUM(SimpleDashData8[[#This Row],[Male]:[Child]])</f>
        <v>1378</v>
      </c>
      <c r="BV107">
        <f>'[1]Expense Master June-26'!V112</f>
        <v>2142</v>
      </c>
      <c r="BW107">
        <f>'[1]Expense Master June-26'!W112</f>
        <v>62.636363636363633</v>
      </c>
      <c r="BZ107">
        <f>SimpleDashData8[[#This Row],[Total Expense]]/SimpleDashData8[[#This Row],[Total Patients]]</f>
        <v>4.4521044992743102</v>
      </c>
      <c r="CA107">
        <v>0</v>
      </c>
    </row>
    <row r="108" spans="1:79" x14ac:dyDescent="0.3">
      <c r="A108">
        <v>97</v>
      </c>
      <c r="B108" t="str">
        <v>QCNM Mirpur khas CJ Jail</v>
      </c>
      <c r="C108" t="str">
        <v>Trust Act</v>
      </c>
      <c r="D108" t="str">
        <v>Sindh, Balochistan &amp; AJK Region</v>
      </c>
      <c r="E108" t="str">
        <v>Prison</v>
      </c>
      <c r="F108" s="2">
        <v>3420</v>
      </c>
      <c r="G108" s="2">
        <v>1157</v>
      </c>
      <c r="H108" s="13">
        <v>2.9559204840103717</v>
      </c>
      <c r="I108" s="13"/>
      <c r="BA108">
        <v>107</v>
      </c>
      <c r="BB108" s="12" t="s">
        <v>174</v>
      </c>
      <c r="BD108" t="s">
        <v>33</v>
      </c>
      <c r="BE108" t="s">
        <v>172</v>
      </c>
      <c r="BF108" t="s">
        <v>35</v>
      </c>
      <c r="BG108">
        <f>'[1]Expense Master June-26'!G113</f>
        <v>2750</v>
      </c>
      <c r="BH108">
        <f>'[1]Expense Master June-26'!H113</f>
        <v>0</v>
      </c>
      <c r="BI108">
        <f>'[1]Expense Master June-26'!I113</f>
        <v>0</v>
      </c>
      <c r="BJ108">
        <f>'[1]Expense Master June-26'!J113</f>
        <v>3000</v>
      </c>
      <c r="BK108">
        <f>'[1]Expense Master June-26'!K113</f>
        <v>400</v>
      </c>
      <c r="BL108">
        <f>'[1]Expense Master June-26'!L113</f>
        <v>0</v>
      </c>
      <c r="BM108">
        <f>'[1]Expense Master June-26'!M113</f>
        <v>3000</v>
      </c>
      <c r="BN108">
        <f>'[1]Expense Master June-26'!N113</f>
        <v>0</v>
      </c>
      <c r="BO108">
        <f>'[1]Expense Master June-26'!O113</f>
        <v>0</v>
      </c>
      <c r="BP108">
        <f>'[1]Expense Master June-26'!P113</f>
        <v>0</v>
      </c>
      <c r="BQ108">
        <f>SUM(SimpleDashData8[[#This Row],[Convayance]:[Misc]])</f>
        <v>9150</v>
      </c>
      <c r="BR108">
        <f>'[1]Expense Master June-26'!R113</f>
        <v>569</v>
      </c>
      <c r="BS108">
        <f>'[1]Expense Master June-26'!S113</f>
        <v>467</v>
      </c>
      <c r="BT108">
        <f>'[1]Expense Master June-26'!T113</f>
        <v>284</v>
      </c>
      <c r="BU108">
        <f>SUM(SimpleDashData8[[#This Row],[Male]:[Child]])</f>
        <v>1320</v>
      </c>
      <c r="BV108">
        <f>'[1]Expense Master June-26'!V113</f>
        <v>2071</v>
      </c>
      <c r="BW108">
        <f>'[1]Expense Master June-26'!W113</f>
        <v>60</v>
      </c>
      <c r="BZ108">
        <f>SimpleDashData8[[#This Row],[Total Expense]]/SimpleDashData8[[#This Row],[Total Patients]]</f>
        <v>6.9318181818181817</v>
      </c>
      <c r="CA108">
        <v>0</v>
      </c>
    </row>
    <row r="109" spans="1:79" x14ac:dyDescent="0.3">
      <c r="A109">
        <v>98</v>
      </c>
      <c r="B109" t="str">
        <v>QCNM Larkana, District Jail</v>
      </c>
      <c r="C109" t="str">
        <v>Trust Act</v>
      </c>
      <c r="D109" t="str">
        <v>Sindh, Balochistan &amp; AJK Region</v>
      </c>
      <c r="E109" t="str">
        <v>Prison</v>
      </c>
      <c r="F109" s="2">
        <v>11840</v>
      </c>
      <c r="G109" s="2">
        <v>1155</v>
      </c>
      <c r="H109" s="13">
        <v>10.25108225108225</v>
      </c>
      <c r="I109" s="13"/>
      <c r="BA109">
        <v>108</v>
      </c>
      <c r="BB109" s="12" t="s">
        <v>175</v>
      </c>
      <c r="BD109" t="s">
        <v>33</v>
      </c>
      <c r="BE109" t="s">
        <v>172</v>
      </c>
      <c r="BF109" t="s">
        <v>35</v>
      </c>
      <c r="BG109">
        <f>'[1]Expense Master June-26'!G114</f>
        <v>6450</v>
      </c>
      <c r="BH109">
        <f>'[1]Expense Master June-26'!H114</f>
        <v>300</v>
      </c>
      <c r="BI109">
        <f>'[1]Expense Master June-26'!I114</f>
        <v>0</v>
      </c>
      <c r="BJ109">
        <f>'[1]Expense Master June-26'!J114</f>
        <v>0</v>
      </c>
      <c r="BK109">
        <f>'[1]Expense Master June-26'!K114</f>
        <v>0</v>
      </c>
      <c r="BL109">
        <f>'[1]Expense Master June-26'!L114</f>
        <v>0</v>
      </c>
      <c r="BM109">
        <f>'[1]Expense Master June-26'!M114</f>
        <v>0</v>
      </c>
      <c r="BN109">
        <f>'[1]Expense Master June-26'!N114</f>
        <v>0</v>
      </c>
      <c r="BO109">
        <f>'[1]Expense Master June-26'!O114</f>
        <v>0</v>
      </c>
      <c r="BP109">
        <f>'[1]Expense Master June-26'!P114</f>
        <v>3410</v>
      </c>
      <c r="BQ109">
        <f>SUM(SimpleDashData8[[#This Row],[Convayance]:[Misc]])</f>
        <v>10160</v>
      </c>
      <c r="BR109">
        <f>'[1]Expense Master June-26'!R114</f>
        <v>748</v>
      </c>
      <c r="BS109">
        <f>'[1]Expense Master June-26'!S114</f>
        <v>782</v>
      </c>
      <c r="BT109">
        <f>'[1]Expense Master June-26'!T114</f>
        <v>515</v>
      </c>
      <c r="BU109">
        <f>SUM(SimpleDashData8[[#This Row],[Male]:[Child]])</f>
        <v>2045</v>
      </c>
      <c r="BV109">
        <f>'[1]Expense Master June-26'!V114</f>
        <v>3342</v>
      </c>
      <c r="BW109">
        <f>'[1]Expense Master June-26'!W114</f>
        <v>92.954545454545453</v>
      </c>
      <c r="BZ109">
        <f>SimpleDashData8[[#This Row],[Total Expense]]/SimpleDashData8[[#This Row],[Total Patients]]</f>
        <v>4.9682151589242052</v>
      </c>
      <c r="CA109">
        <v>0</v>
      </c>
    </row>
    <row r="110" spans="1:79" x14ac:dyDescent="0.3">
      <c r="A110">
        <v>99</v>
      </c>
      <c r="B110" t="str">
        <v>QCNM Women Jail Karachi</v>
      </c>
      <c r="C110" t="str">
        <v>Trust Act</v>
      </c>
      <c r="D110" t="str">
        <v>Sindh, Balochistan &amp; AJK Region</v>
      </c>
      <c r="E110" t="str">
        <v>Prison</v>
      </c>
      <c r="F110" s="2">
        <v>1560</v>
      </c>
      <c r="G110" s="2">
        <v>1152</v>
      </c>
      <c r="H110" s="13">
        <v>1.3541666666666667</v>
      </c>
      <c r="I110" s="13"/>
      <c r="BA110">
        <v>109</v>
      </c>
      <c r="BB110" s="12" t="s">
        <v>176</v>
      </c>
      <c r="BD110" t="s">
        <v>33</v>
      </c>
      <c r="BE110" t="s">
        <v>172</v>
      </c>
      <c r="BF110" t="s">
        <v>35</v>
      </c>
      <c r="BG110">
        <f>'[1]Expense Master June-26'!G115</f>
        <v>6200</v>
      </c>
      <c r="BH110">
        <f>'[1]Expense Master June-26'!H115</f>
        <v>0</v>
      </c>
      <c r="BI110">
        <f>'[1]Expense Master June-26'!I115</f>
        <v>0</v>
      </c>
      <c r="BJ110">
        <f>'[1]Expense Master June-26'!J115</f>
        <v>300</v>
      </c>
      <c r="BK110">
        <f>'[1]Expense Master June-26'!K115</f>
        <v>0</v>
      </c>
      <c r="BL110">
        <f>'[1]Expense Master June-26'!L115</f>
        <v>300</v>
      </c>
      <c r="BM110">
        <f>'[1]Expense Master June-26'!M115</f>
        <v>0</v>
      </c>
      <c r="BN110">
        <f>'[1]Expense Master June-26'!N115</f>
        <v>0</v>
      </c>
      <c r="BO110">
        <f>'[1]Expense Master June-26'!O115</f>
        <v>0</v>
      </c>
      <c r="BP110">
        <f>'[1]Expense Master June-26'!P115</f>
        <v>0</v>
      </c>
      <c r="BQ110">
        <f>SUM(SimpleDashData8[[#This Row],[Convayance]:[Misc]])</f>
        <v>6800</v>
      </c>
      <c r="BR110">
        <f>'[1]Expense Master June-26'!R115</f>
        <v>275</v>
      </c>
      <c r="BS110">
        <f>'[1]Expense Master June-26'!S115</f>
        <v>656</v>
      </c>
      <c r="BT110">
        <f>'[1]Expense Master June-26'!T115</f>
        <v>311</v>
      </c>
      <c r="BU110">
        <f>SUM(SimpleDashData8[[#This Row],[Male]:[Child]])</f>
        <v>1242</v>
      </c>
      <c r="BV110">
        <f>'[1]Expense Master June-26'!V115</f>
        <v>2209</v>
      </c>
      <c r="BW110">
        <f>'[1]Expense Master June-26'!W115</f>
        <v>56.454545454545453</v>
      </c>
      <c r="BZ110">
        <f>SimpleDashData8[[#This Row],[Total Expense]]/SimpleDashData8[[#This Row],[Total Patients]]</f>
        <v>5.4750402576489536</v>
      </c>
      <c r="CA110">
        <v>0</v>
      </c>
    </row>
    <row r="111" spans="1:79" x14ac:dyDescent="0.3">
      <c r="A111">
        <v>100</v>
      </c>
      <c r="B111" t="str">
        <v>QCNM Khuzdar, Central Jail</v>
      </c>
      <c r="C111" t="str">
        <v>U/S 42</v>
      </c>
      <c r="D111" t="str">
        <v>Sindh, Balochistan &amp; AJK Region</v>
      </c>
      <c r="E111" t="str">
        <v>Prison</v>
      </c>
      <c r="F111" s="2">
        <v>2180</v>
      </c>
      <c r="G111" s="2">
        <v>1099</v>
      </c>
      <c r="H111" s="13">
        <v>1.9836214740673339</v>
      </c>
      <c r="I111" s="13"/>
      <c r="BA111">
        <v>110</v>
      </c>
      <c r="BB111" s="12" t="s">
        <v>177</v>
      </c>
      <c r="BD111" t="s">
        <v>33</v>
      </c>
      <c r="BE111" t="s">
        <v>172</v>
      </c>
      <c r="BF111" t="s">
        <v>35</v>
      </c>
      <c r="BG111">
        <f>'[1]Expense Master June-26'!G116</f>
        <v>1300</v>
      </c>
      <c r="BH111">
        <f>'[1]Expense Master June-26'!H116</f>
        <v>0</v>
      </c>
      <c r="BI111">
        <f>'[1]Expense Master June-26'!I116</f>
        <v>0</v>
      </c>
      <c r="BJ111">
        <f>'[1]Expense Master June-26'!J116</f>
        <v>0</v>
      </c>
      <c r="BK111">
        <f>'[1]Expense Master June-26'!K116</f>
        <v>0</v>
      </c>
      <c r="BL111">
        <f>'[1]Expense Master June-26'!L116</f>
        <v>100</v>
      </c>
      <c r="BM111">
        <f>'[1]Expense Master June-26'!M116</f>
        <v>0</v>
      </c>
      <c r="BN111">
        <f>'[1]Expense Master June-26'!N116</f>
        <v>3420</v>
      </c>
      <c r="BO111">
        <f>'[1]Expense Master June-26'!O116</f>
        <v>0</v>
      </c>
      <c r="BP111">
        <f>'[1]Expense Master June-26'!P116</f>
        <v>0</v>
      </c>
      <c r="BQ111">
        <f>SUM(SimpleDashData8[[#This Row],[Convayance]:[Misc]])</f>
        <v>4820</v>
      </c>
      <c r="BR111">
        <f>'[1]Expense Master June-26'!R116</f>
        <v>737</v>
      </c>
      <c r="BS111">
        <f>'[1]Expense Master June-26'!S116</f>
        <v>779</v>
      </c>
      <c r="BT111">
        <f>'[1]Expense Master June-26'!T116</f>
        <v>180</v>
      </c>
      <c r="BU111">
        <f>SUM(SimpleDashData8[[#This Row],[Male]:[Child]])</f>
        <v>1696</v>
      </c>
      <c r="BV111">
        <f>'[1]Expense Master June-26'!V116</f>
        <v>2655</v>
      </c>
      <c r="BW111">
        <f>'[1]Expense Master June-26'!W116</f>
        <v>77.090909090909093</v>
      </c>
      <c r="BZ111">
        <f>SimpleDashData8[[#This Row],[Total Expense]]/SimpleDashData8[[#This Row],[Total Patients]]</f>
        <v>2.8419811320754715</v>
      </c>
      <c r="CA111">
        <v>0</v>
      </c>
    </row>
    <row r="112" spans="1:79" x14ac:dyDescent="0.3">
      <c r="A112">
        <v>101</v>
      </c>
      <c r="B112" t="str">
        <v>QCNM Abottabad, District Jail</v>
      </c>
      <c r="C112" t="str">
        <v>Trust Act</v>
      </c>
      <c r="D112" t="str">
        <v>Capital Region</v>
      </c>
      <c r="E112" t="str">
        <v>Prison</v>
      </c>
      <c r="F112" s="2">
        <v>1000</v>
      </c>
      <c r="G112" s="2">
        <v>1079</v>
      </c>
      <c r="H112" s="13">
        <v>0.92678405931417984</v>
      </c>
      <c r="I112" s="13"/>
      <c r="BA112">
        <v>111</v>
      </c>
      <c r="BB112" s="12" t="s">
        <v>178</v>
      </c>
      <c r="BD112" t="s">
        <v>33</v>
      </c>
      <c r="BE112" t="s">
        <v>172</v>
      </c>
      <c r="BF112" t="s">
        <v>35</v>
      </c>
      <c r="BG112">
        <f>'[1]Expense Master June-26'!G117</f>
        <v>0</v>
      </c>
      <c r="BH112">
        <f>'[1]Expense Master June-26'!H117</f>
        <v>1620</v>
      </c>
      <c r="BI112">
        <f>'[1]Expense Master June-26'!I117</f>
        <v>0</v>
      </c>
      <c r="BJ112">
        <f>'[1]Expense Master June-26'!J117</f>
        <v>0</v>
      </c>
      <c r="BK112">
        <f>'[1]Expense Master June-26'!K117</f>
        <v>0</v>
      </c>
      <c r="BL112">
        <f>'[1]Expense Master June-26'!L117</f>
        <v>0</v>
      </c>
      <c r="BM112">
        <f>'[1]Expense Master June-26'!M117</f>
        <v>0</v>
      </c>
      <c r="BN112">
        <f>'[1]Expense Master June-26'!N117</f>
        <v>0</v>
      </c>
      <c r="BO112">
        <f>'[1]Expense Master June-26'!O117</f>
        <v>0</v>
      </c>
      <c r="BP112">
        <f>'[1]Expense Master June-26'!P117</f>
        <v>0</v>
      </c>
      <c r="BQ112">
        <f>SUM(SimpleDashData8[[#This Row],[Convayance]:[Misc]])</f>
        <v>1620</v>
      </c>
      <c r="BR112">
        <f>'[1]Expense Master June-26'!R117</f>
        <v>198</v>
      </c>
      <c r="BS112">
        <f>'[1]Expense Master June-26'!S117</f>
        <v>555</v>
      </c>
      <c r="BT112">
        <f>'[1]Expense Master June-26'!T117</f>
        <v>310</v>
      </c>
      <c r="BU112">
        <f>SUM(SimpleDashData8[[#This Row],[Male]:[Child]])</f>
        <v>1063</v>
      </c>
      <c r="BV112">
        <f>'[1]Expense Master June-26'!V117</f>
        <v>1928</v>
      </c>
      <c r="BW112">
        <f>'[1]Expense Master June-26'!W117</f>
        <v>48.31818181818182</v>
      </c>
      <c r="BZ112">
        <f>SimpleDashData8[[#This Row],[Total Expense]]/SimpleDashData8[[#This Row],[Total Patients]]</f>
        <v>1.5239887111947319</v>
      </c>
      <c r="CA112">
        <v>0</v>
      </c>
    </row>
    <row r="113" spans="1:79" x14ac:dyDescent="0.3">
      <c r="A113">
        <v>102</v>
      </c>
      <c r="B113" t="str">
        <v>QCNM Khuzdar(BUET) University</v>
      </c>
      <c r="C113" t="str">
        <v>Trust Act</v>
      </c>
      <c r="D113" t="str">
        <v>Sindh, Balochistan &amp; AJK Region</v>
      </c>
      <c r="E113" t="str">
        <v>Public</v>
      </c>
      <c r="F113" s="2">
        <v>1620</v>
      </c>
      <c r="G113" s="2">
        <v>1063</v>
      </c>
      <c r="H113" s="13">
        <v>1.5239887111947319</v>
      </c>
      <c r="I113" s="13"/>
      <c r="BA113">
        <v>112</v>
      </c>
      <c r="BB113" s="12" t="s">
        <v>179</v>
      </c>
      <c r="BD113" t="s">
        <v>33</v>
      </c>
      <c r="BE113" t="s">
        <v>172</v>
      </c>
      <c r="BF113" t="s">
        <v>35</v>
      </c>
      <c r="BG113">
        <f>'[1]Expense Master June-26'!G118</f>
        <v>0</v>
      </c>
      <c r="BH113">
        <f>'[1]Expense Master June-26'!H118</f>
        <v>0</v>
      </c>
      <c r="BI113">
        <f>'[1]Expense Master June-26'!I118</f>
        <v>0</v>
      </c>
      <c r="BJ113">
        <f>'[1]Expense Master June-26'!J118</f>
        <v>0</v>
      </c>
      <c r="BK113">
        <f>'[1]Expense Master June-26'!K118</f>
        <v>0</v>
      </c>
      <c r="BL113">
        <f>'[1]Expense Master June-26'!L118</f>
        <v>0</v>
      </c>
      <c r="BM113">
        <f>'[1]Expense Master June-26'!M118</f>
        <v>0</v>
      </c>
      <c r="BN113">
        <f>'[1]Expense Master June-26'!N118</f>
        <v>0</v>
      </c>
      <c r="BO113">
        <f>'[1]Expense Master June-26'!O118</f>
        <v>0</v>
      </c>
      <c r="BP113">
        <f>'[1]Expense Master June-26'!P118</f>
        <v>0</v>
      </c>
      <c r="BQ113">
        <f>SUM(SimpleDashData8[[#This Row],[Convayance]:[Misc]])</f>
        <v>0</v>
      </c>
      <c r="BR113">
        <f>'[1]Expense Master June-26'!R118</f>
        <v>391</v>
      </c>
      <c r="BS113">
        <f>'[1]Expense Master June-26'!S118</f>
        <v>104</v>
      </c>
      <c r="BT113">
        <f>'[1]Expense Master June-26'!T118</f>
        <v>117</v>
      </c>
      <c r="BU113">
        <f>SUM(SimpleDashData8[[#This Row],[Male]:[Child]])</f>
        <v>612</v>
      </c>
      <c r="BV113">
        <f>'[1]Expense Master June-26'!V118</f>
        <v>833</v>
      </c>
      <c r="BW113">
        <f>'[1]Expense Master June-26'!W118</f>
        <v>27.818181818181817</v>
      </c>
      <c r="BZ113">
        <f>SimpleDashData8[[#This Row],[Total Expense]]/SimpleDashData8[[#This Row],[Total Patients]]</f>
        <v>0</v>
      </c>
      <c r="CA113">
        <v>0</v>
      </c>
    </row>
    <row r="114" spans="1:79" x14ac:dyDescent="0.3">
      <c r="A114">
        <v>103</v>
      </c>
      <c r="B114" t="str">
        <v>Lahore, Jamia Ashrafia</v>
      </c>
      <c r="C114" t="str">
        <v>Trust Act</v>
      </c>
      <c r="D114" t="str">
        <v>Central Punjab Region</v>
      </c>
      <c r="E114" t="str">
        <v>Public</v>
      </c>
      <c r="F114" s="2">
        <v>11480</v>
      </c>
      <c r="G114" s="2">
        <v>958</v>
      </c>
      <c r="H114" s="13">
        <v>11.98329853862213</v>
      </c>
      <c r="I114" s="13"/>
      <c r="BA114">
        <v>113</v>
      </c>
      <c r="BB114" s="12" t="s">
        <v>180</v>
      </c>
      <c r="BD114" t="s">
        <v>33</v>
      </c>
      <c r="BE114" t="s">
        <v>172</v>
      </c>
      <c r="BF114" t="s">
        <v>35</v>
      </c>
      <c r="BG114">
        <f>'[1]Expense Master June-26'!G119</f>
        <v>0</v>
      </c>
      <c r="BH114">
        <f>'[1]Expense Master June-26'!H119</f>
        <v>246</v>
      </c>
      <c r="BI114">
        <f>'[1]Expense Master June-26'!I119</f>
        <v>0</v>
      </c>
      <c r="BJ114">
        <f>'[1]Expense Master June-26'!J119</f>
        <v>6100</v>
      </c>
      <c r="BK114">
        <f>'[1]Expense Master June-26'!K119</f>
        <v>4670</v>
      </c>
      <c r="BL114">
        <f>'[1]Expense Master June-26'!L119</f>
        <v>0</v>
      </c>
      <c r="BM114">
        <f>'[1]Expense Master June-26'!M119</f>
        <v>0</v>
      </c>
      <c r="BN114">
        <f>'[1]Expense Master June-26'!N119</f>
        <v>1000</v>
      </c>
      <c r="BO114">
        <f>'[1]Expense Master June-26'!O119</f>
        <v>0</v>
      </c>
      <c r="BP114">
        <f>'[1]Expense Master June-26'!P119</f>
        <v>0</v>
      </c>
      <c r="BQ114">
        <f>SUM(SimpleDashData8[[#This Row],[Convayance]:[Misc]])</f>
        <v>12016</v>
      </c>
      <c r="BR114">
        <f>'[1]Expense Master June-26'!R119</f>
        <v>851</v>
      </c>
      <c r="BS114">
        <f>'[1]Expense Master June-26'!S119</f>
        <v>813</v>
      </c>
      <c r="BT114">
        <f>'[1]Expense Master June-26'!T119</f>
        <v>334</v>
      </c>
      <c r="BU114">
        <f>SUM(SimpleDashData8[[#This Row],[Male]:[Child]])</f>
        <v>1998</v>
      </c>
      <c r="BV114">
        <f>'[1]Expense Master June-26'!V119</f>
        <v>3145</v>
      </c>
      <c r="BW114">
        <f>'[1]Expense Master June-26'!W119</f>
        <v>90.818181818181813</v>
      </c>
      <c r="BZ114">
        <f>SimpleDashData8[[#This Row],[Total Expense]]/SimpleDashData8[[#This Row],[Total Patients]]</f>
        <v>6.0140140140140144</v>
      </c>
      <c r="CA114">
        <v>0</v>
      </c>
    </row>
    <row r="115" spans="1:79" x14ac:dyDescent="0.3">
      <c r="A115">
        <v>104</v>
      </c>
      <c r="B115" t="str">
        <v>QCNM Loralai, District Jail</v>
      </c>
      <c r="C115" t="str">
        <v>U/S 42</v>
      </c>
      <c r="D115" t="str">
        <v>Sindh, Balochistan &amp; AJK Region</v>
      </c>
      <c r="E115" t="str">
        <v>Prison</v>
      </c>
      <c r="F115" s="2">
        <v>0</v>
      </c>
      <c r="G115" s="2">
        <v>927</v>
      </c>
      <c r="H115" s="13">
        <v>0</v>
      </c>
      <c r="I115" s="13"/>
      <c r="BA115">
        <v>114</v>
      </c>
      <c r="BB115" s="12" t="s">
        <v>181</v>
      </c>
      <c r="BD115" t="s">
        <v>33</v>
      </c>
      <c r="BE115" t="s">
        <v>172</v>
      </c>
      <c r="BF115" t="s">
        <v>35</v>
      </c>
      <c r="BG115">
        <f>'[1]Expense Master June-26'!G120</f>
        <v>1500</v>
      </c>
      <c r="BH115">
        <f>'[1]Expense Master June-26'!H120</f>
        <v>0</v>
      </c>
      <c r="BI115">
        <f>'[1]Expense Master June-26'!I120</f>
        <v>0</v>
      </c>
      <c r="BJ115">
        <f>'[1]Expense Master June-26'!J120</f>
        <v>950</v>
      </c>
      <c r="BK115">
        <f>'[1]Expense Master June-26'!K120</f>
        <v>480</v>
      </c>
      <c r="BL115">
        <f>'[1]Expense Master June-26'!L120</f>
        <v>0</v>
      </c>
      <c r="BM115">
        <f>'[1]Expense Master June-26'!M120</f>
        <v>0</v>
      </c>
      <c r="BN115">
        <f>'[1]Expense Master June-26'!N120</f>
        <v>1100</v>
      </c>
      <c r="BO115">
        <f>'[1]Expense Master June-26'!O120</f>
        <v>0</v>
      </c>
      <c r="BP115">
        <f>'[1]Expense Master June-26'!P120</f>
        <v>0</v>
      </c>
      <c r="BQ115">
        <f>SUM(SimpleDashData8[[#This Row],[Convayance]:[Misc]])</f>
        <v>4030</v>
      </c>
      <c r="BR115">
        <f>'[1]Expense Master June-26'!R120</f>
        <v>1022</v>
      </c>
      <c r="BS115">
        <f>'[1]Expense Master June-26'!S120</f>
        <v>780</v>
      </c>
      <c r="BT115">
        <f>'[1]Expense Master June-26'!T120</f>
        <v>502</v>
      </c>
      <c r="BU115">
        <f>SUM(SimpleDashData8[[#This Row],[Male]:[Child]])</f>
        <v>2304</v>
      </c>
      <c r="BV115">
        <f>'[1]Expense Master June-26'!V120</f>
        <v>3586</v>
      </c>
      <c r="BW115">
        <f>'[1]Expense Master June-26'!W120</f>
        <v>104.72727272727273</v>
      </c>
      <c r="BZ115">
        <f>SimpleDashData8[[#This Row],[Total Expense]]/SimpleDashData8[[#This Row],[Total Patients]]</f>
        <v>1.7491319444444444</v>
      </c>
      <c r="CA115">
        <v>0</v>
      </c>
    </row>
    <row r="116" spans="1:79" x14ac:dyDescent="0.3">
      <c r="A116">
        <v>105</v>
      </c>
      <c r="B116" t="str">
        <v>QCNM High Security Prison Mianwali</v>
      </c>
      <c r="C116" t="str">
        <v>Trust Act</v>
      </c>
      <c r="D116" t="str">
        <v>South &amp; North Punjab Region</v>
      </c>
      <c r="E116" t="str">
        <v>Prison</v>
      </c>
      <c r="F116" s="2">
        <v>2755</v>
      </c>
      <c r="G116" s="2">
        <v>925</v>
      </c>
      <c r="H116" s="13">
        <v>2.9783783783783786</v>
      </c>
      <c r="I116" s="13"/>
      <c r="BA116">
        <v>115</v>
      </c>
      <c r="BB116" s="29" t="s">
        <v>182</v>
      </c>
      <c r="BD116" t="s">
        <v>33</v>
      </c>
      <c r="BE116" t="s">
        <v>172</v>
      </c>
      <c r="BF116" t="s">
        <v>35</v>
      </c>
      <c r="BG116">
        <f>'[1]Expense Master June-26'!G121</f>
        <v>2994</v>
      </c>
      <c r="BH116">
        <f>'[1]Expense Master June-26'!H121</f>
        <v>500</v>
      </c>
      <c r="BI116">
        <f>'[1]Expense Master June-26'!I121</f>
        <v>0</v>
      </c>
      <c r="BJ116">
        <f>'[1]Expense Master June-26'!J121</f>
        <v>0</v>
      </c>
      <c r="BK116">
        <f>'[1]Expense Master June-26'!K121</f>
        <v>0</v>
      </c>
      <c r="BL116">
        <f>'[1]Expense Master June-26'!L121</f>
        <v>0</v>
      </c>
      <c r="BM116">
        <f>'[1]Expense Master June-26'!M121</f>
        <v>0</v>
      </c>
      <c r="BN116">
        <f>'[1]Expense Master June-26'!N121</f>
        <v>0</v>
      </c>
      <c r="BO116">
        <f>'[1]Expense Master June-26'!O121</f>
        <v>0</v>
      </c>
      <c r="BP116">
        <f>'[1]Expense Master June-26'!P121</f>
        <v>0</v>
      </c>
      <c r="BQ116">
        <f>SUM(SimpleDashData8[[#This Row],[Convayance]:[Misc]])</f>
        <v>3494</v>
      </c>
      <c r="BR116">
        <f>'[1]Expense Master June-26'!R121</f>
        <v>351</v>
      </c>
      <c r="BS116">
        <f>'[1]Expense Master June-26'!S121</f>
        <v>189</v>
      </c>
      <c r="BT116">
        <f>'[1]Expense Master June-26'!T121</f>
        <v>195</v>
      </c>
      <c r="BU116">
        <f>SUM(SimpleDashData8[[#This Row],[Male]:[Child]])</f>
        <v>735</v>
      </c>
      <c r="BV116">
        <f>'[1]Expense Master June-26'!V121</f>
        <v>1119</v>
      </c>
      <c r="BW116">
        <f>'[1]Expense Master June-26'!W121</f>
        <v>33.409090909090907</v>
      </c>
      <c r="BZ116">
        <f>SimpleDashData8[[#This Row],[Total Expense]]/SimpleDashData8[[#This Row],[Total Patients]]</f>
        <v>4.7537414965986393</v>
      </c>
      <c r="CA116">
        <v>0</v>
      </c>
    </row>
    <row r="117" spans="1:79" x14ac:dyDescent="0.3">
      <c r="A117">
        <v>106</v>
      </c>
      <c r="B117" t="str">
        <v>QCNM Islamabad, Police line</v>
      </c>
      <c r="C117" t="str">
        <v>Trust Act</v>
      </c>
      <c r="D117" t="str">
        <v>Capital Region</v>
      </c>
      <c r="E117" t="str">
        <v>Public</v>
      </c>
      <c r="F117" s="2">
        <v>1700</v>
      </c>
      <c r="G117" s="2">
        <v>924</v>
      </c>
      <c r="H117" s="13">
        <v>1.8398268398268398</v>
      </c>
      <c r="I117" s="13"/>
      <c r="BA117">
        <v>116</v>
      </c>
      <c r="BB117" s="12" t="s">
        <v>183</v>
      </c>
      <c r="BD117" t="s">
        <v>33</v>
      </c>
      <c r="BE117" t="s">
        <v>172</v>
      </c>
      <c r="BF117" t="s">
        <v>35</v>
      </c>
      <c r="BG117">
        <f>'[1]Expense Master June-26'!G122</f>
        <v>0</v>
      </c>
      <c r="BH117">
        <f>'[1]Expense Master June-26'!H122</f>
        <v>0</v>
      </c>
      <c r="BI117">
        <f>'[1]Expense Master June-26'!I122</f>
        <v>0</v>
      </c>
      <c r="BJ117">
        <f>'[1]Expense Master June-26'!J122</f>
        <v>0</v>
      </c>
      <c r="BK117">
        <f>'[1]Expense Master June-26'!K122</f>
        <v>0</v>
      </c>
      <c r="BL117">
        <f>'[1]Expense Master June-26'!L122</f>
        <v>0</v>
      </c>
      <c r="BM117">
        <f>'[1]Expense Master June-26'!M122</f>
        <v>0</v>
      </c>
      <c r="BN117">
        <f>'[1]Expense Master June-26'!N122</f>
        <v>0</v>
      </c>
      <c r="BO117">
        <f>'[1]Expense Master June-26'!O122</f>
        <v>0</v>
      </c>
      <c r="BP117">
        <f>'[1]Expense Master June-26'!P122</f>
        <v>0</v>
      </c>
      <c r="BQ117">
        <f>SUM(SimpleDashData8[[#This Row],[Convayance]:[Misc]])</f>
        <v>0</v>
      </c>
      <c r="BR117">
        <f>'[1]Expense Master June-26'!R122</f>
        <v>253</v>
      </c>
      <c r="BS117">
        <f>'[1]Expense Master June-26'!S122</f>
        <v>150</v>
      </c>
      <c r="BT117">
        <f>'[1]Expense Master June-26'!T122</f>
        <v>0</v>
      </c>
      <c r="BU117">
        <f>SUM(SimpleDashData8[[#This Row],[Male]:[Child]])</f>
        <v>403</v>
      </c>
      <c r="BV117">
        <f>'[1]Expense Master June-26'!V122</f>
        <v>553</v>
      </c>
      <c r="BW117">
        <f>'[1]Expense Master June-26'!W122</f>
        <v>18.318181818181817</v>
      </c>
      <c r="BZ117">
        <f>SimpleDashData8[[#This Row],[Total Expense]]/SimpleDashData8[[#This Row],[Total Patients]]</f>
        <v>0</v>
      </c>
      <c r="CA117">
        <v>0</v>
      </c>
    </row>
    <row r="118" spans="1:79" x14ac:dyDescent="0.3">
      <c r="A118">
        <v>107</v>
      </c>
      <c r="B118" t="str">
        <v>QCNM Tank, Sub Jail</v>
      </c>
      <c r="C118" t="str">
        <v>Trust Act</v>
      </c>
      <c r="D118" t="str">
        <v>Capital Region</v>
      </c>
      <c r="E118" t="str">
        <v>Prison</v>
      </c>
      <c r="F118" s="2">
        <v>1520</v>
      </c>
      <c r="G118" s="2">
        <v>919</v>
      </c>
      <c r="H118" s="13">
        <v>1.6539717083786725</v>
      </c>
      <c r="I118" s="13"/>
      <c r="BA118">
        <v>117</v>
      </c>
      <c r="BB118" s="12" t="s">
        <v>184</v>
      </c>
      <c r="BD118" t="s">
        <v>33</v>
      </c>
      <c r="BE118" t="s">
        <v>172</v>
      </c>
      <c r="BF118" t="s">
        <v>35</v>
      </c>
      <c r="BG118">
        <f>'[1]Expense Master June-26'!G123</f>
        <v>0</v>
      </c>
      <c r="BH118">
        <f>'[1]Expense Master June-26'!H123</f>
        <v>950</v>
      </c>
      <c r="BI118">
        <f>'[1]Expense Master June-26'!I123</f>
        <v>0</v>
      </c>
      <c r="BJ118">
        <f>'[1]Expense Master June-26'!J123</f>
        <v>0</v>
      </c>
      <c r="BK118">
        <f>'[1]Expense Master June-26'!K123</f>
        <v>0</v>
      </c>
      <c r="BL118">
        <f>'[1]Expense Master June-26'!L123</f>
        <v>0</v>
      </c>
      <c r="BM118">
        <f>'[1]Expense Master June-26'!M123</f>
        <v>0</v>
      </c>
      <c r="BN118">
        <f>'[1]Expense Master June-26'!N123</f>
        <v>180</v>
      </c>
      <c r="BO118">
        <f>'[1]Expense Master June-26'!O123</f>
        <v>0</v>
      </c>
      <c r="BP118">
        <f>'[1]Expense Master June-26'!P123</f>
        <v>0</v>
      </c>
      <c r="BQ118">
        <f>SUM(SimpleDashData8[[#This Row],[Convayance]:[Misc]])</f>
        <v>1130</v>
      </c>
      <c r="BR118">
        <f>'[1]Expense Master June-26'!R123</f>
        <v>165</v>
      </c>
      <c r="BS118">
        <f>'[1]Expense Master June-26'!S123</f>
        <v>220</v>
      </c>
      <c r="BT118">
        <f>'[1]Expense Master June-26'!T123</f>
        <v>32</v>
      </c>
      <c r="BU118">
        <f>SUM(SimpleDashData8[[#This Row],[Male]:[Child]])</f>
        <v>417</v>
      </c>
      <c r="BV118">
        <f>'[1]Expense Master June-26'!V123</f>
        <v>669</v>
      </c>
      <c r="BW118">
        <f>'[1]Expense Master June-26'!W123</f>
        <v>18.954545454545453</v>
      </c>
      <c r="BZ118">
        <f>SimpleDashData8[[#This Row],[Total Expense]]/SimpleDashData8[[#This Row],[Total Patients]]</f>
        <v>2.709832134292566</v>
      </c>
      <c r="CA118">
        <v>0</v>
      </c>
    </row>
    <row r="119" spans="1:79" x14ac:dyDescent="0.3">
      <c r="A119">
        <v>108</v>
      </c>
      <c r="B119" t="str">
        <v>QCNM Faisalabad, GCU (New Campus)</v>
      </c>
      <c r="C119" t="str">
        <v>Trust Act</v>
      </c>
      <c r="D119" t="str">
        <v>Central Punjab Region</v>
      </c>
      <c r="E119" t="str">
        <v>Public</v>
      </c>
      <c r="F119" s="2">
        <v>1520</v>
      </c>
      <c r="G119" s="2">
        <v>902</v>
      </c>
      <c r="H119" s="13">
        <v>1.6851441241685143</v>
      </c>
      <c r="I119" s="13"/>
      <c r="BA119">
        <v>118</v>
      </c>
      <c r="BB119" s="12" t="s">
        <v>185</v>
      </c>
      <c r="BD119" t="s">
        <v>33</v>
      </c>
      <c r="BE119" t="s">
        <v>172</v>
      </c>
      <c r="BF119" t="s">
        <v>35</v>
      </c>
      <c r="BG119">
        <f>'[1]Expense Master June-26'!G124</f>
        <v>0</v>
      </c>
      <c r="BH119">
        <f>'[1]Expense Master June-26'!H124</f>
        <v>350</v>
      </c>
      <c r="BI119">
        <f>'[1]Expense Master June-26'!I124</f>
        <v>0</v>
      </c>
      <c r="BJ119">
        <f>'[1]Expense Master June-26'!J124</f>
        <v>0</v>
      </c>
      <c r="BK119">
        <f>'[1]Expense Master June-26'!K124</f>
        <v>0</v>
      </c>
      <c r="BL119">
        <f>'[1]Expense Master June-26'!L124</f>
        <v>0</v>
      </c>
      <c r="BM119">
        <f>'[1]Expense Master June-26'!M124</f>
        <v>0</v>
      </c>
      <c r="BN119">
        <f>'[1]Expense Master June-26'!N124</f>
        <v>400</v>
      </c>
      <c r="BO119">
        <f>'[1]Expense Master June-26'!O124</f>
        <v>0</v>
      </c>
      <c r="BP119">
        <f>'[1]Expense Master June-26'!P124</f>
        <v>0</v>
      </c>
      <c r="BQ119">
        <f>SUM(SimpleDashData8[[#This Row],[Convayance]:[Misc]])</f>
        <v>750</v>
      </c>
      <c r="BR119">
        <f>'[1]Expense Master June-26'!R124</f>
        <v>447</v>
      </c>
      <c r="BS119">
        <f>'[1]Expense Master June-26'!S124</f>
        <v>330</v>
      </c>
      <c r="BT119">
        <f>'[1]Expense Master June-26'!T124</f>
        <v>88</v>
      </c>
      <c r="BU119">
        <f>SUM(SimpleDashData8[[#This Row],[Male]:[Child]])</f>
        <v>865</v>
      </c>
      <c r="BV119">
        <f>'[1]Expense Master June-26'!V124</f>
        <v>1283</v>
      </c>
      <c r="BW119">
        <f>'[1]Expense Master June-26'!W124</f>
        <v>39.31818181818182</v>
      </c>
      <c r="BZ119">
        <f>SimpleDashData8[[#This Row],[Total Expense]]/SimpleDashData8[[#This Row],[Total Patients]]</f>
        <v>0.86705202312138729</v>
      </c>
      <c r="CA119">
        <v>0</v>
      </c>
    </row>
    <row r="120" spans="1:79" x14ac:dyDescent="0.3">
      <c r="A120">
        <v>109</v>
      </c>
      <c r="B120" t="str">
        <v>QCNM Loralai</v>
      </c>
      <c r="C120" t="str">
        <v>Trust Act</v>
      </c>
      <c r="D120" t="str">
        <v>Sindh, Balochistan &amp; AJK Region</v>
      </c>
      <c r="E120" t="str">
        <v>Public</v>
      </c>
      <c r="F120" s="2">
        <v>0</v>
      </c>
      <c r="G120" s="2">
        <v>886</v>
      </c>
      <c r="H120" s="13">
        <v>0</v>
      </c>
      <c r="I120" s="13"/>
      <c r="BA120">
        <v>119</v>
      </c>
      <c r="BB120" s="12" t="s">
        <v>186</v>
      </c>
      <c r="BD120" t="s">
        <v>68</v>
      </c>
      <c r="BE120" t="s">
        <v>172</v>
      </c>
      <c r="BF120" t="s">
        <v>35</v>
      </c>
      <c r="BG120">
        <f>'[1]Expense Master June-26'!G125</f>
        <v>0</v>
      </c>
      <c r="BH120">
        <f>'[1]Expense Master June-26'!H125</f>
        <v>300</v>
      </c>
      <c r="BI120">
        <f>'[1]Expense Master June-26'!I125</f>
        <v>0</v>
      </c>
      <c r="BJ120">
        <f>'[1]Expense Master June-26'!J125</f>
        <v>0</v>
      </c>
      <c r="BK120">
        <f>'[1]Expense Master June-26'!K125</f>
        <v>0</v>
      </c>
      <c r="BL120">
        <f>'[1]Expense Master June-26'!L125</f>
        <v>0</v>
      </c>
      <c r="BM120">
        <f>'[1]Expense Master June-26'!M125</f>
        <v>0</v>
      </c>
      <c r="BN120">
        <f>'[1]Expense Master June-26'!N125</f>
        <v>300</v>
      </c>
      <c r="BO120">
        <f>'[1]Expense Master June-26'!O125</f>
        <v>0</v>
      </c>
      <c r="BP120">
        <f>'[1]Expense Master June-26'!P125</f>
        <v>0</v>
      </c>
      <c r="BQ120">
        <f>SUM(SimpleDashData8[[#This Row],[Convayance]:[Misc]])</f>
        <v>600</v>
      </c>
      <c r="BR120">
        <f>'[1]Expense Master June-26'!R125</f>
        <v>256</v>
      </c>
      <c r="BS120">
        <f>'[1]Expense Master June-26'!S125</f>
        <v>792</v>
      </c>
      <c r="BT120">
        <f>'[1]Expense Master June-26'!T125</f>
        <v>217</v>
      </c>
      <c r="BU120">
        <f>SUM(SimpleDashData8[[#This Row],[Male]:[Child]])</f>
        <v>1265</v>
      </c>
      <c r="BV120">
        <f>'[1]Expense Master June-26'!V125</f>
        <v>2274</v>
      </c>
      <c r="BW120">
        <f>'[1]Expense Master June-26'!W125</f>
        <v>57.5</v>
      </c>
      <c r="BZ120">
        <f>SimpleDashData8[[#This Row],[Total Expense]]/SimpleDashData8[[#This Row],[Total Patients]]</f>
        <v>0.4743083003952569</v>
      </c>
      <c r="CA120">
        <v>0</v>
      </c>
    </row>
    <row r="121" spans="1:79" x14ac:dyDescent="0.3">
      <c r="A121">
        <v>110</v>
      </c>
      <c r="B121" t="str">
        <v>QCNM Faisalabad, GCU (Old Campus)</v>
      </c>
      <c r="C121" t="str">
        <v>Trust Act</v>
      </c>
      <c r="D121" t="str">
        <v>Central Punjab Region</v>
      </c>
      <c r="E121" t="str">
        <v>Public</v>
      </c>
      <c r="F121" s="2">
        <v>7581</v>
      </c>
      <c r="G121" s="2">
        <v>883</v>
      </c>
      <c r="H121" s="13">
        <v>8.5855039637599102</v>
      </c>
      <c r="I121" s="13"/>
      <c r="BA121">
        <v>120</v>
      </c>
      <c r="BB121" s="12" t="s">
        <v>187</v>
      </c>
      <c r="BD121" t="s">
        <v>33</v>
      </c>
      <c r="BE121" t="s">
        <v>172</v>
      </c>
      <c r="BF121" t="s">
        <v>64</v>
      </c>
      <c r="BG121">
        <f>'[1]Expense Master June-26'!G126</f>
        <v>0</v>
      </c>
      <c r="BH121">
        <f>'[1]Expense Master June-26'!H126</f>
        <v>1907</v>
      </c>
      <c r="BI121">
        <f>'[1]Expense Master June-26'!I126</f>
        <v>0</v>
      </c>
      <c r="BJ121">
        <f>'[1]Expense Master June-26'!J126</f>
        <v>350</v>
      </c>
      <c r="BK121">
        <f>'[1]Expense Master June-26'!K126</f>
        <v>550</v>
      </c>
      <c r="BL121">
        <f>'[1]Expense Master June-26'!L126</f>
        <v>732</v>
      </c>
      <c r="BM121">
        <f>'[1]Expense Master June-26'!M126</f>
        <v>0</v>
      </c>
      <c r="BN121">
        <f>'[1]Expense Master June-26'!N126</f>
        <v>0</v>
      </c>
      <c r="BO121">
        <f>'[1]Expense Master June-26'!O126</f>
        <v>494</v>
      </c>
      <c r="BP121">
        <f>'[1]Expense Master June-26'!P126</f>
        <v>0</v>
      </c>
      <c r="BQ121">
        <f>SUM(SimpleDashData8[[#This Row],[Convayance]:[Misc]])</f>
        <v>4033</v>
      </c>
      <c r="BR121">
        <f>'[1]Expense Master June-26'!R126</f>
        <v>1239</v>
      </c>
      <c r="BS121">
        <f>'[1]Expense Master June-26'!S126</f>
        <v>0</v>
      </c>
      <c r="BT121">
        <f>'[1]Expense Master June-26'!T126</f>
        <v>0</v>
      </c>
      <c r="BU121">
        <f>SUM(SimpleDashData8[[#This Row],[Male]:[Child]])</f>
        <v>1239</v>
      </c>
      <c r="BV121">
        <f>'[1]Expense Master June-26'!V126</f>
        <v>1239</v>
      </c>
      <c r="BW121">
        <f>'[1]Expense Master June-26'!W126</f>
        <v>56.31818181818182</v>
      </c>
      <c r="BZ121">
        <f>SimpleDashData8[[#This Row],[Total Expense]]/SimpleDashData8[[#This Row],[Total Patients]]</f>
        <v>3.255044390637611</v>
      </c>
      <c r="CA121">
        <v>0</v>
      </c>
    </row>
    <row r="122" spans="1:79" x14ac:dyDescent="0.3">
      <c r="A122">
        <v>111</v>
      </c>
      <c r="B122" t="str">
        <v>QCNM Woman Jail, Multan</v>
      </c>
      <c r="C122" t="str">
        <v>Trust Act</v>
      </c>
      <c r="D122" t="str">
        <v>South &amp; North Punjab Region</v>
      </c>
      <c r="E122" t="str">
        <v>Prison</v>
      </c>
      <c r="F122" s="2">
        <v>5351</v>
      </c>
      <c r="G122" s="2">
        <v>880</v>
      </c>
      <c r="H122" s="13">
        <v>6.0806818181818185</v>
      </c>
      <c r="I122" s="13"/>
      <c r="BA122">
        <v>121</v>
      </c>
      <c r="BB122" s="12" t="s">
        <v>188</v>
      </c>
      <c r="BD122" t="s">
        <v>68</v>
      </c>
      <c r="BE122" t="s">
        <v>172</v>
      </c>
      <c r="BF122" t="s">
        <v>64</v>
      </c>
      <c r="BG122">
        <f>'[1]Expense Master June-26'!G127</f>
        <v>0</v>
      </c>
      <c r="BH122">
        <f>'[1]Expense Master June-26'!H127</f>
        <v>0</v>
      </c>
      <c r="BI122">
        <f>'[1]Expense Master June-26'!I127</f>
        <v>0</v>
      </c>
      <c r="BJ122">
        <f>'[1]Expense Master June-26'!J127</f>
        <v>0</v>
      </c>
      <c r="BK122">
        <f>'[1]Expense Master June-26'!K127</f>
        <v>0</v>
      </c>
      <c r="BL122">
        <f>'[1]Expense Master June-26'!L127</f>
        <v>0</v>
      </c>
      <c r="BM122">
        <f>'[1]Expense Master June-26'!M127</f>
        <v>0</v>
      </c>
      <c r="BN122">
        <f>'[1]Expense Master June-26'!N127</f>
        <v>0</v>
      </c>
      <c r="BO122">
        <f>'[1]Expense Master June-26'!O127</f>
        <v>0</v>
      </c>
      <c r="BP122">
        <f>'[1]Expense Master June-26'!P127</f>
        <v>0</v>
      </c>
      <c r="BQ122">
        <f>SUM(SimpleDashData8[[#This Row],[Convayance]:[Misc]])</f>
        <v>0</v>
      </c>
      <c r="BR122">
        <f>'[1]Expense Master June-26'!R127</f>
        <v>527</v>
      </c>
      <c r="BS122">
        <f>'[1]Expense Master June-26'!S127</f>
        <v>222</v>
      </c>
      <c r="BT122">
        <f>'[1]Expense Master June-26'!T127</f>
        <v>178</v>
      </c>
      <c r="BU122">
        <f>SUM(SimpleDashData8[[#This Row],[Male]:[Child]])</f>
        <v>927</v>
      </c>
      <c r="BV122">
        <f>'[1]Expense Master June-26'!V127</f>
        <v>1327</v>
      </c>
      <c r="BW122">
        <f>'[1]Expense Master June-26'!W127</f>
        <v>42.136363636363633</v>
      </c>
      <c r="BZ122">
        <f>SimpleDashData8[[#This Row],[Total Expense]]/SimpleDashData8[[#This Row],[Total Patients]]</f>
        <v>0</v>
      </c>
      <c r="CA122">
        <v>0</v>
      </c>
    </row>
    <row r="123" spans="1:79" x14ac:dyDescent="0.3">
      <c r="A123">
        <v>112</v>
      </c>
      <c r="B123" t="str">
        <v>QCNM University of Kotli</v>
      </c>
      <c r="C123" t="str">
        <v>Trust Act</v>
      </c>
      <c r="D123" t="str">
        <v>Sindh, Balochistan &amp; AJK Region</v>
      </c>
      <c r="E123" t="str">
        <v>Public</v>
      </c>
      <c r="F123" s="2">
        <v>750</v>
      </c>
      <c r="G123" s="2">
        <v>865</v>
      </c>
      <c r="H123" s="13">
        <v>0.86705202312138729</v>
      </c>
      <c r="I123" s="13"/>
      <c r="BA123">
        <v>122</v>
      </c>
      <c r="BB123" s="12" t="s">
        <v>189</v>
      </c>
      <c r="BD123" t="s">
        <v>33</v>
      </c>
      <c r="BE123" t="s">
        <v>172</v>
      </c>
      <c r="BF123" t="s">
        <v>64</v>
      </c>
      <c r="BG123">
        <f>'[1]Expense Master June-26'!G128</f>
        <v>1000</v>
      </c>
      <c r="BH123">
        <f>'[1]Expense Master June-26'!H128</f>
        <v>0</v>
      </c>
      <c r="BI123">
        <f>'[1]Expense Master June-26'!I128</f>
        <v>0</v>
      </c>
      <c r="BJ123">
        <f>'[1]Expense Master June-26'!J128</f>
        <v>5620</v>
      </c>
      <c r="BK123">
        <f>'[1]Expense Master June-26'!K128</f>
        <v>0</v>
      </c>
      <c r="BL123">
        <f>'[1]Expense Master June-26'!L128</f>
        <v>850</v>
      </c>
      <c r="BM123">
        <f>'[1]Expense Master June-26'!M128</f>
        <v>0</v>
      </c>
      <c r="BN123">
        <f>'[1]Expense Master June-26'!N128</f>
        <v>0</v>
      </c>
      <c r="BO123">
        <f>'[1]Expense Master June-26'!O128</f>
        <v>1000</v>
      </c>
      <c r="BP123">
        <f>'[1]Expense Master June-26'!P128</f>
        <v>0</v>
      </c>
      <c r="BQ123">
        <f>SUM(SimpleDashData8[[#This Row],[Convayance]:[Misc]])</f>
        <v>8470</v>
      </c>
      <c r="BR123">
        <f>'[1]Expense Master June-26'!R128</f>
        <v>1659</v>
      </c>
      <c r="BS123">
        <f>'[1]Expense Master June-26'!S128</f>
        <v>34</v>
      </c>
      <c r="BT123">
        <f>'[1]Expense Master June-26'!T128</f>
        <v>185</v>
      </c>
      <c r="BU123">
        <f>SUM(SimpleDashData8[[#This Row],[Male]:[Child]])</f>
        <v>1878</v>
      </c>
      <c r="BV123">
        <f>'[1]Expense Master June-26'!V128</f>
        <v>2097</v>
      </c>
      <c r="BW123">
        <f>'[1]Expense Master June-26'!W128</f>
        <v>85.36363636363636</v>
      </c>
      <c r="BZ123">
        <f>SimpleDashData8[[#This Row],[Total Expense]]/SimpleDashData8[[#This Row],[Total Patients]]</f>
        <v>4.5101171458998932</v>
      </c>
      <c r="CA123">
        <v>0</v>
      </c>
    </row>
    <row r="124" spans="1:79" x14ac:dyDescent="0.3">
      <c r="A124">
        <v>113</v>
      </c>
      <c r="B124" t="str">
        <v>QCNM Sub Jail, Chakwal</v>
      </c>
      <c r="C124" t="str">
        <v>Trust Act</v>
      </c>
      <c r="D124" t="str">
        <v>South &amp; North Punjab Region</v>
      </c>
      <c r="E124" t="str">
        <v>Prison</v>
      </c>
      <c r="F124" s="2">
        <v>1870</v>
      </c>
      <c r="G124" s="2">
        <v>862</v>
      </c>
      <c r="H124" s="13">
        <v>2.1693735498839906</v>
      </c>
      <c r="I124" s="13"/>
      <c r="BA124">
        <v>123</v>
      </c>
      <c r="BB124" s="12" t="s">
        <v>190</v>
      </c>
      <c r="BD124" t="s">
        <v>33</v>
      </c>
      <c r="BE124" t="s">
        <v>172</v>
      </c>
      <c r="BF124" t="s">
        <v>64</v>
      </c>
      <c r="BG124">
        <f>'[1]Expense Master June-26'!G129</f>
        <v>0</v>
      </c>
      <c r="BH124">
        <f>'[1]Expense Master June-26'!H129</f>
        <v>0</v>
      </c>
      <c r="BI124">
        <f>'[1]Expense Master June-26'!I129</f>
        <v>0</v>
      </c>
      <c r="BJ124">
        <f>'[1]Expense Master June-26'!J129</f>
        <v>3450</v>
      </c>
      <c r="BK124">
        <f>'[1]Expense Master June-26'!K129</f>
        <v>600</v>
      </c>
      <c r="BL124">
        <f>'[1]Expense Master June-26'!L129</f>
        <v>0</v>
      </c>
      <c r="BM124">
        <f>'[1]Expense Master June-26'!M129</f>
        <v>0</v>
      </c>
      <c r="BN124">
        <f>'[1]Expense Master June-26'!N129</f>
        <v>0</v>
      </c>
      <c r="BO124">
        <f>'[1]Expense Master June-26'!O129</f>
        <v>0</v>
      </c>
      <c r="BP124">
        <f>'[1]Expense Master June-26'!P129</f>
        <v>0</v>
      </c>
      <c r="BQ124">
        <f>SUM(SimpleDashData8[[#This Row],[Convayance]:[Misc]])</f>
        <v>4050</v>
      </c>
      <c r="BR124">
        <f>'[1]Expense Master June-26'!R129</f>
        <v>1518</v>
      </c>
      <c r="BS124">
        <f>'[1]Expense Master June-26'!S129</f>
        <v>7</v>
      </c>
      <c r="BT124">
        <f>'[1]Expense Master June-26'!T129</f>
        <v>0</v>
      </c>
      <c r="BU124">
        <f>SUM(SimpleDashData8[[#This Row],[Male]:[Child]])</f>
        <v>1525</v>
      </c>
      <c r="BV124">
        <f>'[1]Expense Master June-26'!V129</f>
        <v>1532</v>
      </c>
      <c r="BW124">
        <f>'[1]Expense Master June-26'!W129</f>
        <v>69.318181818181813</v>
      </c>
      <c r="BZ124">
        <f>SimpleDashData8[[#This Row],[Total Expense]]/SimpleDashData8[[#This Row],[Total Patients]]</f>
        <v>2.6557377049180326</v>
      </c>
      <c r="CA124">
        <v>0</v>
      </c>
    </row>
    <row r="125" spans="1:79" x14ac:dyDescent="0.3">
      <c r="A125">
        <v>114</v>
      </c>
      <c r="B125" t="str">
        <v>QCNM, ZCD Hospital Toba tek Singh</v>
      </c>
      <c r="C125" t="str">
        <v>Trust Act</v>
      </c>
      <c r="D125" t="str">
        <v>Central Punjab Region</v>
      </c>
      <c r="E125" t="str">
        <v>Public</v>
      </c>
      <c r="F125" s="2">
        <v>0</v>
      </c>
      <c r="G125" s="2">
        <v>860</v>
      </c>
      <c r="H125" s="13">
        <v>0</v>
      </c>
      <c r="I125" s="13"/>
      <c r="BA125">
        <v>124</v>
      </c>
      <c r="BB125" s="12" t="s">
        <v>191</v>
      </c>
      <c r="BD125" t="s">
        <v>68</v>
      </c>
      <c r="BE125" t="s">
        <v>172</v>
      </c>
      <c r="BF125" t="s">
        <v>64</v>
      </c>
      <c r="BG125">
        <f>'[1]Expense Master June-26'!G130</f>
        <v>0</v>
      </c>
      <c r="BH125">
        <f>'[1]Expense Master June-26'!H130</f>
        <v>0</v>
      </c>
      <c r="BI125">
        <f>'[1]Expense Master June-26'!I130</f>
        <v>0</v>
      </c>
      <c r="BJ125">
        <f>'[1]Expense Master June-26'!J130</f>
        <v>0</v>
      </c>
      <c r="BK125">
        <f>'[1]Expense Master June-26'!K130</f>
        <v>560</v>
      </c>
      <c r="BL125">
        <f>'[1]Expense Master June-26'!L130</f>
        <v>0</v>
      </c>
      <c r="BM125">
        <f>'[1]Expense Master June-26'!M130</f>
        <v>0</v>
      </c>
      <c r="BN125">
        <f>'[1]Expense Master June-26'!N130</f>
        <v>400</v>
      </c>
      <c r="BO125">
        <f>'[1]Expense Master June-26'!O130</f>
        <v>500</v>
      </c>
      <c r="BP125">
        <f>'[1]Expense Master June-26'!P130</f>
        <v>0</v>
      </c>
      <c r="BQ125">
        <f>SUM(SimpleDashData8[[#This Row],[Convayance]:[Misc]])</f>
        <v>1460</v>
      </c>
      <c r="BR125">
        <f>'[1]Expense Master June-26'!R130</f>
        <v>1383</v>
      </c>
      <c r="BS125">
        <f>'[1]Expense Master June-26'!S130</f>
        <v>34</v>
      </c>
      <c r="BT125">
        <f>'[1]Expense Master June-26'!T130</f>
        <v>17</v>
      </c>
      <c r="BU125">
        <f>SUM(SimpleDashData8[[#This Row],[Male]:[Child]])</f>
        <v>1434</v>
      </c>
      <c r="BV125">
        <f>'[1]Expense Master June-26'!V130</f>
        <v>1485</v>
      </c>
      <c r="BW125">
        <f>'[1]Expense Master June-26'!W130</f>
        <v>65.181818181818187</v>
      </c>
      <c r="BZ125">
        <f>SimpleDashData8[[#This Row],[Total Expense]]/SimpleDashData8[[#This Row],[Total Patients]]</f>
        <v>1.0181311018131103</v>
      </c>
      <c r="CA125">
        <v>0</v>
      </c>
    </row>
    <row r="126" spans="1:79" x14ac:dyDescent="0.3">
      <c r="A126">
        <v>115</v>
      </c>
      <c r="B126" t="str">
        <v>QCNM FUUAST ( Abdul Haq Campus)</v>
      </c>
      <c r="C126" t="str">
        <v>Trust Act</v>
      </c>
      <c r="D126" t="str">
        <v>Sindh, Balochistan &amp; AJK Region</v>
      </c>
      <c r="E126" t="str">
        <v>Public</v>
      </c>
      <c r="F126" s="2">
        <v>3494</v>
      </c>
      <c r="G126" s="2">
        <v>735</v>
      </c>
      <c r="H126" s="13">
        <v>4.7537414965986393</v>
      </c>
      <c r="I126" s="13"/>
      <c r="BA126">
        <v>125</v>
      </c>
      <c r="BB126" s="12" t="s">
        <v>192</v>
      </c>
      <c r="BD126" t="s">
        <v>33</v>
      </c>
      <c r="BE126" t="s">
        <v>172</v>
      </c>
      <c r="BF126" t="s">
        <v>64</v>
      </c>
      <c r="BG126">
        <f>'[1]Expense Master June-26'!G131</f>
        <v>0</v>
      </c>
      <c r="BH126">
        <f>'[1]Expense Master June-26'!H131</f>
        <v>0</v>
      </c>
      <c r="BI126">
        <f>'[1]Expense Master June-26'!I131</f>
        <v>0</v>
      </c>
      <c r="BJ126">
        <f>'[1]Expense Master June-26'!J131</f>
        <v>10700</v>
      </c>
      <c r="BK126">
        <f>'[1]Expense Master June-26'!K131</f>
        <v>0</v>
      </c>
      <c r="BL126">
        <f>'[1]Expense Master June-26'!L131</f>
        <v>0</v>
      </c>
      <c r="BM126">
        <f>'[1]Expense Master June-26'!M131</f>
        <v>660</v>
      </c>
      <c r="BN126">
        <f>'[1]Expense Master June-26'!N131</f>
        <v>220</v>
      </c>
      <c r="BO126">
        <f>'[1]Expense Master June-26'!O131</f>
        <v>500</v>
      </c>
      <c r="BP126">
        <f>'[1]Expense Master June-26'!P131</f>
        <v>0</v>
      </c>
      <c r="BQ126">
        <f>SUM(SimpleDashData8[[#This Row],[Convayance]:[Misc]])</f>
        <v>12080</v>
      </c>
      <c r="BR126">
        <f>'[1]Expense Master June-26'!R131</f>
        <v>2585</v>
      </c>
      <c r="BS126">
        <f>'[1]Expense Master June-26'!S131</f>
        <v>0</v>
      </c>
      <c r="BT126">
        <f>'[1]Expense Master June-26'!T131</f>
        <v>0</v>
      </c>
      <c r="BU126">
        <f>SUM(SimpleDashData8[[#This Row],[Male]:[Child]])</f>
        <v>2585</v>
      </c>
      <c r="BV126">
        <f>'[1]Expense Master June-26'!V131</f>
        <v>2585</v>
      </c>
      <c r="BW126">
        <f>'[1]Expense Master June-26'!W131</f>
        <v>117.5</v>
      </c>
      <c r="BZ126">
        <f>SimpleDashData8[[#This Row],[Total Expense]]/SimpleDashData8[[#This Row],[Total Patients]]</f>
        <v>4.6731141199226309</v>
      </c>
      <c r="CA126">
        <v>0</v>
      </c>
    </row>
    <row r="127" spans="1:79" x14ac:dyDescent="0.3">
      <c r="A127">
        <v>116</v>
      </c>
      <c r="B127" t="str">
        <v>QCNM Lahore, Al Mustafa Trust</v>
      </c>
      <c r="C127" t="str">
        <v>Trust Act</v>
      </c>
      <c r="D127" t="str">
        <v>Central Punjab Region</v>
      </c>
      <c r="E127" t="str">
        <v>Public</v>
      </c>
      <c r="F127" s="2">
        <v>5945</v>
      </c>
      <c r="G127" s="2">
        <v>724</v>
      </c>
      <c r="H127" s="13">
        <v>8.2113259668508292</v>
      </c>
      <c r="I127" s="13"/>
      <c r="BA127">
        <v>126</v>
      </c>
      <c r="BB127" s="12" t="s">
        <v>193</v>
      </c>
      <c r="BD127" t="s">
        <v>68</v>
      </c>
      <c r="BE127" t="s">
        <v>172</v>
      </c>
      <c r="BF127" t="s">
        <v>64</v>
      </c>
      <c r="BG127">
        <f>'[1]Expense Master June-26'!G132</f>
        <v>4200</v>
      </c>
      <c r="BH127">
        <f>'[1]Expense Master June-26'!H132</f>
        <v>4500</v>
      </c>
      <c r="BI127">
        <f>'[1]Expense Master June-26'!I132</f>
        <v>0</v>
      </c>
      <c r="BJ127">
        <f>'[1]Expense Master June-26'!J132</f>
        <v>0</v>
      </c>
      <c r="BK127">
        <f>'[1]Expense Master June-26'!K132</f>
        <v>520</v>
      </c>
      <c r="BL127">
        <f>'[1]Expense Master June-26'!L132</f>
        <v>380</v>
      </c>
      <c r="BM127">
        <f>'[1]Expense Master June-26'!M132</f>
        <v>0</v>
      </c>
      <c r="BN127">
        <f>'[1]Expense Master June-26'!N132</f>
        <v>0</v>
      </c>
      <c r="BO127">
        <f>'[1]Expense Master June-26'!O132</f>
        <v>500</v>
      </c>
      <c r="BP127">
        <f>'[1]Expense Master June-26'!P132</f>
        <v>0</v>
      </c>
      <c r="BQ127">
        <f>SUM(SimpleDashData8[[#This Row],[Convayance]:[Misc]])</f>
        <v>10100</v>
      </c>
      <c r="BR127">
        <f>'[1]Expense Master June-26'!R132</f>
        <v>2527</v>
      </c>
      <c r="BS127">
        <f>'[1]Expense Master June-26'!S132</f>
        <v>0</v>
      </c>
      <c r="BT127">
        <f>'[1]Expense Master June-26'!T132</f>
        <v>0</v>
      </c>
      <c r="BU127">
        <f>SUM(SimpleDashData8[[#This Row],[Male]:[Child]])</f>
        <v>2527</v>
      </c>
      <c r="BV127">
        <f>'[1]Expense Master June-26'!V132</f>
        <v>2527</v>
      </c>
      <c r="BW127">
        <f>'[1]Expense Master June-26'!W132</f>
        <v>114.86363636363636</v>
      </c>
      <c r="BZ127">
        <f>SimpleDashData8[[#This Row],[Total Expense]]/SimpleDashData8[[#This Row],[Total Patients]]</f>
        <v>3.996834190740008</v>
      </c>
      <c r="CA127">
        <v>0</v>
      </c>
    </row>
    <row r="128" spans="1:79" x14ac:dyDescent="0.3">
      <c r="A128">
        <v>117</v>
      </c>
      <c r="B128" t="str">
        <v>QCNM Skardu District Jail</v>
      </c>
      <c r="C128" t="str">
        <v>U/S 42</v>
      </c>
      <c r="D128" t="str">
        <v>Capital Region</v>
      </c>
      <c r="E128" t="str">
        <v>Prison</v>
      </c>
      <c r="F128" s="2">
        <v>725</v>
      </c>
      <c r="G128" s="2">
        <v>698</v>
      </c>
      <c r="H128" s="13">
        <v>1.0386819484240688</v>
      </c>
      <c r="I128" s="13"/>
      <c r="BA128">
        <v>127</v>
      </c>
      <c r="BB128" s="12" t="s">
        <v>194</v>
      </c>
      <c r="BD128" t="s">
        <v>33</v>
      </c>
      <c r="BE128" t="s">
        <v>172</v>
      </c>
      <c r="BF128" t="s">
        <v>64</v>
      </c>
      <c r="BG128">
        <f>'[1]Expense Master June-26'!G133</f>
        <v>0</v>
      </c>
      <c r="BH128">
        <f>'[1]Expense Master June-26'!H133</f>
        <v>0</v>
      </c>
      <c r="BI128">
        <f>'[1]Expense Master June-26'!I133</f>
        <v>0</v>
      </c>
      <c r="BJ128">
        <f>'[1]Expense Master June-26'!J133</f>
        <v>1000</v>
      </c>
      <c r="BK128">
        <f>'[1]Expense Master June-26'!K133</f>
        <v>560</v>
      </c>
      <c r="BL128">
        <f>'[1]Expense Master June-26'!L133</f>
        <v>0</v>
      </c>
      <c r="BM128">
        <f>'[1]Expense Master June-26'!M133</f>
        <v>0</v>
      </c>
      <c r="BN128">
        <f>'[1]Expense Master June-26'!N133</f>
        <v>0</v>
      </c>
      <c r="BO128">
        <f>'[1]Expense Master June-26'!O133</f>
        <v>0</v>
      </c>
      <c r="BP128">
        <f>'[1]Expense Master June-26'!P133</f>
        <v>0</v>
      </c>
      <c r="BQ128">
        <f>SUM(SimpleDashData8[[#This Row],[Convayance]:[Misc]])</f>
        <v>1560</v>
      </c>
      <c r="BR128">
        <f>'[1]Expense Master June-26'!R133</f>
        <v>18</v>
      </c>
      <c r="BS128">
        <f>'[1]Expense Master June-26'!S133</f>
        <v>1004</v>
      </c>
      <c r="BT128">
        <f>'[1]Expense Master June-26'!T133</f>
        <v>130</v>
      </c>
      <c r="BU128">
        <f>SUM(SimpleDashData8[[#This Row],[Male]:[Child]])</f>
        <v>1152</v>
      </c>
      <c r="BV128">
        <f>'[1]Expense Master June-26'!V133</f>
        <v>2286</v>
      </c>
      <c r="BW128">
        <f>'[1]Expense Master June-26'!W133</f>
        <v>52.363636363636367</v>
      </c>
      <c r="BZ128">
        <f>SimpleDashData8[[#This Row],[Total Expense]]/SimpleDashData8[[#This Row],[Total Patients]]</f>
        <v>1.3541666666666667</v>
      </c>
      <c r="CA128">
        <v>0</v>
      </c>
    </row>
    <row r="129" spans="1:79" x14ac:dyDescent="0.3">
      <c r="A129">
        <v>118</v>
      </c>
      <c r="B129" t="str">
        <v>QCNM Gilgit, Central Jail</v>
      </c>
      <c r="C129" t="str">
        <v>U/S 42</v>
      </c>
      <c r="D129" t="str">
        <v>Capital Region</v>
      </c>
      <c r="E129" t="str">
        <v>Prison</v>
      </c>
      <c r="F129" s="2">
        <v>550</v>
      </c>
      <c r="G129" s="2">
        <v>684</v>
      </c>
      <c r="H129" s="13">
        <v>0.80409356725146197</v>
      </c>
      <c r="I129" s="13"/>
      <c r="BA129">
        <v>128</v>
      </c>
      <c r="BB129" s="12" t="s">
        <v>195</v>
      </c>
      <c r="BD129" t="s">
        <v>33</v>
      </c>
      <c r="BE129" t="s">
        <v>172</v>
      </c>
      <c r="BF129" t="s">
        <v>64</v>
      </c>
      <c r="BG129">
        <f>'[1]Expense Master June-26'!G134</f>
        <v>900</v>
      </c>
      <c r="BH129">
        <f>'[1]Expense Master June-26'!H134</f>
        <v>0</v>
      </c>
      <c r="BI129">
        <f>'[1]Expense Master June-26'!I134</f>
        <v>0</v>
      </c>
      <c r="BJ129">
        <f>'[1]Expense Master June-26'!J134</f>
        <v>1600</v>
      </c>
      <c r="BK129">
        <f>'[1]Expense Master June-26'!K134</f>
        <v>0</v>
      </c>
      <c r="BL129">
        <f>'[1]Expense Master June-26'!L134</f>
        <v>380</v>
      </c>
      <c r="BM129">
        <f>'[1]Expense Master June-26'!M134</f>
        <v>0</v>
      </c>
      <c r="BN129">
        <f>'[1]Expense Master June-26'!N134</f>
        <v>540</v>
      </c>
      <c r="BO129">
        <f>'[1]Expense Master June-26'!O134</f>
        <v>0</v>
      </c>
      <c r="BP129">
        <f>'[1]Expense Master June-26'!P134</f>
        <v>0</v>
      </c>
      <c r="BQ129">
        <f>SUM(SimpleDashData8[[#This Row],[Convayance]:[Misc]])</f>
        <v>3420</v>
      </c>
      <c r="BR129">
        <f>'[1]Expense Master June-26'!R134</f>
        <v>1157</v>
      </c>
      <c r="BS129">
        <f>'[1]Expense Master June-26'!S134</f>
        <v>0</v>
      </c>
      <c r="BT129">
        <f>'[1]Expense Master June-26'!T134</f>
        <v>0</v>
      </c>
      <c r="BU129">
        <f>SUM(SimpleDashData8[[#This Row],[Male]:[Child]])</f>
        <v>1157</v>
      </c>
      <c r="BV129">
        <f>'[1]Expense Master June-26'!V134</f>
        <v>1157</v>
      </c>
      <c r="BW129">
        <f>'[1]Expense Master June-26'!W134</f>
        <v>52.590909090909093</v>
      </c>
      <c r="BZ129">
        <f>SimpleDashData8[[#This Row],[Total Expense]]/SimpleDashData8[[#This Row],[Total Patients]]</f>
        <v>2.9559204840103717</v>
      </c>
      <c r="CA129">
        <v>0</v>
      </c>
    </row>
    <row r="130" spans="1:79" x14ac:dyDescent="0.3">
      <c r="A130">
        <v>119</v>
      </c>
      <c r="B130" t="str">
        <v>QCNM Ghizer, District Jail</v>
      </c>
      <c r="C130" t="str">
        <v>U/S 42</v>
      </c>
      <c r="D130" t="str">
        <v>Capital Region</v>
      </c>
      <c r="E130" t="str">
        <v>Prison</v>
      </c>
      <c r="F130" s="2">
        <v>840</v>
      </c>
      <c r="G130" s="2">
        <v>679</v>
      </c>
      <c r="H130" s="13">
        <v>1.2371134020618557</v>
      </c>
      <c r="I130" s="13"/>
      <c r="BA130">
        <v>129</v>
      </c>
      <c r="BB130" s="12" t="s">
        <v>196</v>
      </c>
      <c r="BD130" t="s">
        <v>68</v>
      </c>
      <c r="BE130" t="s">
        <v>172</v>
      </c>
      <c r="BF130" t="s">
        <v>64</v>
      </c>
      <c r="BG130">
        <f>'[1]Expense Master June-26'!G135</f>
        <v>0</v>
      </c>
      <c r="BH130">
        <f>'[1]Expense Master June-26'!H135</f>
        <v>0</v>
      </c>
      <c r="BI130">
        <f>'[1]Expense Master June-26'!I135</f>
        <v>0</v>
      </c>
      <c r="BJ130">
        <f>'[1]Expense Master June-26'!J135</f>
        <v>0</v>
      </c>
      <c r="BK130">
        <f>'[1]Expense Master June-26'!K135</f>
        <v>0</v>
      </c>
      <c r="BL130">
        <f>'[1]Expense Master June-26'!L135</f>
        <v>0</v>
      </c>
      <c r="BM130">
        <f>'[1]Expense Master June-26'!M135</f>
        <v>0</v>
      </c>
      <c r="BN130">
        <f>'[1]Expense Master June-26'!N135</f>
        <v>0</v>
      </c>
      <c r="BO130">
        <f>'[1]Expense Master June-26'!O135</f>
        <v>500</v>
      </c>
      <c r="BP130">
        <f>'[1]Expense Master June-26'!P135</f>
        <v>0</v>
      </c>
      <c r="BQ130">
        <f>SUM(SimpleDashData8[[#This Row],[Convayance]:[Misc]])</f>
        <v>500</v>
      </c>
      <c r="BR130">
        <f>'[1]Expense Master June-26'!R135</f>
        <v>1323</v>
      </c>
      <c r="BS130">
        <f>'[1]Expense Master June-26'!S135</f>
        <v>191</v>
      </c>
      <c r="BT130">
        <f>'[1]Expense Master June-26'!T135</f>
        <v>64</v>
      </c>
      <c r="BU130">
        <f>SUM(SimpleDashData8[[#This Row],[Male]:[Child]])</f>
        <v>1578</v>
      </c>
      <c r="BV130">
        <f>'[1]Expense Master June-26'!V135</f>
        <v>1833</v>
      </c>
      <c r="BW130">
        <f>'[1]Expense Master June-26'!W135</f>
        <v>71.727272727272734</v>
      </c>
      <c r="BZ130">
        <f>SimpleDashData8[[#This Row],[Total Expense]]/SimpleDashData8[[#This Row],[Total Patients]]</f>
        <v>0.31685678073510776</v>
      </c>
      <c r="CA130">
        <v>0</v>
      </c>
    </row>
    <row r="131" spans="1:79" x14ac:dyDescent="0.3">
      <c r="A131">
        <v>120</v>
      </c>
      <c r="B131" t="str">
        <v>QCNM Subjail Parachinar</v>
      </c>
      <c r="C131" t="str">
        <v>Trust Act</v>
      </c>
      <c r="D131" t="str">
        <v>Capital Region</v>
      </c>
      <c r="E131" t="str">
        <v>Prison</v>
      </c>
      <c r="F131" s="2">
        <v>0</v>
      </c>
      <c r="G131" s="2">
        <v>613</v>
      </c>
      <c r="H131" s="13">
        <v>0</v>
      </c>
      <c r="I131" s="13"/>
      <c r="BA131">
        <v>130</v>
      </c>
      <c r="BB131" s="12" t="s">
        <v>197</v>
      </c>
      <c r="BD131" t="s">
        <v>33</v>
      </c>
      <c r="BE131" t="s">
        <v>172</v>
      </c>
      <c r="BF131" t="s">
        <v>64</v>
      </c>
      <c r="BG131">
        <f>'[1]Expense Master June-26'!G136</f>
        <v>0</v>
      </c>
      <c r="BH131">
        <f>'[1]Expense Master June-26'!H136</f>
        <v>0</v>
      </c>
      <c r="BI131">
        <f>'[1]Expense Master June-26'!I136</f>
        <v>0</v>
      </c>
      <c r="BJ131">
        <f>'[1]Expense Master June-26'!J136</f>
        <v>0</v>
      </c>
      <c r="BK131">
        <f>'[1]Expense Master June-26'!K136</f>
        <v>600</v>
      </c>
      <c r="BL131">
        <f>'[1]Expense Master June-26'!L136</f>
        <v>500</v>
      </c>
      <c r="BM131">
        <f>'[1]Expense Master June-26'!M136</f>
        <v>0</v>
      </c>
      <c r="BN131">
        <f>'[1]Expense Master June-26'!N136</f>
        <v>0</v>
      </c>
      <c r="BO131">
        <f>'[1]Expense Master June-26'!O136</f>
        <v>500</v>
      </c>
      <c r="BP131">
        <f>'[1]Expense Master June-26'!P136</f>
        <v>500</v>
      </c>
      <c r="BQ131">
        <f>SUM(SimpleDashData8[[#This Row],[Convayance]:[Misc]])</f>
        <v>2100</v>
      </c>
      <c r="BR131">
        <f>'[1]Expense Master June-26'!R136</f>
        <v>1285</v>
      </c>
      <c r="BS131">
        <f>'[1]Expense Master June-26'!S136</f>
        <v>0</v>
      </c>
      <c r="BT131">
        <f>'[1]Expense Master June-26'!T136</f>
        <v>0</v>
      </c>
      <c r="BU131">
        <f>SUM(SimpleDashData8[[#This Row],[Male]:[Child]])</f>
        <v>1285</v>
      </c>
      <c r="BV131">
        <f>'[1]Expense Master June-26'!V136</f>
        <v>1285</v>
      </c>
      <c r="BW131">
        <f>'[1]Expense Master June-26'!W136</f>
        <v>58.409090909090907</v>
      </c>
      <c r="BZ131">
        <f>SimpleDashData8[[#This Row],[Total Expense]]/SimpleDashData8[[#This Row],[Total Patients]]</f>
        <v>1.6342412451361867</v>
      </c>
      <c r="CA131">
        <v>0</v>
      </c>
    </row>
    <row r="132" spans="1:79" x14ac:dyDescent="0.3">
      <c r="A132">
        <v>121</v>
      </c>
      <c r="B132" t="str">
        <v>OCNM SIBI ( MCKRU) University</v>
      </c>
      <c r="C132" t="str">
        <v>Trust Act</v>
      </c>
      <c r="D132" t="str">
        <v>Sindh, Balochistan &amp; AJK Region</v>
      </c>
      <c r="E132" t="str">
        <v>Public</v>
      </c>
      <c r="F132" s="2">
        <v>0</v>
      </c>
      <c r="G132" s="2">
        <v>612</v>
      </c>
      <c r="H132" s="13">
        <v>0</v>
      </c>
      <c r="I132" s="13"/>
      <c r="BA132">
        <v>131</v>
      </c>
      <c r="BB132" s="12" t="s">
        <v>198</v>
      </c>
      <c r="BD132" t="s">
        <v>68</v>
      </c>
      <c r="BE132" t="s">
        <v>172</v>
      </c>
      <c r="BF132" t="s">
        <v>64</v>
      </c>
      <c r="BG132">
        <f>'[1]Expense Master June-26'!G137</f>
        <v>0</v>
      </c>
      <c r="BH132">
        <f>'[1]Expense Master June-26'!H137</f>
        <v>1000</v>
      </c>
      <c r="BI132">
        <f>'[1]Expense Master June-26'!I137</f>
        <v>0</v>
      </c>
      <c r="BJ132">
        <f>'[1]Expense Master June-26'!J137</f>
        <v>0</v>
      </c>
      <c r="BK132">
        <f>'[1]Expense Master June-26'!K137</f>
        <v>0</v>
      </c>
      <c r="BL132">
        <f>'[1]Expense Master June-26'!L137</f>
        <v>0</v>
      </c>
      <c r="BM132">
        <f>'[1]Expense Master June-26'!M137</f>
        <v>0</v>
      </c>
      <c r="BN132">
        <f>'[1]Expense Master June-26'!N137</f>
        <v>1180</v>
      </c>
      <c r="BO132">
        <f>'[1]Expense Master June-26'!O137</f>
        <v>0</v>
      </c>
      <c r="BP132">
        <f>'[1]Expense Master June-26'!P137</f>
        <v>0</v>
      </c>
      <c r="BQ132">
        <f>SUM(SimpleDashData8[[#This Row],[Convayance]:[Misc]])</f>
        <v>2180</v>
      </c>
      <c r="BR132">
        <f>'[1]Expense Master June-26'!R137</f>
        <v>947</v>
      </c>
      <c r="BS132">
        <f>'[1]Expense Master June-26'!S137</f>
        <v>3</v>
      </c>
      <c r="BT132">
        <f>'[1]Expense Master June-26'!T137</f>
        <v>149</v>
      </c>
      <c r="BU132">
        <f>SUM(SimpleDashData8[[#This Row],[Male]:[Child]])</f>
        <v>1099</v>
      </c>
      <c r="BV132">
        <f>'[1]Expense Master June-26'!V137</f>
        <v>1251</v>
      </c>
      <c r="BW132">
        <f>'[1]Expense Master June-26'!W137</f>
        <v>49.954545454545453</v>
      </c>
      <c r="BZ132">
        <f>SimpleDashData8[[#This Row],[Total Expense]]/SimpleDashData8[[#This Row],[Total Patients]]</f>
        <v>1.9836214740673339</v>
      </c>
      <c r="CA132">
        <v>0</v>
      </c>
    </row>
    <row r="133" spans="1:79" x14ac:dyDescent="0.3">
      <c r="A133">
        <v>122</v>
      </c>
      <c r="B133" t="str">
        <v>QCNM Bahawalpur, Borstal Jail</v>
      </c>
      <c r="C133" t="str">
        <v>Trust Act</v>
      </c>
      <c r="D133" t="str">
        <v>South &amp; North Punjab Region</v>
      </c>
      <c r="E133" t="str">
        <v>Prison</v>
      </c>
      <c r="F133" s="2">
        <v>175</v>
      </c>
      <c r="G133" s="2">
        <v>558</v>
      </c>
      <c r="H133" s="13">
        <v>0.31362007168458783</v>
      </c>
      <c r="I133" s="13"/>
      <c r="BA133">
        <v>132</v>
      </c>
      <c r="BB133" s="12" t="s">
        <v>199</v>
      </c>
      <c r="BD133" t="s">
        <v>33</v>
      </c>
      <c r="BE133" t="s">
        <v>172</v>
      </c>
      <c r="BF133" t="s">
        <v>64</v>
      </c>
      <c r="BG133">
        <f>'[1]Expense Master June-26'!G138</f>
        <v>1500</v>
      </c>
      <c r="BH133">
        <f>'[1]Expense Master June-26'!H138</f>
        <v>0</v>
      </c>
      <c r="BI133">
        <f>'[1]Expense Master June-26'!I138</f>
        <v>500</v>
      </c>
      <c r="BJ133">
        <f>'[1]Expense Master June-26'!J138</f>
        <v>8440</v>
      </c>
      <c r="BK133">
        <f>'[1]Expense Master June-26'!K138</f>
        <v>600</v>
      </c>
      <c r="BL133">
        <f>'[1]Expense Master June-26'!L138</f>
        <v>800</v>
      </c>
      <c r="BM133">
        <f>'[1]Expense Master June-26'!M138</f>
        <v>0</v>
      </c>
      <c r="BN133">
        <f>'[1]Expense Master June-26'!N138</f>
        <v>0</v>
      </c>
      <c r="BO133">
        <f>'[1]Expense Master June-26'!O138</f>
        <v>0</v>
      </c>
      <c r="BP133">
        <f>'[1]Expense Master June-26'!P138</f>
        <v>0</v>
      </c>
      <c r="BQ133">
        <f>SUM(SimpleDashData8[[#This Row],[Convayance]:[Misc]])</f>
        <v>11840</v>
      </c>
      <c r="BR133">
        <f>'[1]Expense Master June-26'!R138</f>
        <v>1121</v>
      </c>
      <c r="BS133">
        <f>'[1]Expense Master June-26'!S138</f>
        <v>16</v>
      </c>
      <c r="BT133">
        <f>'[1]Expense Master June-26'!T138</f>
        <v>18</v>
      </c>
      <c r="BU133">
        <f>SUM(SimpleDashData8[[#This Row],[Male]:[Child]])</f>
        <v>1155</v>
      </c>
      <c r="BV133">
        <f>'[1]Expense Master June-26'!V138</f>
        <v>1189</v>
      </c>
      <c r="BW133">
        <f>'[1]Expense Master June-26'!W138</f>
        <v>52.5</v>
      </c>
      <c r="BZ133">
        <f>SimpleDashData8[[#This Row],[Total Expense]]/SimpleDashData8[[#This Row],[Total Patients]]</f>
        <v>10.25108225108225</v>
      </c>
      <c r="CA133">
        <v>0</v>
      </c>
    </row>
    <row r="134" spans="1:79" x14ac:dyDescent="0.3">
      <c r="A134">
        <v>123</v>
      </c>
      <c r="B134" t="str">
        <v>QCNM Chillas District Jail</v>
      </c>
      <c r="C134" t="str">
        <v>U/S 42</v>
      </c>
      <c r="D134" t="str">
        <v>Capital Region</v>
      </c>
      <c r="E134" t="str">
        <v>Prison</v>
      </c>
      <c r="F134" s="2">
        <v>950</v>
      </c>
      <c r="G134" s="2">
        <v>517</v>
      </c>
      <c r="H134" s="13">
        <v>1.8375241779497098</v>
      </c>
      <c r="I134" s="13"/>
      <c r="BA134">
        <v>133</v>
      </c>
      <c r="BB134" s="12" t="s">
        <v>200</v>
      </c>
      <c r="BD134" t="s">
        <v>89</v>
      </c>
      <c r="BE134" t="s">
        <v>172</v>
      </c>
      <c r="BF134" t="s">
        <v>64</v>
      </c>
      <c r="BG134">
        <f>'[1]Expense Master June-26'!G139</f>
        <v>750</v>
      </c>
      <c r="BH134">
        <f>'[1]Expense Master June-26'!H139</f>
        <v>420</v>
      </c>
      <c r="BI134">
        <f>'[1]Expense Master June-26'!I139</f>
        <v>0</v>
      </c>
      <c r="BJ134">
        <f>'[1]Expense Master June-26'!J139</f>
        <v>4440</v>
      </c>
      <c r="BK134">
        <f>'[1]Expense Master June-26'!K139</f>
        <v>510</v>
      </c>
      <c r="BL134">
        <f>'[1]Expense Master June-26'!L139</f>
        <v>280</v>
      </c>
      <c r="BM134">
        <f>'[1]Expense Master June-26'!M139</f>
        <v>0</v>
      </c>
      <c r="BN134">
        <f>'[1]Expense Master June-26'!N139</f>
        <v>0</v>
      </c>
      <c r="BO134">
        <f>'[1]Expense Master June-26'!O139</f>
        <v>0</v>
      </c>
      <c r="BP134">
        <f>'[1]Expense Master June-26'!P139</f>
        <v>0</v>
      </c>
      <c r="BQ134">
        <f>SUM(SimpleDashData8[[#This Row],[Convayance]:[Misc]])</f>
        <v>6400</v>
      </c>
      <c r="BR134">
        <f>'[1]Expense Master June-26'!R139</f>
        <v>1296</v>
      </c>
      <c r="BS134">
        <f>'[1]Expense Master June-26'!S139</f>
        <v>2</v>
      </c>
      <c r="BT134">
        <f>'[1]Expense Master June-26'!T139</f>
        <v>0</v>
      </c>
      <c r="BU134">
        <f>SUM(SimpleDashData8[[#This Row],[Male]:[Child]])</f>
        <v>1298</v>
      </c>
      <c r="BV134">
        <f>'[1]Expense Master June-26'!V139</f>
        <v>1300</v>
      </c>
      <c r="BW134">
        <f>'[1]Expense Master June-26'!W139</f>
        <v>59</v>
      </c>
      <c r="BZ134">
        <f>SimpleDashData8[[#This Row],[Total Expense]]/SimpleDashData8[[#This Row],[Total Patients]]</f>
        <v>4.9306625577812015</v>
      </c>
      <c r="CA134">
        <v>0</v>
      </c>
    </row>
    <row r="135" spans="1:79" x14ac:dyDescent="0.3">
      <c r="A135">
        <v>124</v>
      </c>
      <c r="B135" t="str">
        <v>QCNM PTC Gilgit</v>
      </c>
      <c r="C135" t="str">
        <v>Trust Act</v>
      </c>
      <c r="D135" t="str">
        <v>Capital Region</v>
      </c>
      <c r="E135" t="str">
        <v>Public</v>
      </c>
      <c r="F135" s="2">
        <v>0</v>
      </c>
      <c r="G135" s="2">
        <v>507</v>
      </c>
      <c r="H135" s="13">
        <v>0</v>
      </c>
      <c r="I135" s="13"/>
      <c r="BA135">
        <v>134</v>
      </c>
      <c r="BB135" s="12" t="s">
        <v>201</v>
      </c>
      <c r="BD135" t="s">
        <v>89</v>
      </c>
      <c r="BE135" t="s">
        <v>172</v>
      </c>
      <c r="BF135" t="s">
        <v>64</v>
      </c>
      <c r="BG135">
        <f>'[1]Expense Master June-26'!G140</f>
        <v>0</v>
      </c>
      <c r="BH135">
        <f>'[1]Expense Master June-26'!H140</f>
        <v>0</v>
      </c>
      <c r="BI135">
        <f>'[1]Expense Master June-26'!I140</f>
        <v>0</v>
      </c>
      <c r="BJ135">
        <f>'[1]Expense Master June-26'!J140</f>
        <v>0</v>
      </c>
      <c r="BK135">
        <f>'[1]Expense Master June-26'!K140</f>
        <v>0</v>
      </c>
      <c r="BL135">
        <f>'[1]Expense Master June-26'!L140</f>
        <v>0</v>
      </c>
      <c r="BM135">
        <f>'[1]Expense Master June-26'!M140</f>
        <v>0</v>
      </c>
      <c r="BN135">
        <f>'[1]Expense Master June-26'!N140</f>
        <v>0</v>
      </c>
      <c r="BO135">
        <f>'[1]Expense Master June-26'!O140</f>
        <v>0</v>
      </c>
      <c r="BP135">
        <f>'[1]Expense Master June-26'!P140</f>
        <v>0</v>
      </c>
      <c r="BQ135">
        <f>SUM(SimpleDashData8[[#This Row],[Convayance]:[Misc]])</f>
        <v>0</v>
      </c>
      <c r="BR135">
        <f>'[1]Expense Master June-26'!R140</f>
        <v>1169</v>
      </c>
      <c r="BS135">
        <f>'[1]Expense Master June-26'!S140</f>
        <v>0</v>
      </c>
      <c r="BT135">
        <f>'[1]Expense Master June-26'!T140</f>
        <v>0</v>
      </c>
      <c r="BU135">
        <f>SUM(SimpleDashData8[[#This Row],[Male]:[Child]])</f>
        <v>1169</v>
      </c>
      <c r="BV135">
        <f>'[1]Expense Master June-26'!V140</f>
        <v>1169</v>
      </c>
      <c r="BW135">
        <f>'[1]Expense Master June-26'!W140</f>
        <v>53.136363636363633</v>
      </c>
      <c r="BZ135">
        <f>SimpleDashData8[[#This Row],[Total Expense]]/SimpleDashData8[[#This Row],[Total Patients]]</f>
        <v>0</v>
      </c>
      <c r="CA135">
        <v>0</v>
      </c>
    </row>
    <row r="136" spans="1:79" x14ac:dyDescent="0.3">
      <c r="A136">
        <v>125</v>
      </c>
      <c r="B136" t="str">
        <v>QCNM University of AJK, MZD</v>
      </c>
      <c r="C136" t="str">
        <v>Trust Act</v>
      </c>
      <c r="D136" t="str">
        <v>Sindh, Balochistan &amp; AJK Region</v>
      </c>
      <c r="E136" t="str">
        <v>Public</v>
      </c>
      <c r="F136" s="2">
        <v>1130</v>
      </c>
      <c r="G136" s="2">
        <v>417</v>
      </c>
      <c r="H136" s="13">
        <v>2.709832134292566</v>
      </c>
      <c r="I136" s="13"/>
      <c r="BA136">
        <v>135</v>
      </c>
      <c r="BB136" s="12" t="s">
        <v>202</v>
      </c>
      <c r="BD136" t="s">
        <v>89</v>
      </c>
      <c r="BE136" t="s">
        <v>172</v>
      </c>
      <c r="BF136" t="s">
        <v>64</v>
      </c>
      <c r="BG136">
        <f>'[1]Expense Master June-26'!G141</f>
        <v>0</v>
      </c>
      <c r="BH136">
        <f>'[1]Expense Master June-26'!H141</f>
        <v>0</v>
      </c>
      <c r="BI136">
        <f>'[1]Expense Master June-26'!I141</f>
        <v>0</v>
      </c>
      <c r="BJ136">
        <f>'[1]Expense Master June-26'!J141</f>
        <v>1000</v>
      </c>
      <c r="BK136">
        <f>'[1]Expense Master June-26'!K141</f>
        <v>0</v>
      </c>
      <c r="BL136">
        <f>'[1]Expense Master June-26'!L141</f>
        <v>0</v>
      </c>
      <c r="BM136">
        <f>'[1]Expense Master June-26'!M141</f>
        <v>0</v>
      </c>
      <c r="BN136">
        <f>'[1]Expense Master June-26'!N141</f>
        <v>1000</v>
      </c>
      <c r="BO136">
        <f>'[1]Expense Master June-26'!O141</f>
        <v>500</v>
      </c>
      <c r="BP136">
        <f>'[1]Expense Master June-26'!P141</f>
        <v>0</v>
      </c>
      <c r="BQ136">
        <f>SUM(SimpleDashData8[[#This Row],[Convayance]:[Misc]])</f>
        <v>2500</v>
      </c>
      <c r="BR136">
        <f>'[1]Expense Master June-26'!R141</f>
        <v>1427</v>
      </c>
      <c r="BS136">
        <f>'[1]Expense Master June-26'!S141</f>
        <v>32</v>
      </c>
      <c r="BT136">
        <f>'[1]Expense Master June-26'!T141</f>
        <v>0</v>
      </c>
      <c r="BU136">
        <f>SUM(SimpleDashData8[[#This Row],[Male]:[Child]])</f>
        <v>1459</v>
      </c>
      <c r="BV136">
        <f>'[1]Expense Master June-26'!V141</f>
        <v>1491</v>
      </c>
      <c r="BW136">
        <f>'[1]Expense Master June-26'!W141</f>
        <v>66.318181818181813</v>
      </c>
      <c r="BZ136">
        <f>SimpleDashData8[[#This Row],[Total Expense]]/SimpleDashData8[[#This Row],[Total Patients]]</f>
        <v>1.7135023989033584</v>
      </c>
      <c r="CA136">
        <v>0</v>
      </c>
    </row>
    <row r="137" spans="1:79" x14ac:dyDescent="0.3">
      <c r="A137">
        <v>126</v>
      </c>
      <c r="B137" t="str">
        <v>QCNM Rawalakot, University of Poonch</v>
      </c>
      <c r="C137" t="str">
        <v>Trust Act</v>
      </c>
      <c r="D137" t="str">
        <v>Sindh, Balochistan &amp; AJK Region</v>
      </c>
      <c r="E137" t="str">
        <v>Public</v>
      </c>
      <c r="F137" s="2">
        <v>0</v>
      </c>
      <c r="G137" s="2">
        <v>403</v>
      </c>
      <c r="H137" s="13">
        <v>0</v>
      </c>
      <c r="I137" s="13"/>
      <c r="BA137">
        <v>136</v>
      </c>
      <c r="BB137" s="30" t="s">
        <v>203</v>
      </c>
      <c r="BD137" t="s">
        <v>89</v>
      </c>
      <c r="BE137" t="s">
        <v>172</v>
      </c>
      <c r="BF137" t="s">
        <v>64</v>
      </c>
      <c r="BG137">
        <f>'[1]Expense Master June-26'!G142</f>
        <v>0</v>
      </c>
      <c r="BH137">
        <f>'[1]Expense Master June-26'!H142</f>
        <v>0</v>
      </c>
      <c r="BI137">
        <f>'[1]Expense Master June-26'!I142</f>
        <v>0</v>
      </c>
      <c r="BJ137">
        <f>'[1]Expense Master June-26'!J142</f>
        <v>0</v>
      </c>
      <c r="BK137">
        <f>'[1]Expense Master June-26'!K142</f>
        <v>0</v>
      </c>
      <c r="BL137">
        <f>'[1]Expense Master June-26'!L142</f>
        <v>0</v>
      </c>
      <c r="BM137">
        <f>'[1]Expense Master June-26'!M142</f>
        <v>0</v>
      </c>
      <c r="BN137">
        <f>'[1]Expense Master June-26'!N142</f>
        <v>0</v>
      </c>
      <c r="BO137">
        <f>'[1]Expense Master June-26'!O142</f>
        <v>0</v>
      </c>
      <c r="BP137">
        <f>'[1]Expense Master June-26'!P142</f>
        <v>0</v>
      </c>
      <c r="BQ137">
        <f>SUM(SimpleDashData8[[#This Row],[Convayance]:[Misc]])</f>
        <v>0</v>
      </c>
      <c r="BR137">
        <f>'[1]Expense Master June-26'!R142</f>
        <v>351</v>
      </c>
      <c r="BS137">
        <f>'[1]Expense Master June-26'!S142</f>
        <v>0</v>
      </c>
      <c r="BT137">
        <f>'[1]Expense Master June-26'!T142</f>
        <v>0</v>
      </c>
      <c r="BU137">
        <f>SUM(SimpleDashData8[[#This Row],[Male]:[Child]])</f>
        <v>351</v>
      </c>
      <c r="BV137">
        <f>'[1]Expense Master June-26'!V142</f>
        <v>351</v>
      </c>
      <c r="BW137">
        <f>'[1]Expense Master June-26'!W142</f>
        <v>15.954545454545455</v>
      </c>
      <c r="BZ137">
        <f>SimpleDashData8[[#This Row],[Total Expense]]/SimpleDashData8[[#This Row],[Total Patients]]</f>
        <v>0</v>
      </c>
      <c r="CA137">
        <v>0</v>
      </c>
    </row>
    <row r="138" spans="1:79" x14ac:dyDescent="0.3">
      <c r="A138">
        <v>127</v>
      </c>
      <c r="B138" t="str">
        <v>QCNM Rawalakot District Jail</v>
      </c>
      <c r="C138" t="str">
        <v>Society Act</v>
      </c>
      <c r="D138" t="str">
        <v>Sindh, Balochistan &amp; AJK Region</v>
      </c>
      <c r="E138" t="str">
        <v>Prison</v>
      </c>
      <c r="F138" s="2">
        <v>0</v>
      </c>
      <c r="G138" s="2">
        <v>351</v>
      </c>
      <c r="H138" s="13">
        <v>0</v>
      </c>
      <c r="I138" s="13"/>
      <c r="CA138">
        <f>SUBTOTAL(109,SimpleDashData8[Monthly Performance])</f>
        <v>0</v>
      </c>
    </row>
    <row r="139" spans="1:79" x14ac:dyDescent="0.3">
      <c r="A139">
        <v>128</v>
      </c>
      <c r="B139" t="str">
        <v xml:space="preserve">QCNM QCNM Lums </v>
      </c>
      <c r="C139" t="str">
        <v>Trust Act</v>
      </c>
      <c r="D139" t="str">
        <v>Central Punjab Region</v>
      </c>
      <c r="E139" t="str">
        <v>Public</v>
      </c>
      <c r="F139" s="2">
        <v>6484</v>
      </c>
      <c r="G139" s="2">
        <v>205</v>
      </c>
      <c r="H139" s="13">
        <v>31.629268292682926</v>
      </c>
      <c r="I139" s="13"/>
    </row>
    <row r="140" spans="1:79" x14ac:dyDescent="0.3">
      <c r="A140">
        <v>129</v>
      </c>
      <c r="B140" t="str">
        <v>QCNM Lahore, Women Central Jail</v>
      </c>
      <c r="C140" t="str">
        <v>Trust Act</v>
      </c>
      <c r="D140" t="str">
        <v>Central Punjab Region</v>
      </c>
      <c r="E140" t="str">
        <v>Prison</v>
      </c>
      <c r="F140" s="2">
        <v>3600</v>
      </c>
      <c r="G140" s="2">
        <v>124</v>
      </c>
      <c r="H140" s="13">
        <v>29.032258064516128</v>
      </c>
      <c r="I140" s="13"/>
      <c r="BQ140">
        <f>SUM(BQ2:BQ139)</f>
        <v>851305</v>
      </c>
      <c r="BU140">
        <f>SUM(BU2:BU139)</f>
        <v>229486</v>
      </c>
    </row>
    <row r="141" spans="1:79" x14ac:dyDescent="0.3">
      <c r="A141">
        <v>130</v>
      </c>
      <c r="B141" t="str">
        <v>QCNM Faisalabad, Women District Jail</v>
      </c>
      <c r="C141" t="str">
        <v>Trust Act</v>
      </c>
      <c r="D141" t="str">
        <v>Central Punjab Region</v>
      </c>
      <c r="E141" t="str">
        <v>Prison</v>
      </c>
      <c r="F141" s="2">
        <v>1582</v>
      </c>
      <c r="G141" s="2">
        <v>103</v>
      </c>
      <c r="H141" s="13">
        <v>15.359223300970873</v>
      </c>
      <c r="I141" s="13"/>
    </row>
    <row r="142" spans="1:79" x14ac:dyDescent="0.3">
      <c r="A142">
        <v>131</v>
      </c>
      <c r="B142" t="str">
        <v>QCNM Aas Rehabilitation Centre</v>
      </c>
      <c r="C142" t="str">
        <v>Trust Act</v>
      </c>
      <c r="D142" t="str">
        <v>Central Punjab Region</v>
      </c>
      <c r="E142" t="str">
        <v>Public</v>
      </c>
      <c r="F142" s="2">
        <v>10288</v>
      </c>
      <c r="G142" s="2">
        <v>47</v>
      </c>
      <c r="H142" s="13">
        <v>218.89361702127658</v>
      </c>
      <c r="I142" s="13"/>
    </row>
    <row r="143" spans="1:79" x14ac:dyDescent="0.3">
      <c r="A143">
        <v>132</v>
      </c>
      <c r="B143" t="str">
        <v>QCNM Lahore, Binnat School (Model Town)</v>
      </c>
      <c r="C143" t="str">
        <v>Trust Act</v>
      </c>
      <c r="D143" t="str">
        <v>Central Punjab Region</v>
      </c>
      <c r="E143" t="str">
        <v>Public</v>
      </c>
      <c r="F143" s="2">
        <v>0</v>
      </c>
      <c r="G143" s="2">
        <v>0</v>
      </c>
      <c r="H143" s="13" t="str">
        <v/>
      </c>
      <c r="I143" s="13"/>
    </row>
    <row r="144" spans="1:79" x14ac:dyDescent="0.3">
      <c r="A144">
        <v>133</v>
      </c>
      <c r="B144" t="str">
        <v>QCNM Kisan Centre</v>
      </c>
      <c r="C144" t="str">
        <v>Trust Act</v>
      </c>
      <c r="D144" t="str">
        <v>Central Punjab Region</v>
      </c>
      <c r="E144" t="str">
        <v>Public</v>
      </c>
      <c r="F144" s="2">
        <v>0</v>
      </c>
      <c r="G144" s="2">
        <v>0</v>
      </c>
      <c r="H144" s="13" t="str">
        <v/>
      </c>
      <c r="I144" s="13"/>
    </row>
    <row r="145" spans="1:59" x14ac:dyDescent="0.3">
      <c r="A145">
        <v>134</v>
      </c>
      <c r="B145" t="str">
        <v>QCNM Gift University Gujranwala (Women Campus)</v>
      </c>
      <c r="C145" t="str">
        <v>Trust Act</v>
      </c>
      <c r="D145" t="str">
        <v>Central Punjab Region</v>
      </c>
      <c r="E145" t="str">
        <v>Public</v>
      </c>
      <c r="F145" s="2">
        <v>0</v>
      </c>
      <c r="G145" s="2">
        <v>0</v>
      </c>
      <c r="H145" s="13" t="str">
        <v/>
      </c>
      <c r="I145" s="13"/>
    </row>
    <row r="146" spans="1:59" x14ac:dyDescent="0.3">
      <c r="A146">
        <v>135</v>
      </c>
      <c r="B146" t="str">
        <v>QCNM Faisalabad, Borstal Jail</v>
      </c>
      <c r="C146" t="str">
        <v>Trust Act</v>
      </c>
      <c r="D146" t="str">
        <v>Central Punjab Region</v>
      </c>
      <c r="E146" t="str">
        <v>Prison</v>
      </c>
      <c r="F146" s="2">
        <v>0</v>
      </c>
      <c r="G146" s="2">
        <v>0</v>
      </c>
      <c r="H146" s="13" t="str">
        <v/>
      </c>
      <c r="I146" s="13"/>
    </row>
    <row r="147" spans="1:59" x14ac:dyDescent="0.3">
      <c r="A147">
        <v>136</v>
      </c>
      <c r="B147" t="str">
        <v>QCNM Toba Tek singh,District Jail</v>
      </c>
      <c r="C147" t="str">
        <v>Trust Act</v>
      </c>
      <c r="D147" t="str">
        <v>Central Punjab Region</v>
      </c>
      <c r="E147" t="str">
        <v>Prison</v>
      </c>
      <c r="F147" s="2">
        <v>0</v>
      </c>
      <c r="G147" s="2">
        <v>0</v>
      </c>
      <c r="H147" s="13" t="str">
        <v/>
      </c>
      <c r="I147" s="13"/>
    </row>
    <row r="148" spans="1:59" x14ac:dyDescent="0.3">
      <c r="F148" s="2"/>
      <c r="G148" s="2"/>
      <c r="H148" s="13"/>
      <c r="I148" s="13"/>
    </row>
    <row r="149" spans="1:59" x14ac:dyDescent="0.3">
      <c r="F149" s="2"/>
      <c r="G149" s="31"/>
    </row>
    <row r="150" spans="1:59" x14ac:dyDescent="0.3">
      <c r="F150" s="2"/>
      <c r="G150" s="31"/>
      <c r="BB150" t="s">
        <v>204</v>
      </c>
      <c r="BC150" t="s">
        <v>205</v>
      </c>
      <c r="BD150" t="s">
        <v>206</v>
      </c>
      <c r="BE150" t="s">
        <v>207</v>
      </c>
    </row>
    <row r="151" spans="1:59" x14ac:dyDescent="0.3">
      <c r="BB151" t="s">
        <v>42</v>
      </c>
      <c r="BC151" t="s">
        <v>43</v>
      </c>
      <c r="BD151" t="s">
        <v>43</v>
      </c>
      <c r="BF151" t="s">
        <v>9</v>
      </c>
      <c r="BG151" cm="1">
        <f t="array" ref="BG151">SUMPRODUCT((IF($D$4&lt;&gt;"",1,IF($B$4="All Regions",1,SimpleDashData8[Region]=$B$4)))*(IF($D$4&lt;&gt;"",SimpleDashData8[QCNM Name]=$D$4,IF($G$4="All Clinics",1,SimpleDashData8[QCNM Name]=$G$4)))*SimpleDashData8[Convayance])</f>
        <v>147931</v>
      </c>
    </row>
    <row r="152" spans="1:59" x14ac:dyDescent="0.3">
      <c r="BB152" t="s">
        <v>34</v>
      </c>
      <c r="BC152" t="s">
        <v>107</v>
      </c>
      <c r="BD152" t="str" cm="1">
        <f t="array" ref="BD152">IFERROR(INDEX(_xlfn._xlws.SORT(_xlfn._xlws.FILTER(SimpleDashData8[QCNM Name],IF($D$4&lt;&gt;"",1,IF($B$4="All Regions",1,SimpleDashData8[Region]=$B$4)))),ROWS($BD$152:BD152)),"")</f>
        <v>Lahore, Jamia Ashrafia</v>
      </c>
      <c r="BF152" t="s">
        <v>9</v>
      </c>
      <c r="BG152" cm="1">
        <f t="array" ref="BG152">SUMPRODUCT((IF($D$4&lt;&gt;"",1,IF($B$4="All Regions",1,SimpleDashData8[Region]=$B$4)))*(IF($D$4&lt;&gt;"",SimpleDashData8[QCNM Name]=$D$4,IF($G$4="All Clinics",1,SimpleDashData8[QCNM Name]=$G$4)))*(IF($A$4="All Sections",1,SimpleDashData8[Section]=$A$4))*SimpleDashData8[Convayance])</f>
        <v>147931</v>
      </c>
    </row>
    <row r="153" spans="1:59" x14ac:dyDescent="0.3">
      <c r="BB153" t="s">
        <v>100</v>
      </c>
      <c r="BC153" t="s">
        <v>104</v>
      </c>
      <c r="BD153" t="str" cm="1">
        <f t="array" ref="BD153">IFERROR(INDEX(_xlfn._xlws.SORT(_xlfn._xlws.FILTER(SimpleDashData8[QCNM Name],IF($D$4&lt;&gt;"",SimpleDashData8[QCNM Name]=$D$4,IF($B$4="All Regions",1,SimpleDashData8[Region]=$B$4))*IF($A$4="All Sections",1,SimpleDashData8[Section]=$A$4))),ROWS($BD$153:BD153)),"")</f>
        <v>Lahore, Jamia Ashrafia</v>
      </c>
      <c r="BF153" t="s">
        <v>10</v>
      </c>
      <c r="BG153" cm="1">
        <f t="array" ref="BG153">SUMPRODUCT((IF($D$4&lt;&gt;"",1,IF($B$4="All Regions",1,SimpleDashData8[Region]=$B$4)))*(IF($D$4&lt;&gt;"",SimpleDashData8[QCNM Name]=$D$4,IF($G$4="All Clinics",1,SimpleDashData8[QCNM Name]=$G$4)))*(IF($A$4="All Sections",1,SimpleDashData8[Section]=$A$4))*SimpleDashData8[Purchasing])</f>
        <v>73079</v>
      </c>
    </row>
    <row r="154" spans="1:59" x14ac:dyDescent="0.3">
      <c r="BB154" t="s">
        <v>172</v>
      </c>
      <c r="BC154" t="s">
        <v>179</v>
      </c>
      <c r="BD154" t="str" cm="1">
        <f t="array" ref="BD154">IFERROR(INDEX(_xlfn._xlws.SORT(_xlfn._xlws.FILTER(SimpleDashData8[QCNM Name],IF($D$4&lt;&gt;"",SimpleDashData8[QCNM Name]=$D$4,IF($B$4="All Regions",1,SimpleDashData8[Region]=$B$4))*IF($A$4="All Sections",1,SimpleDashData8[Section]=$A$4))),ROWS($BD$153:BD154)),"")</f>
        <v>Lahore, QCNM Saggian</v>
      </c>
      <c r="BF154" t="s">
        <v>11</v>
      </c>
      <c r="BG154" cm="1">
        <f t="array" ref="BG154">SUMPRODUCT((IF($D$4&lt;&gt;"",1,IF($B$4="All Regions",1,SimpleDashData8[Region]=$B$4)))*(IF($D$4&lt;&gt;"",SimpleDashData8[QCNM Name]=$D$4,IF($G$4="All Clinics",1,SimpleDashData8[QCNM Name]=$G$4)))*(IF($A$4="All Sections",1,SimpleDashData8[Section]=$A$4))*SimpleDashData8[Freight])</f>
        <v>15310</v>
      </c>
    </row>
    <row r="155" spans="1:59" x14ac:dyDescent="0.3">
      <c r="BB155" t="s">
        <v>135</v>
      </c>
      <c r="BC155" t="s">
        <v>113</v>
      </c>
      <c r="BD155" t="str" cm="1">
        <f t="array" ref="BD155">IFERROR(INDEX(_xlfn._xlws.SORT(_xlfn._xlws.FILTER(SimpleDashData8[QCNM Name],IF($D$4&lt;&gt;"",SimpleDashData8[QCNM Name]=$D$4,IF($B$4="All Regions",1,SimpleDashData8[Region]=$B$4))*IF($A$4="All Sections",1,SimpleDashData8[Section]=$A$4))),ROWS($BD$153:BD155)),"")</f>
        <v>OCNM SIBI ( MCKRU) University</v>
      </c>
      <c r="BF155" t="s">
        <v>12</v>
      </c>
      <c r="BG155" cm="1">
        <f t="array" ref="BG155">SUMPRODUCT((IF($D$4&lt;&gt;"",1,IF($B$4="All Regions",1,SimpleDashData8[Region]=$B$4)))*(IF($D$4&lt;&gt;"",SimpleDashData8[QCNM Name]=$D$4,IF($G$4="All Clinics",1,SimpleDashData8[QCNM Name]=$G$4)))*(IF($A$4="All Sections",1,SimpleDashData8[Section]=$A$4))*SimpleDashData8[Packing])</f>
        <v>386465</v>
      </c>
    </row>
    <row r="156" spans="1:59" x14ac:dyDescent="0.3">
      <c r="BC156" t="s">
        <v>63</v>
      </c>
      <c r="BD156" t="str" cm="1">
        <f t="array" ref="BD156">IFERROR(INDEX(_xlfn._xlws.SORT(_xlfn._xlws.FILTER(SimpleDashData8[QCNM Name],IF($D$4&lt;&gt;"",SimpleDashData8[QCNM Name]=$D$4,IF($B$4="All Regions",1,SimpleDashData8[Region]=$B$4))*IF($A$4="All Sections",1,SimpleDashData8[Section]=$A$4))),ROWS($BD$153:BD156)),"")</f>
        <v>QCNM Aas Rehabilitation Centre</v>
      </c>
      <c r="BF156" t="s">
        <v>13</v>
      </c>
      <c r="BG156" cm="1">
        <f t="array" ref="BG156">SUMPRODUCT((IF($D$4&lt;&gt;"",1,IF($B$4="All Regions",1,SimpleDashData8[Region]=$B$4)))*(IF($D$4&lt;&gt;"",SimpleDashData8[QCNM Name]=$D$4,IF($G$4="All Clinics",1,SimpleDashData8[QCNM Name]=$G$4)))*(IF($A$4="All Sections",1,SimpleDashData8[Section]=$A$4))*SimpleDashData8[Postage])</f>
        <v>29823</v>
      </c>
    </row>
    <row r="157" spans="1:59" x14ac:dyDescent="0.3">
      <c r="BC157" t="s">
        <v>142</v>
      </c>
      <c r="BD157" t="str" cm="1">
        <f t="array" ref="BD157">IFERROR(INDEX(_xlfn._xlws.SORT(_xlfn._xlws.FILTER(SimpleDashData8[QCNM Name],IF($D$4&lt;&gt;"",SimpleDashData8[QCNM Name]=$D$4,IF($B$4="All Regions",1,SimpleDashData8[Region]=$B$4))*IF($A$4="All Sections",1,SimpleDashData8[Section]=$A$4))),ROWS($BD$153:BD157)),"")</f>
        <v>QCNM Abottabad, District Jail</v>
      </c>
      <c r="BF157" t="s">
        <v>14</v>
      </c>
      <c r="BG157" cm="1">
        <f t="array" ref="BG157">SUMPRODUCT((IF($D$4&lt;&gt;"",1,IF($B$4="All Regions",1,SimpleDashData8[Region]=$B$4)))*(IF($D$4&lt;&gt;"",SimpleDashData8[QCNM Name]=$D$4,IF($G$4="All Clinics",1,SimpleDashData8[QCNM Name]=$G$4)))*(IF($A$4="All Sections",1,SimpleDashData8[Section]=$A$4))*SimpleDashData8[Printing])</f>
        <v>41425</v>
      </c>
    </row>
    <row r="158" spans="1:59" x14ac:dyDescent="0.3">
      <c r="BC158" t="s">
        <v>154</v>
      </c>
      <c r="BD158" t="str" cm="1">
        <f t="array" ref="BD158">IFERROR(INDEX(_xlfn._xlws.SORT(_xlfn._xlws.FILTER(SimpleDashData8[QCNM Name],IF($D$4&lt;&gt;"",SimpleDashData8[QCNM Name]=$D$4,IF($B$4="All Regions",1,SimpleDashData8[Region]=$B$4))*IF($A$4="All Sections",1,SimpleDashData8[Section]=$A$4))),ROWS($BD$153:BD158)),"")</f>
        <v>QCNM Attock, District Jail</v>
      </c>
      <c r="BF158" t="s">
        <v>15</v>
      </c>
      <c r="BG158" cm="1">
        <f t="array" ref="BG158">SUMPRODUCT((IF($D$4&lt;&gt;"",1,IF($B$4="All Regions",1,SimpleDashData8[Region]=$B$4)))*(IF($D$4&lt;&gt;"",SimpleDashData8[QCNM Name]=$D$4,IF($G$4="All Clinics",1,SimpleDashData8[QCNM Name]=$G$4)))*(IF($A$4="All Sections",1,SimpleDashData8[Section]=$A$4))*SimpleDashData8[Repair])</f>
        <v>38940</v>
      </c>
    </row>
    <row r="159" spans="1:59" x14ac:dyDescent="0.3">
      <c r="BC159" t="s">
        <v>136</v>
      </c>
      <c r="BD159" t="str" cm="1">
        <f t="array" ref="BD159">IFERROR(INDEX(_xlfn._xlws.SORT(_xlfn._xlws.FILTER(SimpleDashData8[QCNM Name],IF($D$4&lt;&gt;"",SimpleDashData8[QCNM Name]=$D$4,IF($B$4="All Regions",1,SimpleDashData8[Region]=$B$4))*IF($A$4="All Sections",1,SimpleDashData8[Section]=$A$4))),ROWS($BD$153:BD159)),"")</f>
        <v>QCNM Bahawalnagar, District Jail</v>
      </c>
      <c r="BF159" t="s">
        <v>16</v>
      </c>
      <c r="BG159" cm="1">
        <f t="array" ref="BG159">SUMPRODUCT((IF($D$4&lt;&gt;"",1,IF($B$4="All Regions",1,SimpleDashData8[Region]=$B$4)))*(IF($D$4&lt;&gt;"",SimpleDashData8[QCNM Name]=$D$4,IF($G$4="All Clinics",1,SimpleDashData8[QCNM Name]=$G$4)))*(IF($A$4="All Sections",1,SimpleDashData8[Section]=$A$4))*SimpleDashData8[Stationary])</f>
        <v>46590</v>
      </c>
    </row>
    <row r="160" spans="1:59" x14ac:dyDescent="0.3">
      <c r="BC160" t="s">
        <v>137</v>
      </c>
      <c r="BD160" t="str" cm="1">
        <f t="array" ref="BD160">IFERROR(INDEX(_xlfn._xlws.SORT(_xlfn._xlws.FILTER(SimpleDashData8[QCNM Name],IF($D$4&lt;&gt;"",SimpleDashData8[QCNM Name]=$D$4,IF($B$4="All Regions",1,SimpleDashData8[Region]=$B$4))*IF($A$4="All Sections",1,SimpleDashData8[Section]=$A$4))),ROWS($BD$153:BD160)),"")</f>
        <v>QCNM Bahawalnagar, Zainab Rafique</v>
      </c>
      <c r="BF160" t="s">
        <v>17</v>
      </c>
      <c r="BG160" cm="1">
        <f t="array" ref="BG160">SUMPRODUCT((IF($D$4&lt;&gt;"",1,IF($B$4="All Regions",1,SimpleDashData8[Region]=$B$4)))*(IF($D$4&lt;&gt;"",SimpleDashData8[QCNM Name]=$D$4,IF($G$4="All Clinics",1,SimpleDashData8[QCNM Name]=$G$4)))*(IF($A$4="All Sections",1,SimpleDashData8[Section]=$A$4))*SimpleDashData8[Utilities])</f>
        <v>35370</v>
      </c>
    </row>
    <row r="161" spans="55:59" x14ac:dyDescent="0.3">
      <c r="BC161" t="s">
        <v>153</v>
      </c>
      <c r="BD161" t="str" cm="1">
        <f t="array" ref="BD161">IFERROR(INDEX(_xlfn._xlws.SORT(_xlfn._xlws.FILTER(SimpleDashData8[QCNM Name],IF($D$4&lt;&gt;"",SimpleDashData8[QCNM Name]=$D$4,IF($B$4="All Regions",1,SimpleDashData8[Region]=$B$4))*IF($A$4="All Sections",1,SimpleDashData8[Section]=$A$4))),ROWS($BD$153:BD161)),"")</f>
        <v>QCNM Bahawalpur EMH</v>
      </c>
      <c r="BF161" t="s">
        <v>18</v>
      </c>
      <c r="BG161" cm="1">
        <f t="array" ref="BG161">SUMPRODUCT((IF($D$4&lt;&gt;"",1,IF($B$4="All Regions",1,SimpleDashData8[Region]=$B$4)))*(IF($D$4&lt;&gt;"",SimpleDashData8[QCNM Name]=$D$4,IF($G$4="All Clinics",1,SimpleDashData8[QCNM Name]=$G$4)))*(IF($A$4="All Sections",1,SimpleDashData8[Section]=$A$4))*SimpleDashData8[Misc])</f>
        <v>36372</v>
      </c>
    </row>
    <row r="162" spans="55:59" x14ac:dyDescent="0.3">
      <c r="BC162" t="s">
        <v>152</v>
      </c>
      <c r="BD162" t="str" cm="1">
        <f t="array" ref="BD162">IFERROR(INDEX(_xlfn._xlws.SORT(_xlfn._xlws.FILTER(SimpleDashData8[QCNM Name],IF($D$4&lt;&gt;"",SimpleDashData8[QCNM Name]=$D$4,IF($B$4="All Regions",1,SimpleDashData8[Region]=$B$4))*IF($A$4="All Sections",1,SimpleDashData8[Section]=$A$4))),ROWS($BD$153:BD162)),"")</f>
        <v>QCNM Bahawalpur, Borstal Jail</v>
      </c>
    </row>
    <row r="163" spans="55:59" x14ac:dyDescent="0.3">
      <c r="BC163" t="s">
        <v>65</v>
      </c>
      <c r="BD163" t="str" cm="1">
        <f t="array" ref="BD163">IFERROR(INDEX(_xlfn._xlws.SORT(_xlfn._xlws.FILTER(SimpleDashData8[QCNM Name],IF($D$4&lt;&gt;"",SimpleDashData8[QCNM Name]=$D$4,IF($B$4="All Regions",1,SimpleDashData8[Region]=$B$4))*IF($A$4="All Sections",1,SimpleDashData8[Section]=$A$4))),ROWS($BD$153:BD163)),"")</f>
        <v>QCNM Bahawalpur, Central Jail</v>
      </c>
    </row>
    <row r="164" spans="55:59" x14ac:dyDescent="0.3">
      <c r="BC164" t="s">
        <v>48</v>
      </c>
      <c r="BD164" t="str" cm="1">
        <f t="array" ref="BD164">IFERROR(INDEX(_xlfn._xlws.SORT(_xlfn._xlws.FILTER(SimpleDashData8[QCNM Name],IF($D$4&lt;&gt;"",SimpleDashData8[QCNM Name]=$D$4,IF($B$4="All Regions",1,SimpleDashData8[Region]=$B$4))*IF($A$4="All Sections",1,SimpleDashData8[Section]=$A$4))),ROWS($BD$153:BD164)),"")</f>
        <v>QCNM Bannu, Central Prison</v>
      </c>
    </row>
    <row r="165" spans="55:59" x14ac:dyDescent="0.3">
      <c r="BC165" t="s">
        <v>155</v>
      </c>
      <c r="BD165" t="str" cm="1">
        <f t="array" ref="BD165">IFERROR(INDEX(_xlfn._xlws.SORT(_xlfn._xlws.FILTER(SimpleDashData8[QCNM Name],IF($D$4&lt;&gt;"",SimpleDashData8[QCNM Name]=$D$4,IF($B$4="All Regions",1,SimpleDashData8[Region]=$B$4))*IF($A$4="All Sections",1,SimpleDashData8[Section]=$A$4))),ROWS($BD$153:BD165)),"")</f>
        <v>QCNM Bannu, USTB University</v>
      </c>
    </row>
    <row r="166" spans="55:59" x14ac:dyDescent="0.3">
      <c r="BC166" t="s">
        <v>96</v>
      </c>
      <c r="BD166" t="str" cm="1">
        <f t="array" ref="BD166">IFERROR(INDEX(_xlfn._xlws.SORT(_xlfn._xlws.FILTER(SimpleDashData8[QCNM Name],IF($D$4&lt;&gt;"",SimpleDashData8[QCNM Name]=$D$4,IF($B$4="All Regions",1,SimpleDashData8[Region]=$B$4))*IF($A$4="All Sections",1,SimpleDashData8[Section]=$A$4))),ROWS($BD$153:BD166)),"")</f>
        <v>QCNM Bhakkar, District Jail</v>
      </c>
    </row>
    <row r="167" spans="55:59" x14ac:dyDescent="0.3">
      <c r="BC167" t="s">
        <v>134</v>
      </c>
      <c r="BD167" t="str" cm="1">
        <f t="array" ref="BD167">IFERROR(INDEX(_xlfn._xlws.SORT(_xlfn._xlws.FILTER(SimpleDashData8[QCNM Name],IF($D$4&lt;&gt;"",SimpleDashData8[QCNM Name]=$D$4,IF($B$4="All Regions",1,SimpleDashData8[Region]=$B$4))*IF($A$4="All Sections",1,SimpleDashData8[Section]=$A$4))),ROWS($BD$153:BD167)),"")</f>
        <v>QCNM Buner Central Prison</v>
      </c>
    </row>
    <row r="168" spans="55:59" x14ac:dyDescent="0.3">
      <c r="BC168" t="s">
        <v>196</v>
      </c>
      <c r="BD168" t="str" cm="1">
        <f t="array" ref="BD168">IFERROR(INDEX(_xlfn._xlws.SORT(_xlfn._xlws.FILTER(SimpleDashData8[QCNM Name],IF($D$4&lt;&gt;"",SimpleDashData8[QCNM Name]=$D$4,IF($B$4="All Regions",1,SimpleDashData8[Region]=$B$4))*IF($A$4="All Sections",1,SimpleDashData8[Section]=$A$4))),ROWS($BD$153:BD168)),"")</f>
        <v>QCNM Burhan, Doke Mughalan</v>
      </c>
    </row>
    <row r="169" spans="55:59" x14ac:dyDescent="0.3">
      <c r="BC169" t="s">
        <v>193</v>
      </c>
      <c r="BD169" t="str" cm="1">
        <f t="array" ref="BD169">IFERROR(INDEX(_xlfn._xlws.SORT(_xlfn._xlws.FILTER(SimpleDashData8[QCNM Name],IF($D$4&lt;&gt;"",SimpleDashData8[QCNM Name]=$D$4,IF($B$4="All Regions",1,SimpleDashData8[Region]=$B$4))*IF($A$4="All Sections",1,SimpleDashData8[Section]=$A$4))),ROWS($BD$153:BD169)),"")</f>
        <v>QCNM Central Jail Mach</v>
      </c>
    </row>
    <row r="170" spans="55:59" x14ac:dyDescent="0.3">
      <c r="BC170" t="s">
        <v>94</v>
      </c>
      <c r="BD170" t="str" cm="1">
        <f t="array" ref="BD170">IFERROR(INDEX(_xlfn._xlws.SORT(_xlfn._xlws.FILTER(SimpleDashData8[QCNM Name],IF($D$4&lt;&gt;"",SimpleDashData8[QCNM Name]=$D$4,IF($B$4="All Regions",1,SimpleDashData8[Region]=$B$4))*IF($A$4="All Sections",1,SimpleDashData8[Section]=$A$4))),ROWS($BD$153:BD170)),"")</f>
        <v>QCNM Central Jail Zohb</v>
      </c>
    </row>
    <row r="171" spans="55:59" x14ac:dyDescent="0.3">
      <c r="BC171" t="s">
        <v>86</v>
      </c>
      <c r="BD171" t="str" cm="1">
        <f t="array" ref="BD171">IFERROR(INDEX(_xlfn._xlws.SORT(_xlfn._xlws.FILTER(SimpleDashData8[QCNM Name],IF($D$4&lt;&gt;"",SimpleDashData8[QCNM Name]=$D$4,IF($B$4="All Regions",1,SimpleDashData8[Region]=$B$4))*IF($A$4="All Sections",1,SimpleDashData8[Section]=$A$4))),ROWS($BD$153:BD171)),"")</f>
        <v>QCNM Charsadda, Sub Jail</v>
      </c>
    </row>
    <row r="172" spans="55:59" x14ac:dyDescent="0.3">
      <c r="BC172" t="s">
        <v>97</v>
      </c>
      <c r="BD172" t="str" cm="1">
        <f t="array" ref="BD172">IFERROR(INDEX(_xlfn._xlws.SORT(_xlfn._xlws.FILTER(SimpleDashData8[QCNM Name],IF($D$4&lt;&gt;"",SimpleDashData8[QCNM Name]=$D$4,IF($B$4="All Regions",1,SimpleDashData8[Region]=$B$4))*IF($A$4="All Sections",1,SimpleDashData8[Section]=$A$4))),ROWS($BD$153:BD172)),"")</f>
        <v>QCNM Chillas District Jail</v>
      </c>
    </row>
    <row r="173" spans="55:59" x14ac:dyDescent="0.3">
      <c r="BC173" t="s">
        <v>156</v>
      </c>
      <c r="BD173" t="str" cm="1">
        <f t="array" ref="BD173">IFERROR(INDEX(_xlfn._xlws.SORT(_xlfn._xlws.FILTER(SimpleDashData8[QCNM Name],IF($D$4&lt;&gt;"",SimpleDashData8[QCNM Name]=$D$4,IF($B$4="All Regions",1,SimpleDashData8[Region]=$B$4))*IF($A$4="All Sections",1,SimpleDashData8[Section]=$A$4))),ROWS($BD$153:BD173)),"")</f>
        <v>QCNM Chitral District Jail</v>
      </c>
    </row>
    <row r="174" spans="55:59" x14ac:dyDescent="0.3">
      <c r="BC174" t="s">
        <v>66</v>
      </c>
      <c r="BD174" t="str" cm="1">
        <f t="array" ref="BD174">IFERROR(INDEX(_xlfn._xlws.SORT(_xlfn._xlws.FILTER(SimpleDashData8[QCNM Name],IF($D$4&lt;&gt;"",SimpleDashData8[QCNM Name]=$D$4,IF($B$4="All Regions",1,SimpleDashData8[Region]=$B$4))*IF($A$4="All Sections",1,SimpleDashData8[Section]=$A$4))),ROWS($BD$153:BD174)),"")</f>
        <v>QCNM D.G Khan, Central Jail</v>
      </c>
    </row>
    <row r="175" spans="55:59" x14ac:dyDescent="0.3">
      <c r="BC175" t="s">
        <v>182</v>
      </c>
      <c r="BD175" t="str" cm="1">
        <f t="array" ref="BD175">IFERROR(INDEX(_xlfn._xlws.SORT(_xlfn._xlws.FILTER(SimpleDashData8[QCNM Name],IF($D$4&lt;&gt;"",SimpleDashData8[QCNM Name]=$D$4,IF($B$4="All Regions",1,SimpleDashData8[Region]=$B$4))*IF($A$4="All Sections",1,SimpleDashData8[Section]=$A$4))),ROWS($BD$153:BD175)),"")</f>
        <v>QCNM D.I Khan, Central Jail</v>
      </c>
    </row>
    <row r="176" spans="55:59" x14ac:dyDescent="0.3">
      <c r="BC176" t="s">
        <v>47</v>
      </c>
      <c r="BD176" t="str" cm="1">
        <f t="array" ref="BD176">IFERROR(INDEX(_xlfn._xlws.SORT(_xlfn._xlws.FILTER(SimpleDashData8[QCNM Name],IF($D$4&lt;&gt;"",SimpleDashData8[QCNM Name]=$D$4,IF($B$4="All Regions",1,SimpleDashData8[Region]=$B$4))*IF($A$4="All Sections",1,SimpleDashData8[Section]=$A$4))),ROWS($BD$153:BD176)),"")</f>
        <v>QCNM Faisalabad, Borstal Jail</v>
      </c>
    </row>
    <row r="177" spans="55:56" x14ac:dyDescent="0.3">
      <c r="BC177" t="s">
        <v>121</v>
      </c>
      <c r="BD177" t="str" cm="1">
        <f t="array" ref="BD177">IFERROR(INDEX(_xlfn._xlws.SORT(_xlfn._xlws.FILTER(SimpleDashData8[QCNM Name],IF($D$4&lt;&gt;"",SimpleDashData8[QCNM Name]=$D$4,IF($B$4="All Regions",1,SimpleDashData8[Region]=$B$4))*IF($A$4="All Sections",1,SimpleDashData8[Section]=$A$4))),ROWS($BD$153:BD177)),"")</f>
        <v>QCNM Faisalabad, Central Jail</v>
      </c>
    </row>
    <row r="178" spans="55:56" x14ac:dyDescent="0.3">
      <c r="BC178" t="s">
        <v>119</v>
      </c>
      <c r="BD178" t="str" cm="1">
        <f t="array" ref="BD178">IFERROR(INDEX(_xlfn._xlws.SORT(_xlfn._xlws.FILTER(SimpleDashData8[QCNM Name],IF($D$4&lt;&gt;"",SimpleDashData8[QCNM Name]=$D$4,IF($B$4="All Regions",1,SimpleDashData8[Region]=$B$4))*IF($A$4="All Sections",1,SimpleDashData8[Section]=$A$4))),ROWS($BD$153:BD178)),"")</f>
        <v>QCNM Faisalabad, District Jail</v>
      </c>
    </row>
    <row r="179" spans="55:56" x14ac:dyDescent="0.3">
      <c r="BC179" t="s">
        <v>120</v>
      </c>
      <c r="BD179" t="str" cm="1">
        <f t="array" ref="BD179">IFERROR(INDEX(_xlfn._xlws.SORT(_xlfn._xlws.FILTER(SimpleDashData8[QCNM Name],IF($D$4&lt;&gt;"",SimpleDashData8[QCNM Name]=$D$4,IF($B$4="All Regions",1,SimpleDashData8[Region]=$B$4))*IF($A$4="All Sections",1,SimpleDashData8[Section]=$A$4))),ROWS($BD$153:BD179)),"")</f>
        <v>QCNM Faisalabad, GCU (New Campus)</v>
      </c>
    </row>
    <row r="180" spans="55:56" x14ac:dyDescent="0.3">
      <c r="BC180" t="s">
        <v>109</v>
      </c>
      <c r="BD180" t="str" cm="1">
        <f t="array" ref="BD180">IFERROR(INDEX(_xlfn._xlws.SORT(_xlfn._xlws.FILTER(SimpleDashData8[QCNM Name],IF($D$4&lt;&gt;"",SimpleDashData8[QCNM Name]=$D$4,IF($B$4="All Regions",1,SimpleDashData8[Region]=$B$4))*IF($A$4="All Sections",1,SimpleDashData8[Section]=$A$4))),ROWS($BD$153:BD180)),"")</f>
        <v>QCNM Faisalabad, GCU (Old Campus)</v>
      </c>
    </row>
    <row r="181" spans="55:56" x14ac:dyDescent="0.3">
      <c r="BC181" t="s">
        <v>110</v>
      </c>
      <c r="BD181" t="str" cm="1">
        <f t="array" ref="BD181">IFERROR(INDEX(_xlfn._xlws.SORT(_xlfn._xlws.FILTER(SimpleDashData8[QCNM Name],IF($D$4&lt;&gt;"",SimpleDashData8[QCNM Name]=$D$4,IF($B$4="All Regions",1,SimpleDashData8[Region]=$B$4))*IF($A$4="All Sections",1,SimpleDashData8[Section]=$A$4))),ROWS($BD$153:BD181)),"")</f>
        <v>QCNM Faisalabad, Women District Jail</v>
      </c>
    </row>
    <row r="182" spans="55:56" x14ac:dyDescent="0.3">
      <c r="BC182" t="s">
        <v>132</v>
      </c>
      <c r="BD182" t="str" cm="1">
        <f t="array" ref="BD182">IFERROR(INDEX(_xlfn._xlws.SORT(_xlfn._xlws.FILTER(SimpleDashData8[QCNM Name],IF($D$4&lt;&gt;"",SimpleDashData8[QCNM Name]=$D$4,IF($B$4="All Regions",1,SimpleDashData8[Region]=$B$4))*IF($A$4="All Sections",1,SimpleDashData8[Section]=$A$4))),ROWS($BD$153:BD182)),"")</f>
        <v>QCNM FUUAST ( Abdul Haq Campus)</v>
      </c>
    </row>
    <row r="183" spans="55:56" x14ac:dyDescent="0.3">
      <c r="BC183" t="s">
        <v>69</v>
      </c>
      <c r="BD183" t="str" cm="1">
        <f t="array" ref="BD183">IFERROR(INDEX(_xlfn._xlws.SORT(_xlfn._xlws.FILTER(SimpleDashData8[QCNM Name],IF($D$4&lt;&gt;"",SimpleDashData8[QCNM Name]=$D$4,IF($B$4="All Regions",1,SimpleDashData8[Region]=$B$4))*IF($A$4="All Sections",1,SimpleDashData8[Section]=$A$4))),ROWS($BD$153:BD183)),"")</f>
        <v>QCNM FUUAST Islamabad</v>
      </c>
    </row>
    <row r="184" spans="55:56" x14ac:dyDescent="0.3">
      <c r="BC184" t="s">
        <v>114</v>
      </c>
      <c r="BD184" t="str" cm="1">
        <f t="array" ref="BD184">IFERROR(INDEX(_xlfn._xlws.SORT(_xlfn._xlws.FILTER(SimpleDashData8[QCNM Name],IF($D$4&lt;&gt;"",SimpleDashData8[QCNM Name]=$D$4,IF($B$4="All Regions",1,SimpleDashData8[Region]=$B$4))*IF($A$4="All Sections",1,SimpleDashData8[Section]=$A$4))),ROWS($BD$153:BD184)),"")</f>
        <v>QCNM Ghizer, District Jail</v>
      </c>
    </row>
    <row r="185" spans="55:56" x14ac:dyDescent="0.3">
      <c r="BC185" t="s">
        <v>115</v>
      </c>
      <c r="BD185" t="str" cm="1">
        <f t="array" ref="BD185">IFERROR(INDEX(_xlfn._xlws.SORT(_xlfn._xlws.FILTER(SimpleDashData8[QCNM Name],IF($D$4&lt;&gt;"",SimpleDashData8[QCNM Name]=$D$4,IF($B$4="All Regions",1,SimpleDashData8[Region]=$B$4))*IF($A$4="All Sections",1,SimpleDashData8[Section]=$A$4))),ROWS($BD$153:BD185)),"")</f>
        <v>QCNM Gift University Gujranwala</v>
      </c>
    </row>
    <row r="186" spans="55:56" x14ac:dyDescent="0.3">
      <c r="BC186" t="s">
        <v>67</v>
      </c>
      <c r="BD186" t="str" cm="1">
        <f t="array" ref="BD186">IFERROR(INDEX(_xlfn._xlws.SORT(_xlfn._xlws.FILTER(SimpleDashData8[QCNM Name],IF($D$4&lt;&gt;"",SimpleDashData8[QCNM Name]=$D$4,IF($B$4="All Regions",1,SimpleDashData8[Region]=$B$4))*IF($A$4="All Sections",1,SimpleDashData8[Section]=$A$4))),ROWS($BD$153:BD186)),"")</f>
        <v>QCNM Gift University Gujranwala (Women Campus)</v>
      </c>
    </row>
    <row r="187" spans="55:56" x14ac:dyDescent="0.3">
      <c r="BC187" t="s">
        <v>122</v>
      </c>
      <c r="BD187" t="str" cm="1">
        <f t="array" ref="BD187">IFERROR(INDEX(_xlfn._xlws.SORT(_xlfn._xlws.FILTER(SimpleDashData8[QCNM Name],IF($D$4&lt;&gt;"",SimpleDashData8[QCNM Name]=$D$4,IF($B$4="All Regions",1,SimpleDashData8[Region]=$B$4))*IF($A$4="All Sections",1,SimpleDashData8[Section]=$A$4))),ROWS($BD$153:BD187)),"")</f>
        <v>QCNM Gilgit, Central Jail</v>
      </c>
    </row>
    <row r="188" spans="55:56" x14ac:dyDescent="0.3">
      <c r="BC188" t="s">
        <v>133</v>
      </c>
      <c r="BD188" t="str" cm="1">
        <f t="array" ref="BD188">IFERROR(INDEX(_xlfn._xlws.SORT(_xlfn._xlws.FILTER(SimpleDashData8[QCNM Name],IF($D$4&lt;&gt;"",SimpleDashData8[QCNM Name]=$D$4,IF($B$4="All Regions",1,SimpleDashData8[Region]=$B$4))*IF($A$4="All Sections",1,SimpleDashData8[Section]=$A$4))),ROWS($BD$153:BD188)),"")</f>
        <v>QCNM Gujranwala, Central Jail</v>
      </c>
    </row>
    <row r="189" spans="55:56" x14ac:dyDescent="0.3">
      <c r="BC189" t="s">
        <v>208</v>
      </c>
      <c r="BD189" t="str" cm="1">
        <f t="array" ref="BD189">IFERROR(INDEX(_xlfn._xlws.SORT(_xlfn._xlws.FILTER(SimpleDashData8[QCNM Name],IF($D$4&lt;&gt;"",SimpleDashData8[QCNM Name]=$D$4,IF($B$4="All Regions",1,SimpleDashData8[Region]=$B$4))*IF($A$4="All Sections",1,SimpleDashData8[Section]=$A$4))),ROWS($BD$153:BD189)),"")</f>
        <v>QCNM Gujrat, District Jail</v>
      </c>
    </row>
    <row r="190" spans="55:56" x14ac:dyDescent="0.3">
      <c r="BC190" t="s">
        <v>111</v>
      </c>
      <c r="BD190" t="str" cm="1">
        <f t="array" ref="BD190">IFERROR(INDEX(_xlfn._xlws.SORT(_xlfn._xlws.FILTER(SimpleDashData8[QCNM Name],IF($D$4&lt;&gt;"",SimpleDashData8[QCNM Name]=$D$4,IF($B$4="All Regions",1,SimpleDashData8[Region]=$B$4))*IF($A$4="All Sections",1,SimpleDashData8[Section]=$A$4))),ROWS($BD$153:BD190)),"")</f>
        <v xml:space="preserve">QCNM Gujrat, HK Sardar Ali </v>
      </c>
    </row>
    <row r="191" spans="55:56" x14ac:dyDescent="0.3">
      <c r="BC191" t="s">
        <v>144</v>
      </c>
      <c r="BD191" t="str" cm="1">
        <f t="array" ref="BD191">IFERROR(INDEX(_xlfn._xlws.SORT(_xlfn._xlws.FILTER(SimpleDashData8[QCNM Name],IF($D$4&lt;&gt;"",SimpleDashData8[QCNM Name]=$D$4,IF($B$4="All Regions",1,SimpleDashData8[Region]=$B$4))*IF($A$4="All Sections",1,SimpleDashData8[Section]=$A$4))),ROWS($BD$153:BD191)),"")</f>
        <v>QCNM Hadi Free Hospital</v>
      </c>
    </row>
    <row r="192" spans="55:56" x14ac:dyDescent="0.3">
      <c r="BC192" t="s">
        <v>91</v>
      </c>
      <c r="BD192" t="str" cm="1">
        <f t="array" ref="BD192">IFERROR(INDEX(_xlfn._xlws.SORT(_xlfn._xlws.FILTER(SimpleDashData8[QCNM Name],IF($D$4&lt;&gt;"",SimpleDashData8[QCNM Name]=$D$4,IF($B$4="All Regions",1,SimpleDashData8[Region]=$B$4))*IF($A$4="All Sections",1,SimpleDashData8[Section]=$A$4))),ROWS($BD$153:BD192)),"")</f>
        <v>QCNM Hafizabad, Dist Jail</v>
      </c>
    </row>
    <row r="193" spans="55:56" x14ac:dyDescent="0.3">
      <c r="BC193" t="s">
        <v>72</v>
      </c>
      <c r="BD193" t="str" cm="1">
        <f t="array" ref="BD193">IFERROR(INDEX(_xlfn._xlws.SORT(_xlfn._xlws.FILTER(SimpleDashData8[QCNM Name],IF($D$4&lt;&gt;"",SimpleDashData8[QCNM Name]=$D$4,IF($B$4="All Regions",1,SimpleDashData8[Region]=$B$4))*IF($A$4="All Sections",1,SimpleDashData8[Section]=$A$4))),ROWS($BD$153:BD193)),"")</f>
        <v>QCNM Hangu, District Jail</v>
      </c>
    </row>
    <row r="194" spans="55:56" x14ac:dyDescent="0.3">
      <c r="BC194" t="s">
        <v>32</v>
      </c>
      <c r="BD194" t="str" cm="1">
        <f t="array" ref="BD194">IFERROR(INDEX(_xlfn._xlws.SORT(_xlfn._xlws.FILTER(SimpleDashData8[QCNM Name],IF($D$4&lt;&gt;"",SimpleDashData8[QCNM Name]=$D$4,IF($B$4="All Regions",1,SimpleDashData8[Region]=$B$4))*IF($A$4="All Sections",1,SimpleDashData8[Section]=$A$4))),ROWS($BD$153:BD194)),"")</f>
        <v>QCNM Haripur, Central Jail</v>
      </c>
    </row>
    <row r="195" spans="55:56" x14ac:dyDescent="0.3">
      <c r="BC195" t="s">
        <v>187</v>
      </c>
      <c r="BD195" t="str" cm="1">
        <f t="array" ref="BD195">IFERROR(INDEX(_xlfn._xlws.SORT(_xlfn._xlws.FILTER(SimpleDashData8[QCNM Name],IF($D$4&lt;&gt;"",SimpleDashData8[QCNM Name]=$D$4,IF($B$4="All Regions",1,SimpleDashData8[Region]=$B$4))*IF($A$4="All Sections",1,SimpleDashData8[Section]=$A$4))),ROWS($BD$153:BD195)),"")</f>
        <v>QCNM Hattar</v>
      </c>
    </row>
    <row r="196" spans="55:56" x14ac:dyDescent="0.3">
      <c r="BC196" t="s">
        <v>41</v>
      </c>
      <c r="BD196" t="str" cm="1">
        <f t="array" ref="BD196">IFERROR(INDEX(_xlfn._xlws.SORT(_xlfn._xlws.FILTER(SimpleDashData8[QCNM Name],IF($D$4&lt;&gt;"",SimpleDashData8[QCNM Name]=$D$4,IF($B$4="All Regions",1,SimpleDashData8[Region]=$B$4))*IF($A$4="All Sections",1,SimpleDashData8[Section]=$A$4))),ROWS($BD$153:BD196)),"")</f>
        <v>QCNM High Security Prison Mianwali</v>
      </c>
    </row>
    <row r="197" spans="55:56" x14ac:dyDescent="0.3">
      <c r="BC197" t="s">
        <v>143</v>
      </c>
      <c r="BD197" t="str" cm="1">
        <f t="array" ref="BD197">IFERROR(INDEX(_xlfn._xlws.SORT(_xlfn._xlws.FILTER(SimpleDashData8[QCNM Name],IF($D$4&lt;&gt;"",SimpleDashData8[QCNM Name]=$D$4,IF($B$4="All Regions",1,SimpleDashData8[Region]=$B$4))*IF($A$4="All Sections",1,SimpleDashData8[Section]=$A$4))),ROWS($BD$153:BD197)),"")</f>
        <v>QCNM Hyderabad, Central Prison</v>
      </c>
    </row>
    <row r="198" spans="55:56" x14ac:dyDescent="0.3">
      <c r="BC198" t="s">
        <v>123</v>
      </c>
      <c r="BD198" t="str" cm="1">
        <f t="array" ref="BD198">IFERROR(INDEX(_xlfn._xlws.SORT(_xlfn._xlws.FILTER(SimpleDashData8[QCNM Name],IF($D$4&lt;&gt;"",SimpleDashData8[QCNM Name]=$D$4,IF($B$4="All Regions",1,SimpleDashData8[Region]=$B$4))*IF($A$4="All Sections",1,SimpleDashData8[Section]=$A$4))),ROWS($BD$153:BD198)),"")</f>
        <v>QCNM Islamabad, Police line</v>
      </c>
    </row>
    <row r="199" spans="55:56" x14ac:dyDescent="0.3">
      <c r="BC199" t="s">
        <v>190</v>
      </c>
      <c r="BD199" t="str" cm="1">
        <f t="array" ref="BD199">IFERROR(INDEX(_xlfn._xlws.SORT(_xlfn._xlws.FILTER(SimpleDashData8[QCNM Name],IF($D$4&lt;&gt;"",SimpleDashData8[QCNM Name]=$D$4,IF($B$4="All Regions",1,SimpleDashData8[Region]=$B$4))*IF($A$4="All Sections",1,SimpleDashData8[Section]=$A$4))),ROWS($BD$153:BD199)),"")</f>
        <v>QCNM Jehlum, District Jail</v>
      </c>
    </row>
    <row r="200" spans="55:56" x14ac:dyDescent="0.3">
      <c r="BC200" t="s">
        <v>74</v>
      </c>
      <c r="BD200" t="str" cm="1">
        <f t="array" ref="BD200">IFERROR(INDEX(_xlfn._xlws.SORT(_xlfn._xlws.FILTER(SimpleDashData8[QCNM Name],IF($D$4&lt;&gt;"",SimpleDashData8[QCNM Name]=$D$4,IF($B$4="All Regions",1,SimpleDashData8[Region]=$B$4))*IF($A$4="All Sections",1,SimpleDashData8[Section]=$A$4))),ROWS($BD$153:BD200)),"")</f>
        <v>QCNM Jhang, District Jail</v>
      </c>
    </row>
    <row r="201" spans="55:56" x14ac:dyDescent="0.3">
      <c r="BC201" t="s">
        <v>124</v>
      </c>
      <c r="BD201" t="str" cm="1">
        <f t="array" ref="BD201">IFERROR(INDEX(_xlfn._xlws.SORT(_xlfn._xlws.FILTER(SimpleDashData8[QCNM Name],IF($D$4&lt;&gt;"",SimpleDashData8[QCNM Name]=$D$4,IF($B$4="All Regions",1,SimpleDashData8[Region]=$B$4))*IF($A$4="All Sections",1,SimpleDashData8[Section]=$A$4))),ROWS($BD$153:BD201)),"")</f>
        <v>QCNM Karachi, Central Prison</v>
      </c>
    </row>
    <row r="202" spans="55:56" x14ac:dyDescent="0.3">
      <c r="BC202" t="s">
        <v>197</v>
      </c>
      <c r="BD202" t="str" cm="1">
        <f t="array" ref="BD202">IFERROR(INDEX(_xlfn._xlws.SORT(_xlfn._xlws.FILTER(SimpleDashData8[QCNM Name],IF($D$4&lt;&gt;"",SimpleDashData8[QCNM Name]=$D$4,IF($B$4="All Regions",1,SimpleDashData8[Region]=$B$4))*IF($A$4="All Sections",1,SimpleDashData8[Section]=$A$4))),ROWS($BD$153:BD202)),"")</f>
        <v>QCNM Karak, Central Jail</v>
      </c>
    </row>
    <row r="203" spans="55:56" x14ac:dyDescent="0.3">
      <c r="BC203" t="s">
        <v>157</v>
      </c>
      <c r="BD203" t="str" cm="1">
        <f t="array" ref="BD203">IFERROR(INDEX(_xlfn._xlws.SORT(_xlfn._xlws.FILTER(SimpleDashData8[QCNM Name],IF($D$4&lt;&gt;"",SimpleDashData8[QCNM Name]=$D$4,IF($B$4="All Regions",1,SimpleDashData8[Region]=$B$4))*IF($A$4="All Sections",1,SimpleDashData8[Section]=$A$4))),ROWS($BD$153:BD203)),"")</f>
        <v>QCNM Kasur, District Jail</v>
      </c>
    </row>
    <row r="204" spans="55:56" x14ac:dyDescent="0.3">
      <c r="BC204" t="s">
        <v>178</v>
      </c>
      <c r="BD204" t="str" cm="1">
        <f t="array" ref="BD204">IFERROR(INDEX(_xlfn._xlws.SORT(_xlfn._xlws.FILTER(SimpleDashData8[QCNM Name],IF($D$4&lt;&gt;"",SimpleDashData8[QCNM Name]=$D$4,IF($B$4="All Regions",1,SimpleDashData8[Region]=$B$4))*IF($A$4="All Sections",1,SimpleDashData8[Section]=$A$4))),ROWS($BD$153:BD204)),"")</f>
        <v>QCNM Khairpur, Central Jail</v>
      </c>
    </row>
    <row r="205" spans="55:56" x14ac:dyDescent="0.3">
      <c r="BC205" t="s">
        <v>198</v>
      </c>
      <c r="BD205" t="str" cm="1">
        <f t="array" ref="BD205">IFERROR(INDEX(_xlfn._xlws.SORT(_xlfn._xlws.FILTER(SimpleDashData8[QCNM Name],IF($D$4&lt;&gt;"",SimpleDashData8[QCNM Name]=$D$4,IF($B$4="All Regions",1,SimpleDashData8[Region]=$B$4))*IF($A$4="All Sections",1,SimpleDashData8[Section]=$A$4))),ROWS($BD$153:BD205)),"")</f>
        <v>QCNM Khanewal, District Jail</v>
      </c>
    </row>
    <row r="206" spans="55:56" x14ac:dyDescent="0.3">
      <c r="BC206" t="s">
        <v>112</v>
      </c>
      <c r="BD206" t="str" cm="1">
        <f t="array" ref="BD206">IFERROR(INDEX(_xlfn._xlws.SORT(_xlfn._xlws.FILTER(SimpleDashData8[QCNM Name],IF($D$4&lt;&gt;"",SimpleDashData8[QCNM Name]=$D$4,IF($B$4="All Regions",1,SimpleDashData8[Region]=$B$4))*IF($A$4="All Sections",1,SimpleDashData8[Section]=$A$4))),ROWS($BD$153:BD206)),"")</f>
        <v>QCNM Khuzdar(BUET) University</v>
      </c>
    </row>
    <row r="207" spans="55:56" x14ac:dyDescent="0.3">
      <c r="BC207" t="s">
        <v>73</v>
      </c>
      <c r="BD207" t="str" cm="1">
        <f t="array" ref="BD207">IFERROR(INDEX(_xlfn._xlws.SORT(_xlfn._xlws.FILTER(SimpleDashData8[QCNM Name],IF($D$4&lt;&gt;"",SimpleDashData8[QCNM Name]=$D$4,IF($B$4="All Regions",1,SimpleDashData8[Region]=$B$4))*IF($A$4="All Sections",1,SimpleDashData8[Section]=$A$4))),ROWS($BD$153:BD207)),"")</f>
        <v>QCNM Khuzdar, Central Jail</v>
      </c>
    </row>
    <row r="208" spans="55:56" x14ac:dyDescent="0.3">
      <c r="BC208" t="s">
        <v>202</v>
      </c>
      <c r="BD208" t="str" cm="1">
        <f t="array" ref="BD208">IFERROR(INDEX(_xlfn._xlws.SORT(_xlfn._xlws.FILTER(SimpleDashData8[QCNM Name],IF($D$4&lt;&gt;"",SimpleDashData8[QCNM Name]=$D$4,IF($B$4="All Regions",1,SimpleDashData8[Region]=$B$4))*IF($A$4="All Sections",1,SimpleDashData8[Section]=$A$4))),ROWS($BD$153:BD208)),"")</f>
        <v>QCNM Kisan Centre</v>
      </c>
    </row>
    <row r="209" spans="55:56" x14ac:dyDescent="0.3">
      <c r="BC209" t="s">
        <v>105</v>
      </c>
      <c r="BD209" t="str" cm="1">
        <f t="array" ref="BD209">IFERROR(INDEX(_xlfn._xlws.SORT(_xlfn._xlws.FILTER(SimpleDashData8[QCNM Name],IF($D$4&lt;&gt;"",SimpleDashData8[QCNM Name]=$D$4,IF($B$4="All Regions",1,SimpleDashData8[Region]=$B$4))*IF($A$4="All Sections",1,SimpleDashData8[Section]=$A$4))),ROWS($BD$153:BD209)),"")</f>
        <v>QCNM Kohat, District Jail</v>
      </c>
    </row>
    <row r="210" spans="55:56" x14ac:dyDescent="0.3">
      <c r="BC210" t="s">
        <v>106</v>
      </c>
      <c r="BD210" t="str" cm="1">
        <f t="array" ref="BD210">IFERROR(INDEX(_xlfn._xlws.SORT(_xlfn._xlws.FILTER(SimpleDashData8[QCNM Name],IF($D$4&lt;&gt;"",SimpleDashData8[QCNM Name]=$D$4,IF($B$4="All Regions",1,SimpleDashData8[Region]=$B$4))*IF($A$4="All Sections",1,SimpleDashData8[Section]=$A$4))),ROWS($BD$153:BD210)),"")</f>
        <v>QCNM Kotli District Jail</v>
      </c>
    </row>
    <row r="211" spans="55:56" x14ac:dyDescent="0.3">
      <c r="BC211" t="s">
        <v>101</v>
      </c>
      <c r="BD211" t="str" cm="1">
        <f t="array" ref="BD211">IFERROR(INDEX(_xlfn._xlws.SORT(_xlfn._xlws.FILTER(SimpleDashData8[QCNM Name],IF($D$4&lt;&gt;"",SimpleDashData8[QCNM Name]=$D$4,IF($B$4="All Regions",1,SimpleDashData8[Region]=$B$4))*IF($A$4="All Sections",1,SimpleDashData8[Section]=$A$4))),ROWS($BD$153:BD211)),"")</f>
        <v>QCNM Lahore, Al Mustafa Trust</v>
      </c>
    </row>
    <row r="212" spans="55:56" x14ac:dyDescent="0.3">
      <c r="BC212" t="s">
        <v>125</v>
      </c>
      <c r="BD212" t="str" cm="1">
        <f t="array" ref="BD212">IFERROR(INDEX(_xlfn._xlws.SORT(_xlfn._xlws.FILTER(SimpleDashData8[QCNM Name],IF($D$4&lt;&gt;"",SimpleDashData8[QCNM Name]=$D$4,IF($B$4="All Regions",1,SimpleDashData8[Region]=$B$4))*IF($A$4="All Sections",1,SimpleDashData8[Section]=$A$4))),ROWS($BD$153:BD212)),"")</f>
        <v>QCNM Lahore, Binnat School (Model Town)</v>
      </c>
    </row>
    <row r="213" spans="55:56" x14ac:dyDescent="0.3">
      <c r="BC213" t="s">
        <v>126</v>
      </c>
      <c r="BD213" t="str" cm="1">
        <f t="array" ref="BD213">IFERROR(INDEX(_xlfn._xlws.SORT(_xlfn._xlws.FILTER(SimpleDashData8[QCNM Name],IF($D$4&lt;&gt;"",SimpleDashData8[QCNM Name]=$D$4,IF($B$4="All Regions",1,SimpleDashData8[Region]=$B$4))*IF($A$4="All Sections",1,SimpleDashData8[Section]=$A$4))),ROWS($BD$153:BD213)),"")</f>
        <v>QCNM Lahore, Chauburji</v>
      </c>
    </row>
    <row r="214" spans="55:56" x14ac:dyDescent="0.3">
      <c r="BC214" t="s">
        <v>103</v>
      </c>
      <c r="BD214" t="str" cm="1">
        <f t="array" ref="BD214">IFERROR(INDEX(_xlfn._xlws.SORT(_xlfn._xlws.FILTER(SimpleDashData8[QCNM Name],IF($D$4&lt;&gt;"",SimpleDashData8[QCNM Name]=$D$4,IF($B$4="All Regions",1,SimpleDashData8[Region]=$B$4))*IF($A$4="All Sections",1,SimpleDashData8[Section]=$A$4))),ROWS($BD$153:BD214)),"")</f>
        <v>QCNM Lahore, District (Camp) Jail</v>
      </c>
    </row>
    <row r="215" spans="55:56" x14ac:dyDescent="0.3">
      <c r="BC215" t="s">
        <v>102</v>
      </c>
      <c r="BD215" t="str" cm="1">
        <f t="array" ref="BD215">IFERROR(INDEX(_xlfn._xlws.SORT(_xlfn._xlws.FILTER(SimpleDashData8[QCNM Name],IF($D$4&lt;&gt;"",SimpleDashData8[QCNM Name]=$D$4,IF($B$4="All Regions",1,SimpleDashData8[Region]=$B$4))*IF($A$4="All Sections",1,SimpleDashData8[Section]=$A$4))),ROWS($BD$153:BD215)),"")</f>
        <v>QCNM Lahore, Kot Lakhpat Jail</v>
      </c>
    </row>
    <row r="216" spans="55:56" x14ac:dyDescent="0.3">
      <c r="BC216" t="s">
        <v>131</v>
      </c>
      <c r="BD216" t="str" cm="1">
        <f t="array" ref="BD216">IFERROR(INDEX(_xlfn._xlws.SORT(_xlfn._xlws.FILTER(SimpleDashData8[QCNM Name],IF($D$4&lt;&gt;"",SimpleDashData8[QCNM Name]=$D$4,IF($B$4="All Regions",1,SimpleDashData8[Region]=$B$4))*IF($A$4="All Sections",1,SimpleDashData8[Section]=$A$4))),ROWS($BD$153:BD216)),"")</f>
        <v>QCNM Lahore, Molvi Najjar Ashiana Housing</v>
      </c>
    </row>
    <row r="217" spans="55:56" x14ac:dyDescent="0.3">
      <c r="BC217" t="s">
        <v>82</v>
      </c>
      <c r="BD217" t="str" cm="1">
        <f t="array" ref="BD217">IFERROR(INDEX(_xlfn._xlws.SORT(_xlfn._xlws.FILTER(SimpleDashData8[QCNM Name],IF($D$4&lt;&gt;"",SimpleDashData8[QCNM Name]=$D$4,IF($B$4="All Regions",1,SimpleDashData8[Region]=$B$4))*IF($A$4="All Sections",1,SimpleDashData8[Section]=$A$4))),ROWS($BD$153:BD217)),"")</f>
        <v>QCNM Lahore, Nonarian</v>
      </c>
    </row>
    <row r="218" spans="55:56" x14ac:dyDescent="0.3">
      <c r="BC218" t="s">
        <v>189</v>
      </c>
      <c r="BD218" t="str" cm="1">
        <f t="array" ref="BD218">IFERROR(INDEX(_xlfn._xlws.SORT(_xlfn._xlws.FILTER(SimpleDashData8[QCNM Name],IF($D$4&lt;&gt;"",SimpleDashData8[QCNM Name]=$D$4,IF($B$4="All Regions",1,SimpleDashData8[Region]=$B$4))*IF($A$4="All Sections",1,SimpleDashData8[Section]=$A$4))),ROWS($BD$153:BD218)),"")</f>
        <v>QCNM Lahore, Women Central Jail</v>
      </c>
    </row>
    <row r="219" spans="55:56" x14ac:dyDescent="0.3">
      <c r="BC219" t="s">
        <v>199</v>
      </c>
      <c r="BD219" t="str" cm="1">
        <f t="array" ref="BD219">IFERROR(INDEX(_xlfn._xlws.SORT(_xlfn._xlws.FILTER(SimpleDashData8[QCNM Name],IF($D$4&lt;&gt;"",SimpleDashData8[QCNM Name]=$D$4,IF($B$4="All Regions",1,SimpleDashData8[Region]=$B$4))*IF($A$4="All Sections",1,SimpleDashData8[Section]=$A$4))),ROWS($BD$153:BD219)),"")</f>
        <v>QCNM Lakki Marwat District Jail</v>
      </c>
    </row>
    <row r="220" spans="55:56" x14ac:dyDescent="0.3">
      <c r="BC220" t="s">
        <v>177</v>
      </c>
      <c r="BD220" t="str" cm="1">
        <f t="array" ref="BD220">IFERROR(INDEX(_xlfn._xlws.SORT(_xlfn._xlws.FILTER(SimpleDashData8[QCNM Name],IF($D$4&lt;&gt;"",SimpleDashData8[QCNM Name]=$D$4,IF($B$4="All Regions",1,SimpleDashData8[Region]=$B$4))*IF($A$4="All Sections",1,SimpleDashData8[Section]=$A$4))),ROWS($BD$153:BD220)),"")</f>
        <v>QCNM Larkana, Central Prison</v>
      </c>
    </row>
    <row r="221" spans="55:56" x14ac:dyDescent="0.3">
      <c r="BC221" t="s">
        <v>158</v>
      </c>
      <c r="BD221" t="str" cm="1">
        <f t="array" ref="BD221">IFERROR(INDEX(_xlfn._xlws.SORT(_xlfn._xlws.FILTER(SimpleDashData8[QCNM Name],IF($D$4&lt;&gt;"",SimpleDashData8[QCNM Name]=$D$4,IF($B$4="All Regions",1,SimpleDashData8[Region]=$B$4))*IF($A$4="All Sections",1,SimpleDashData8[Section]=$A$4))),ROWS($BD$153:BD221)),"")</f>
        <v>QCNM Larkana, District Jail</v>
      </c>
    </row>
    <row r="222" spans="55:56" x14ac:dyDescent="0.3">
      <c r="BC222" t="s">
        <v>159</v>
      </c>
      <c r="BD222" t="str" cm="1">
        <f t="array" ref="BD222">IFERROR(INDEX(_xlfn._xlws.SORT(_xlfn._xlws.FILTER(SimpleDashData8[QCNM Name],IF($D$4&lt;&gt;"",SimpleDashData8[QCNM Name]=$D$4,IF($B$4="All Regions",1,SimpleDashData8[Region]=$B$4))*IF($A$4="All Sections",1,SimpleDashData8[Section]=$A$4))),ROWS($BD$153:BD222)),"")</f>
        <v>QCNM Lasbela (LUWAMS) University</v>
      </c>
    </row>
    <row r="223" spans="55:56" x14ac:dyDescent="0.3">
      <c r="BC223" t="s">
        <v>171</v>
      </c>
      <c r="BD223" t="str" cm="1">
        <f t="array" ref="BD223">IFERROR(INDEX(_xlfn._xlws.SORT(_xlfn._xlws.FILTER(SimpleDashData8[QCNM Name],IF($D$4&lt;&gt;"",SimpleDashData8[QCNM Name]=$D$4,IF($B$4="All Regions",1,SimpleDashData8[Region]=$B$4))*IF($A$4="All Sections",1,SimpleDashData8[Section]=$A$4))),ROWS($BD$153:BD223)),"")</f>
        <v>QCNM Layyah, District Jail</v>
      </c>
    </row>
    <row r="224" spans="55:56" x14ac:dyDescent="0.3">
      <c r="BC224" t="s">
        <v>188</v>
      </c>
      <c r="BD224" t="str" cm="1">
        <f t="array" ref="BD224">IFERROR(INDEX(_xlfn._xlws.SORT(_xlfn._xlws.FILTER(SimpleDashData8[QCNM Name],IF($D$4&lt;&gt;"",SimpleDashData8[QCNM Name]=$D$4,IF($B$4="All Regions",1,SimpleDashData8[Region]=$B$4))*IF($A$4="All Sections",1,SimpleDashData8[Section]=$A$4))),ROWS($BD$153:BD224)),"")</f>
        <v>QCNM Lodhran, District Jail</v>
      </c>
    </row>
    <row r="225" spans="55:56" x14ac:dyDescent="0.3">
      <c r="BC225" t="s">
        <v>99</v>
      </c>
      <c r="BD225" t="str" cm="1">
        <f t="array" ref="BD225">IFERROR(INDEX(_xlfn._xlws.SORT(_xlfn._xlws.FILTER(SimpleDashData8[QCNM Name],IF($D$4&lt;&gt;"",SimpleDashData8[QCNM Name]=$D$4,IF($B$4="All Regions",1,SimpleDashData8[Region]=$B$4))*IF($A$4="All Sections",1,SimpleDashData8[Section]=$A$4))),ROWS($BD$153:BD225)),"")</f>
        <v>QCNM Loralai</v>
      </c>
    </row>
    <row r="226" spans="55:56" x14ac:dyDescent="0.3">
      <c r="BC226" t="s">
        <v>146</v>
      </c>
      <c r="BD226" t="str" cm="1">
        <f t="array" ref="BD226">IFERROR(INDEX(_xlfn._xlws.SORT(_xlfn._xlws.FILTER(SimpleDashData8[QCNM Name],IF($D$4&lt;&gt;"",SimpleDashData8[QCNM Name]=$D$4,IF($B$4="All Regions",1,SimpleDashData8[Region]=$B$4))*IF($A$4="All Sections",1,SimpleDashData8[Section]=$A$4))),ROWS($BD$153:BD226)),"")</f>
        <v>QCNM Loralai, District Jail</v>
      </c>
    </row>
    <row r="227" spans="55:56" x14ac:dyDescent="0.3">
      <c r="BC227" t="s">
        <v>75</v>
      </c>
      <c r="BD227" t="str" cm="1">
        <f t="array" ref="BD227">IFERROR(INDEX(_xlfn._xlws.SORT(_xlfn._xlws.FILTER(SimpleDashData8[QCNM Name],IF($D$4&lt;&gt;"",SimpleDashData8[QCNM Name]=$D$4,IF($B$4="All Regions",1,SimpleDashData8[Region]=$B$4))*IF($A$4="All Sections",1,SimpleDashData8[Section]=$A$4))),ROWS($BD$153:BD227)),"")</f>
        <v>QCNM Mamukanjan</v>
      </c>
    </row>
    <row r="228" spans="55:56" x14ac:dyDescent="0.3">
      <c r="BC228" t="s">
        <v>76</v>
      </c>
      <c r="BD228" t="str" cm="1">
        <f t="array" ref="BD228">IFERROR(INDEX(_xlfn._xlws.SORT(_xlfn._xlws.FILTER(SimpleDashData8[QCNM Name],IF($D$4&lt;&gt;"",SimpleDashData8[QCNM Name]=$D$4,IF($B$4="All Regions",1,SimpleDashData8[Region]=$B$4))*IF($A$4="All Sections",1,SimpleDashData8[Section]=$A$4))),ROWS($BD$153:BD228)),"")</f>
        <v>QCNM Mandibhaudin, District Jail</v>
      </c>
    </row>
    <row r="229" spans="55:56" x14ac:dyDescent="0.3">
      <c r="BC229" t="s">
        <v>209</v>
      </c>
      <c r="BD229" t="str" cm="1">
        <f t="array" ref="BD229">IFERROR(INDEX(_xlfn._xlws.SORT(_xlfn._xlws.FILTER(SimpleDashData8[QCNM Name],IF($D$4&lt;&gt;"",SimpleDashData8[QCNM Name]=$D$4,IF($B$4="All Regions",1,SimpleDashData8[Region]=$B$4))*IF($A$4="All Sections",1,SimpleDashData8[Section]=$A$4))),ROWS($BD$153:BD229)),"")</f>
        <v>QCNM Mansehra, District Jail</v>
      </c>
    </row>
    <row r="230" spans="55:56" x14ac:dyDescent="0.3">
      <c r="BC230" t="s">
        <v>147</v>
      </c>
      <c r="BD230" t="str" cm="1">
        <f t="array" ref="BD230">IFERROR(INDEX(_xlfn._xlws.SORT(_xlfn._xlws.FILTER(SimpleDashData8[QCNM Name],IF($D$4&lt;&gt;"",SimpleDashData8[QCNM Name]=$D$4,IF($B$4="All Regions",1,SimpleDashData8[Region]=$B$4))*IF($A$4="All Sections",1,SimpleDashData8[Section]=$A$4))),ROWS($BD$153:BD230)),"")</f>
        <v>QCNM Mardan, Central Jail</v>
      </c>
    </row>
    <row r="231" spans="55:56" x14ac:dyDescent="0.3">
      <c r="BC231" t="s">
        <v>138</v>
      </c>
      <c r="BD231" t="str" cm="1">
        <f t="array" ref="BD231">IFERROR(INDEX(_xlfn._xlws.SORT(_xlfn._xlws.FILTER(SimpleDashData8[QCNM Name],IF($D$4&lt;&gt;"",SimpleDashData8[QCNM Name]=$D$4,IF($B$4="All Regions",1,SimpleDashData8[Region]=$B$4))*IF($A$4="All Sections",1,SimpleDashData8[Section]=$A$4))),ROWS($BD$153:BD231)),"")</f>
        <v>QCNM Mianwali, Central Jail</v>
      </c>
    </row>
    <row r="232" spans="55:56" x14ac:dyDescent="0.3">
      <c r="BC232" t="s">
        <v>201</v>
      </c>
      <c r="BD232" t="str" cm="1">
        <f t="array" ref="BD232">IFERROR(INDEX(_xlfn._xlws.SORT(_xlfn._xlws.FILTER(SimpleDashData8[QCNM Name],IF($D$4&lt;&gt;"",SimpleDashData8[QCNM Name]=$D$4,IF($B$4="All Regions",1,SimpleDashData8[Region]=$B$4))*IF($A$4="All Sections",1,SimpleDashData8[Section]=$A$4))),ROWS($BD$153:BD232)),"")</f>
        <v>QCNM Minchinabad Jamia</v>
      </c>
    </row>
    <row r="233" spans="55:56" x14ac:dyDescent="0.3">
      <c r="BC233" t="s">
        <v>195</v>
      </c>
      <c r="BD233" t="str" cm="1">
        <f t="array" ref="BD233">IFERROR(INDEX(_xlfn._xlws.SORT(_xlfn._xlws.FILTER(SimpleDashData8[QCNM Name],IF($D$4&lt;&gt;"",SimpleDashData8[QCNM Name]=$D$4,IF($B$4="All Regions",1,SimpleDashData8[Region]=$B$4))*IF($A$4="All Sections",1,SimpleDashData8[Section]=$A$4))),ROWS($BD$153:BD233)),"")</f>
        <v>QCNM Mirpur Central Jail</v>
      </c>
    </row>
    <row r="234" spans="55:56" x14ac:dyDescent="0.3">
      <c r="BC234" t="s">
        <v>160</v>
      </c>
      <c r="BD234" t="str" cm="1">
        <f t="array" ref="BD234">IFERROR(INDEX(_xlfn._xlws.SORT(_xlfn._xlws.FILTER(SimpleDashData8[QCNM Name],IF($D$4&lt;&gt;"",SimpleDashData8[QCNM Name]=$D$4,IF($B$4="All Regions",1,SimpleDashData8[Region]=$B$4))*IF($A$4="All Sections",1,SimpleDashData8[Section]=$A$4))),ROWS($BD$153:BD234)),"")</f>
        <v>QCNM Mirpur khas CJ Jail</v>
      </c>
    </row>
    <row r="235" spans="55:56" x14ac:dyDescent="0.3">
      <c r="BC235" t="s">
        <v>161</v>
      </c>
      <c r="BD235" t="str" cm="1">
        <f t="array" ref="BD235">IFERROR(INDEX(_xlfn._xlws.SORT(_xlfn._xlws.FILTER(SimpleDashData8[QCNM Name],IF($D$4&lt;&gt;"",SimpleDashData8[QCNM Name]=$D$4,IF($B$4="All Regions",1,SimpleDashData8[Region]=$B$4))*IF($A$4="All Sections",1,SimpleDashData8[Section]=$A$4))),ROWS($BD$153:BD235)),"")</f>
        <v>QCNM Multan, Central Jail</v>
      </c>
    </row>
    <row r="236" spans="55:56" x14ac:dyDescent="0.3">
      <c r="BC236" t="s">
        <v>108</v>
      </c>
      <c r="BD236" t="str" cm="1">
        <f t="array" ref="BD236">IFERROR(INDEX(_xlfn._xlws.SORT(_xlfn._xlws.FILTER(SimpleDashData8[QCNM Name],IF($D$4&lt;&gt;"",SimpleDashData8[QCNM Name]=$D$4,IF($B$4="All Regions",1,SimpleDashData8[Region]=$B$4))*IF($A$4="All Sections",1,SimpleDashData8[Section]=$A$4))),ROWS($BD$153:BD236)),"")</f>
        <v>QCNM Multan, District Jail</v>
      </c>
    </row>
    <row r="237" spans="55:56" x14ac:dyDescent="0.3">
      <c r="BC237" t="s">
        <v>200</v>
      </c>
      <c r="BD237" t="str" cm="1">
        <f t="array" ref="BD237">IFERROR(INDEX(_xlfn._xlws.SORT(_xlfn._xlws.FILTER(SimpleDashData8[QCNM Name],IF($D$4&lt;&gt;"",SimpleDashData8[QCNM Name]=$D$4,IF($B$4="All Regions",1,SimpleDashData8[Region]=$B$4))*IF($A$4="All Sections",1,SimpleDashData8[Section]=$A$4))),ROWS($BD$153:BD237)),"")</f>
        <v>QCNM Muridke, Disp</v>
      </c>
    </row>
    <row r="238" spans="55:56" x14ac:dyDescent="0.3">
      <c r="BC238" t="s">
        <v>162</v>
      </c>
      <c r="BD238" t="str" cm="1">
        <f t="array" ref="BD238">IFERROR(INDEX(_xlfn._xlws.SORT(_xlfn._xlws.FILTER(SimpleDashData8[QCNM Name],IF($D$4&lt;&gt;"",SimpleDashData8[QCNM Name]=$D$4,IF($B$4="All Regions",1,SimpleDashData8[Region]=$B$4))*IF($A$4="All Sections",1,SimpleDashData8[Section]=$A$4))),ROWS($BD$153:BD238)),"")</f>
        <v>QCNM Muzaffarabad Central Jail</v>
      </c>
    </row>
    <row r="239" spans="55:56" x14ac:dyDescent="0.3">
      <c r="BC239" t="s">
        <v>127</v>
      </c>
      <c r="BD239" t="str" cm="1">
        <f t="array" ref="BD239">IFERROR(INDEX(_xlfn._xlws.SORT(_xlfn._xlws.FILTER(SimpleDashData8[QCNM Name],IF($D$4&lt;&gt;"",SimpleDashData8[QCNM Name]=$D$4,IF($B$4="All Regions",1,SimpleDashData8[Region]=$B$4))*IF($A$4="All Sections",1,SimpleDashData8[Section]=$A$4))),ROWS($BD$153:BD239)),"")</f>
        <v>QCNM Muzaffargarh, District Jail</v>
      </c>
    </row>
    <row r="240" spans="55:56" x14ac:dyDescent="0.3">
      <c r="BC240" t="s">
        <v>93</v>
      </c>
      <c r="BD240" t="str" cm="1">
        <f t="array" ref="BD240">IFERROR(INDEX(_xlfn._xlws.SORT(_xlfn._xlws.FILTER(SimpleDashData8[QCNM Name],IF($D$4&lt;&gt;"",SimpleDashData8[QCNM Name]=$D$4,IF($B$4="All Regions",1,SimpleDashData8[Region]=$B$4))*IF($A$4="All Sections",1,SimpleDashData8[Section]=$A$4))),ROWS($BD$153:BD240)),"")</f>
        <v>QCNM Narowal, Disst Jail</v>
      </c>
    </row>
    <row r="241" spans="55:56" x14ac:dyDescent="0.3">
      <c r="BC241" t="s">
        <v>164</v>
      </c>
      <c r="BD241" t="str" cm="1">
        <f t="array" ref="BD241">IFERROR(INDEX(_xlfn._xlws.SORT(_xlfn._xlws.FILTER(SimpleDashData8[QCNM Name],IF($D$4&lt;&gt;"",SimpleDashData8[QCNM Name]=$D$4,IF($B$4="All Regions",1,SimpleDashData8[Region]=$B$4))*IF($A$4="All Sections",1,SimpleDashData8[Section]=$A$4))),ROWS($BD$153:BD241)),"")</f>
        <v>QCNM Nowshera, Sub Jail</v>
      </c>
    </row>
    <row r="242" spans="55:56" x14ac:dyDescent="0.3">
      <c r="BC242" t="s">
        <v>55</v>
      </c>
      <c r="BD242" t="str" cm="1">
        <f t="array" ref="BD242">IFERROR(INDEX(_xlfn._xlws.SORT(_xlfn._xlws.FILTER(SimpleDashData8[QCNM Name],IF($D$4&lt;&gt;"",SimpleDashData8[QCNM Name]=$D$4,IF($B$4="All Regions",1,SimpleDashData8[Region]=$B$4))*IF($A$4="All Sections",1,SimpleDashData8[Section]=$A$4))),ROWS($BD$153:BD242)),"")</f>
        <v>QCNM Okara, District Jail</v>
      </c>
    </row>
    <row r="243" spans="55:56" x14ac:dyDescent="0.3">
      <c r="BC243" t="s">
        <v>44</v>
      </c>
      <c r="BD243" t="str" cm="1">
        <f t="array" ref="BD243">IFERROR(INDEX(_xlfn._xlws.SORT(_xlfn._xlws.FILTER(SimpleDashData8[QCNM Name],IF($D$4&lt;&gt;"",SimpleDashData8[QCNM Name]=$D$4,IF($B$4="All Regions",1,SimpleDashData8[Region]=$B$4))*IF($A$4="All Sections",1,SimpleDashData8[Section]=$A$4))),ROWS($BD$153:BD243)),"")</f>
        <v>QCNM Pak Pattan, District Jail</v>
      </c>
    </row>
    <row r="244" spans="55:56" x14ac:dyDescent="0.3">
      <c r="BC244" t="s">
        <v>165</v>
      </c>
      <c r="BD244" t="str" cm="1">
        <f t="array" ref="BD244">IFERROR(INDEX(_xlfn._xlws.SORT(_xlfn._xlws.FILTER(SimpleDashData8[QCNM Name],IF($D$4&lt;&gt;"",SimpleDashData8[QCNM Name]=$D$4,IF($B$4="All Regions",1,SimpleDashData8[Region]=$B$4))*IF($A$4="All Sections",1,SimpleDashData8[Section]=$A$4))),ROWS($BD$153:BD244)),"")</f>
        <v>QCNM Peshawar, Central Prison</v>
      </c>
    </row>
    <row r="245" spans="55:56" x14ac:dyDescent="0.3">
      <c r="BC245" t="s">
        <v>77</v>
      </c>
      <c r="BD245" t="str" cm="1">
        <f t="array" ref="BD245">IFERROR(INDEX(_xlfn._xlws.SORT(_xlfn._xlws.FILTER(SimpleDashData8[QCNM Name],IF($D$4&lt;&gt;"",SimpleDashData8[QCNM Name]=$D$4,IF($B$4="All Regions",1,SimpleDashData8[Region]=$B$4))*IF($A$4="All Sections",1,SimpleDashData8[Section]=$A$4))),ROWS($BD$153:BD245)),"")</f>
        <v>QCNM PHQ Gilgit</v>
      </c>
    </row>
    <row r="246" spans="55:56" x14ac:dyDescent="0.3">
      <c r="BC246" t="s">
        <v>210</v>
      </c>
      <c r="BD246" t="str" cm="1">
        <f t="array" ref="BD246">IFERROR(INDEX(_xlfn._xlws.SORT(_xlfn._xlws.FILTER(SimpleDashData8[QCNM Name],IF($D$4&lt;&gt;"",SimpleDashData8[QCNM Name]=$D$4,IF($B$4="All Regions",1,SimpleDashData8[Region]=$B$4))*IF($A$4="All Sections",1,SimpleDashData8[Section]=$A$4))),ROWS($BD$153:BD246)),"")</f>
        <v>QCNM PTC Gilgit</v>
      </c>
    </row>
    <row r="247" spans="55:56" x14ac:dyDescent="0.3">
      <c r="BC247" t="s">
        <v>191</v>
      </c>
      <c r="BD247" t="str" cm="1">
        <f t="array" ref="BD247">IFERROR(INDEX(_xlfn._xlws.SORT(_xlfn._xlws.FILTER(SimpleDashData8[QCNM Name],IF($D$4&lt;&gt;"",SimpleDashData8[QCNM Name]=$D$4,IF($B$4="All Regions",1,SimpleDashData8[Region]=$B$4))*IF($A$4="All Sections",1,SimpleDashData8[Section]=$A$4))),ROWS($BD$153:BD247)),"")</f>
        <v xml:space="preserve">QCNM QCNM Lums </v>
      </c>
    </row>
    <row r="248" spans="55:56" x14ac:dyDescent="0.3">
      <c r="BC248" t="s">
        <v>139</v>
      </c>
      <c r="BD248" t="str" cm="1">
        <f t="array" ref="BD248">IFERROR(INDEX(_xlfn._xlws.SORT(_xlfn._xlws.FILTER(SimpleDashData8[QCNM Name],IF($D$4&lt;&gt;"",SimpleDashData8[QCNM Name]=$D$4,IF($B$4="All Regions",1,SimpleDashData8[Region]=$B$4))*IF($A$4="All Sections",1,SimpleDashData8[Section]=$A$4))),ROWS($BD$153:BD248)),"")</f>
        <v>QCNM Quetta, District Jail</v>
      </c>
    </row>
    <row r="249" spans="55:56" x14ac:dyDescent="0.3">
      <c r="BC249" t="s">
        <v>186</v>
      </c>
      <c r="BD249" t="str" cm="1">
        <f t="array" ref="BD249">IFERROR(INDEX(_xlfn._xlws.SORT(_xlfn._xlws.FILTER(SimpleDashData8[QCNM Name],IF($D$4&lt;&gt;"",SimpleDashData8[QCNM Name]=$D$4,IF($B$4="All Regions",1,SimpleDashData8[Region]=$B$4))*IF($A$4="All Sections",1,SimpleDashData8[Section]=$A$4))),ROWS($BD$153:BD249)),"")</f>
        <v>QCNM Rahim Yar Khan, District Jail</v>
      </c>
    </row>
    <row r="250" spans="55:56" x14ac:dyDescent="0.3">
      <c r="BC250" t="s">
        <v>54</v>
      </c>
      <c r="BD250" t="str" cm="1">
        <f t="array" ref="BD250">IFERROR(INDEX(_xlfn._xlws.SORT(_xlfn._xlws.FILTER(SimpleDashData8[QCNM Name],IF($D$4&lt;&gt;"",SimpleDashData8[QCNM Name]=$D$4,IF($B$4="All Regions",1,SimpleDashData8[Region]=$B$4))*IF($A$4="All Sections",1,SimpleDashData8[Section]=$A$4))),ROWS($BD$153:BD250)),"")</f>
        <v>QCNM RAHMA Hospital Janpur</v>
      </c>
    </row>
    <row r="251" spans="55:56" x14ac:dyDescent="0.3">
      <c r="BC251" t="s">
        <v>56</v>
      </c>
      <c r="BD251" t="str" cm="1">
        <f t="array" ref="BD251">IFERROR(INDEX(_xlfn._xlws.SORT(_xlfn._xlws.FILTER(SimpleDashData8[QCNM Name],IF($D$4&lt;&gt;"",SimpleDashData8[QCNM Name]=$D$4,IF($B$4="All Regions",1,SimpleDashData8[Region]=$B$4))*IF($A$4="All Sections",1,SimpleDashData8[Section]=$A$4))),ROWS($BD$153:BD251)),"")</f>
        <v>QCNM Rajanpur, Distrit jail</v>
      </c>
    </row>
    <row r="252" spans="55:56" x14ac:dyDescent="0.3">
      <c r="BC252" t="s">
        <v>167</v>
      </c>
      <c r="BD252" t="str" cm="1">
        <f t="array" ref="BD252">IFERROR(INDEX(_xlfn._xlws.SORT(_xlfn._xlws.FILTER(SimpleDashData8[QCNM Name],IF($D$4&lt;&gt;"",SimpleDashData8[QCNM Name]=$D$4,IF($B$4="All Regions",1,SimpleDashData8[Region]=$B$4))*IF($A$4="All Sections",1,SimpleDashData8[Section]=$A$4))),ROWS($BD$153:BD252)),"")</f>
        <v>QCNM Rawalakot District Jail</v>
      </c>
    </row>
    <row r="253" spans="55:56" x14ac:dyDescent="0.3">
      <c r="BC253" t="s">
        <v>166</v>
      </c>
      <c r="BD253" t="str" cm="1">
        <f t="array" ref="BD253">IFERROR(INDEX(_xlfn._xlws.SORT(_xlfn._xlws.FILTER(SimpleDashData8[QCNM Name],IF($D$4&lt;&gt;"",SimpleDashData8[QCNM Name]=$D$4,IF($B$4="All Regions",1,SimpleDashData8[Region]=$B$4))*IF($A$4="All Sections",1,SimpleDashData8[Section]=$A$4))),ROWS($BD$153:BD253)),"")</f>
        <v>QCNM Rawalakot, University of Poonch</v>
      </c>
    </row>
    <row r="254" spans="55:56" x14ac:dyDescent="0.3">
      <c r="BC254" t="s">
        <v>203</v>
      </c>
      <c r="BD254" t="str" cm="1">
        <f t="array" ref="BD254">IFERROR(INDEX(_xlfn._xlws.SORT(_xlfn._xlws.FILTER(SimpleDashData8[QCNM Name],IF($D$4&lt;&gt;"",SimpleDashData8[QCNM Name]=$D$4,IF($B$4="All Regions",1,SimpleDashData8[Region]=$B$4))*IF($A$4="All Sections",1,SimpleDashData8[Section]=$A$4))),ROWS($BD$153:BD254)),"")</f>
        <v>QCNM Rawalpindi Adayala Jail</v>
      </c>
    </row>
    <row r="255" spans="55:56" x14ac:dyDescent="0.3">
      <c r="BC255" t="s">
        <v>183</v>
      </c>
      <c r="BD255" t="str" cm="1">
        <f t="array" ref="BD255">IFERROR(INDEX(_xlfn._xlws.SORT(_xlfn._xlws.FILTER(SimpleDashData8[QCNM Name],IF($D$4&lt;&gt;"",SimpleDashData8[QCNM Name]=$D$4,IF($B$4="All Regions",1,SimpleDashData8[Region]=$B$4))*IF($A$4="All Sections",1,SimpleDashData8[Section]=$A$4))),ROWS($BD$153:BD255)),"")</f>
        <v>QCNM RHC Washbood</v>
      </c>
    </row>
    <row r="256" spans="55:56" x14ac:dyDescent="0.3">
      <c r="BC256" t="s">
        <v>148</v>
      </c>
      <c r="BD256" t="str" cm="1">
        <f t="array" ref="BD256">IFERROR(INDEX(_xlfn._xlws.SORT(_xlfn._xlws.FILTER(SimpleDashData8[QCNM Name],IF($D$4&lt;&gt;"",SimpleDashData8[QCNM Name]=$D$4,IF($B$4="All Regions",1,SimpleDashData8[Region]=$B$4))*IF($A$4="All Sections",1,SimpleDashData8[Section]=$A$4))),ROWS($BD$153:BD256)),"")</f>
        <v>QCNM RHQ Chillas</v>
      </c>
    </row>
    <row r="257" spans="55:56" x14ac:dyDescent="0.3">
      <c r="BC257" t="s">
        <v>57</v>
      </c>
      <c r="BD257" t="str" cm="1">
        <f t="array" ref="BD257">IFERROR(INDEX(_xlfn._xlws.SORT(_xlfn._xlws.FILTER(SimpleDashData8[QCNM Name],IF($D$4&lt;&gt;"",SimpleDashData8[QCNM Name]=$D$4,IF($B$4="All Regions",1,SimpleDashData8[Region]=$B$4))*IF($A$4="All Sections",1,SimpleDashData8[Section]=$A$4))),ROWS($BD$153:BD257)),"")</f>
        <v>QCNM RHQ- Hospital Skardu</v>
      </c>
    </row>
    <row r="258" spans="55:56" x14ac:dyDescent="0.3">
      <c r="BC258" t="s">
        <v>92</v>
      </c>
      <c r="BD258" t="str" cm="1">
        <f t="array" ref="BD258">IFERROR(INDEX(_xlfn._xlws.SORT(_xlfn._xlws.FILTER(SimpleDashData8[QCNM Name],IF($D$4&lt;&gt;"",SimpleDashData8[QCNM Name]=$D$4,IF($B$4="All Regions",1,SimpleDashData8[Region]=$B$4))*IF($A$4="All Sections",1,SimpleDashData8[Section]=$A$4))),ROWS($BD$153:BD258)),"")</f>
        <v>QCNM Sadda, Sub Jail</v>
      </c>
    </row>
    <row r="259" spans="55:56" x14ac:dyDescent="0.3">
      <c r="BC259" t="s">
        <v>168</v>
      </c>
      <c r="BD259" t="str" cm="1">
        <f t="array" ref="BD259">IFERROR(INDEX(_xlfn._xlws.SORT(_xlfn._xlws.FILTER(SimpleDashData8[QCNM Name],IF($D$4&lt;&gt;"",SimpleDashData8[QCNM Name]=$D$4,IF($B$4="All Regions",1,SimpleDashData8[Region]=$B$4))*IF($A$4="All Sections",1,SimpleDashData8[Section]=$A$4))),ROWS($BD$153:BD259)),"")</f>
        <v>QCNM Sahiwal, Central Jail</v>
      </c>
    </row>
    <row r="260" spans="55:56" x14ac:dyDescent="0.3">
      <c r="BC260" t="s">
        <v>170</v>
      </c>
      <c r="BD260" t="str" cm="1">
        <f t="array" ref="BD260">IFERROR(INDEX(_xlfn._xlws.SORT(_xlfn._xlws.FILTER(SimpleDashData8[QCNM Name],IF($D$4&lt;&gt;"",SimpleDashData8[QCNM Name]=$D$4,IF($B$4="All Regions",1,SimpleDashData8[Region]=$B$4))*IF($A$4="All Sections",1,SimpleDashData8[Section]=$A$4))),ROWS($BD$153:BD260)),"")</f>
        <v>QCNM Sahiwal, High Security Prison</v>
      </c>
    </row>
    <row r="261" spans="55:56" x14ac:dyDescent="0.3">
      <c r="BC261" t="s">
        <v>176</v>
      </c>
      <c r="BD261" t="str" cm="1">
        <f t="array" ref="BD261">IFERROR(INDEX(_xlfn._xlws.SORT(_xlfn._xlws.FILTER(SimpleDashData8[QCNM Name],IF($D$4&lt;&gt;"",SimpleDashData8[QCNM Name]=$D$4,IF($B$4="All Regions",1,SimpleDashData8[Region]=$B$4))*IF($A$4="All Sections",1,SimpleDashData8[Section]=$A$4))),ROWS($BD$153:BD261)),"")</f>
        <v>QCNM Sardar Bahdur Khan University</v>
      </c>
    </row>
    <row r="262" spans="55:56" x14ac:dyDescent="0.3">
      <c r="BC262" t="s">
        <v>149</v>
      </c>
      <c r="BD262" t="str" cm="1">
        <f t="array" ref="BD262">IFERROR(INDEX(_xlfn._xlws.SORT(_xlfn._xlws.FILTER(SimpleDashData8[QCNM Name],IF($D$4&lt;&gt;"",SimpleDashData8[QCNM Name]=$D$4,IF($B$4="All Regions",1,SimpleDashData8[Region]=$B$4))*IF($A$4="All Sections",1,SimpleDashData8[Section]=$A$4))),ROWS($BD$153:BD262)),"")</f>
        <v>QCNM Sargodha, District Jail</v>
      </c>
    </row>
    <row r="263" spans="55:56" x14ac:dyDescent="0.3">
      <c r="BC263" t="s">
        <v>150</v>
      </c>
      <c r="BD263" t="str" cm="1">
        <f t="array" ref="BD263">IFERROR(INDEX(_xlfn._xlws.SORT(_xlfn._xlws.FILTER(SimpleDashData8[QCNM Name],IF($D$4&lt;&gt;"",SimpleDashData8[QCNM Name]=$D$4,IF($B$4="All Regions",1,SimpleDashData8[Region]=$B$4))*IF($A$4="All Sections",1,SimpleDashData8[Section]=$A$4))),ROWS($BD$153:BD263)),"")</f>
        <v>QCNM Shahpur, Dist Jail</v>
      </c>
    </row>
    <row r="264" spans="55:56" x14ac:dyDescent="0.3">
      <c r="BC264" t="s">
        <v>128</v>
      </c>
      <c r="BD264" t="str" cm="1">
        <f t="array" ref="BD264">IFERROR(INDEX(_xlfn._xlws.SORT(_xlfn._xlws.FILTER(SimpleDashData8[QCNM Name],IF($D$4&lt;&gt;"",SimpleDashData8[QCNM Name]=$D$4,IF($B$4="All Regions",1,SimpleDashData8[Region]=$B$4))*IF($A$4="All Sections",1,SimpleDashData8[Section]=$A$4))),ROWS($BD$153:BD264)),"")</f>
        <v>QCNM Sheikhupura, District Jail</v>
      </c>
    </row>
    <row r="265" spans="55:56" x14ac:dyDescent="0.3">
      <c r="BC265" t="s">
        <v>129</v>
      </c>
      <c r="BD265" t="str" cm="1">
        <f t="array" ref="BD265">IFERROR(INDEX(_xlfn._xlws.SORT(_xlfn._xlws.FILTER(SimpleDashData8[QCNM Name],IF($D$4&lt;&gt;"",SimpleDashData8[QCNM Name]=$D$4,IF($B$4="All Regions",1,SimpleDashData8[Region]=$B$4))*IF($A$4="All Sections",1,SimpleDashData8[Section]=$A$4))),ROWS($BD$153:BD265)),"")</f>
        <v>QCNM Sialkot, District Jail</v>
      </c>
    </row>
    <row r="266" spans="55:56" x14ac:dyDescent="0.3">
      <c r="BC266" t="s">
        <v>85</v>
      </c>
      <c r="BD266" t="str" cm="1">
        <f t="array" ref="BD266">IFERROR(INDEX(_xlfn._xlws.SORT(_xlfn._xlws.FILTER(SimpleDashData8[QCNM Name],IF($D$4&lt;&gt;"",SimpleDashData8[QCNM Name]=$D$4,IF($B$4="All Regions",1,SimpleDashData8[Region]=$B$4))*IF($A$4="All Sections",1,SimpleDashData8[Section]=$A$4))),ROWS($BD$153:BD266)),"")</f>
        <v>QCNM Skardu District Jail</v>
      </c>
    </row>
    <row r="267" spans="55:56" x14ac:dyDescent="0.3">
      <c r="BC267" t="s">
        <v>145</v>
      </c>
      <c r="BD267" t="str" cm="1">
        <f t="array" ref="BD267">IFERROR(INDEX(_xlfn._xlws.SORT(_xlfn._xlws.FILTER(SimpleDashData8[QCNM Name],IF($D$4&lt;&gt;"",SimpleDashData8[QCNM Name]=$D$4,IF($B$4="All Regions",1,SimpleDashData8[Region]=$B$4))*IF($A$4="All Sections",1,SimpleDashData8[Section]=$A$4))),ROWS($BD$153:BD267)),"")</f>
        <v>QCNM SSGT Gilgit</v>
      </c>
    </row>
    <row r="268" spans="55:56" x14ac:dyDescent="0.3">
      <c r="BC268" t="s">
        <v>98</v>
      </c>
      <c r="BD268" t="str" cm="1">
        <f t="array" ref="BD268">IFERROR(INDEX(_xlfn._xlws.SORT(_xlfn._xlws.FILTER(SimpleDashData8[QCNM Name],IF($D$4&lt;&gt;"",SimpleDashData8[QCNM Name]=$D$4,IF($B$4="All Regions",1,SimpleDashData8[Region]=$B$4))*IF($A$4="All Sections",1,SimpleDashData8[Section]=$A$4))),ROWS($BD$153:BD268)),"")</f>
        <v>QCNM Sub Jail, Chakwal</v>
      </c>
    </row>
    <row r="269" spans="55:56" x14ac:dyDescent="0.3">
      <c r="BC269" t="s">
        <v>192</v>
      </c>
      <c r="BD269" t="str" cm="1">
        <f t="array" ref="BD269">IFERROR(INDEX(_xlfn._xlws.SORT(_xlfn._xlws.FILTER(SimpleDashData8[QCNM Name],IF($D$4&lt;&gt;"",SimpleDashData8[QCNM Name]=$D$4,IF($B$4="All Regions",1,SimpleDashData8[Region]=$B$4))*IF($A$4="All Sections",1,SimpleDashData8[Section]=$A$4))),ROWS($BD$153:BD269)),"")</f>
        <v>QCNM Subjail Parachinar</v>
      </c>
    </row>
    <row r="270" spans="55:56" x14ac:dyDescent="0.3">
      <c r="BC270" t="s">
        <v>88</v>
      </c>
      <c r="BD270" t="str" cm="1">
        <f t="array" ref="BD270">IFERROR(INDEX(_xlfn._xlws.SORT(_xlfn._xlws.FILTER(SimpleDashData8[QCNM Name],IF($D$4&lt;&gt;"",SimpleDashData8[QCNM Name]=$D$4,IF($B$4="All Regions",1,SimpleDashData8[Region]=$B$4))*IF($A$4="All Sections",1,SimpleDashData8[Section]=$A$4))),ROWS($BD$153:BD270)),"")</f>
        <v>QCNM Sukkur, Central Jail</v>
      </c>
    </row>
    <row r="271" spans="55:56" x14ac:dyDescent="0.3">
      <c r="BC271" t="s">
        <v>78</v>
      </c>
      <c r="BD271" t="str" cm="1">
        <f t="array" ref="BD271">IFERROR(INDEX(_xlfn._xlws.SORT(_xlfn._xlws.FILTER(SimpleDashData8[QCNM Name],IF($D$4&lt;&gt;"",SimpleDashData8[QCNM Name]=$D$4,IF($B$4="All Regions",1,SimpleDashData8[Region]=$B$4))*IF($A$4="All Sections",1,SimpleDashData8[Section]=$A$4))),ROWS($BD$153:BD271)),"")</f>
        <v>QCNM Swabi, Sub Jail</v>
      </c>
    </row>
    <row r="272" spans="55:56" x14ac:dyDescent="0.3">
      <c r="BC272" t="s">
        <v>95</v>
      </c>
      <c r="BD272" t="str" cm="1">
        <f t="array" ref="BD272">IFERROR(INDEX(_xlfn._xlws.SORT(_xlfn._xlws.FILTER(SimpleDashData8[QCNM Name],IF($D$4&lt;&gt;"",SimpleDashData8[QCNM Name]=$D$4,IF($B$4="All Regions",1,SimpleDashData8[Region]=$B$4))*IF($A$4="All Sections",1,SimpleDashData8[Section]=$A$4))),ROWS($BD$153:BD272)),"")</f>
        <v>QCNM Swat, District Jail</v>
      </c>
    </row>
    <row r="273" spans="55:56" x14ac:dyDescent="0.3">
      <c r="BC273" t="s">
        <v>141</v>
      </c>
      <c r="BD273" t="str" cm="1">
        <f t="array" ref="BD273">IFERROR(INDEX(_xlfn._xlws.SORT(_xlfn._xlws.FILTER(SimpleDashData8[QCNM Name],IF($D$4&lt;&gt;"",SimpleDashData8[QCNM Name]=$D$4,IF($B$4="All Regions",1,SimpleDashData8[Region]=$B$4))*IF($A$4="All Sections",1,SimpleDashData8[Section]=$A$4))),ROWS($BD$153:BD273)),"")</f>
        <v>QCNM Tank, Sub Jail</v>
      </c>
    </row>
    <row r="274" spans="55:56" x14ac:dyDescent="0.3">
      <c r="BC274" t="s">
        <v>90</v>
      </c>
      <c r="BD274" t="str" cm="1">
        <f t="array" ref="BD274">IFERROR(INDEX(_xlfn._xlws.SORT(_xlfn._xlws.FILTER(SimpleDashData8[QCNM Name],IF($D$4&lt;&gt;"",SimpleDashData8[QCNM Name]=$D$4,IF($B$4="All Regions",1,SimpleDashData8[Region]=$B$4))*IF($A$4="All Sections",1,SimpleDashData8[Section]=$A$4))),ROWS($BD$153:BD274)),"")</f>
        <v>QCNM The Islamia Uni of Bahawalpur</v>
      </c>
    </row>
    <row r="275" spans="55:56" x14ac:dyDescent="0.3">
      <c r="BC275" t="s">
        <v>130</v>
      </c>
      <c r="BD275" t="str" cm="1">
        <f t="array" ref="BD275">IFERROR(INDEX(_xlfn._xlws.SORT(_xlfn._xlws.FILTER(SimpleDashData8[QCNM Name],IF($D$4&lt;&gt;"",SimpleDashData8[QCNM Name]=$D$4,IF($B$4="All Regions",1,SimpleDashData8[Region]=$B$4))*IF($A$4="All Sections",1,SimpleDashData8[Section]=$A$4))),ROWS($BD$153:BD275)),"")</f>
        <v>QCNM Timergara, District Jail</v>
      </c>
    </row>
    <row r="276" spans="55:56" x14ac:dyDescent="0.3">
      <c r="BC276" t="s">
        <v>184</v>
      </c>
      <c r="BD276" t="str" cm="1">
        <f t="array" ref="BD276">IFERROR(INDEX(_xlfn._xlws.SORT(_xlfn._xlws.FILTER(SimpleDashData8[QCNM Name],IF($D$4&lt;&gt;"",SimpleDashData8[QCNM Name]=$D$4,IF($B$4="All Regions",1,SimpleDashData8[Region]=$B$4))*IF($A$4="All Sections",1,SimpleDashData8[Section]=$A$4))),ROWS($BD$153:BD276)),"")</f>
        <v>QCNM Toba Tek singh,District Jail</v>
      </c>
    </row>
    <row r="277" spans="55:56" x14ac:dyDescent="0.3">
      <c r="BC277" t="s">
        <v>211</v>
      </c>
      <c r="BD277" t="str" cm="1">
        <f t="array" ref="BD277">IFERROR(INDEX(_xlfn._xlws.SORT(_xlfn._xlws.FILTER(SimpleDashData8[QCNM Name],IF($D$4&lt;&gt;"",SimpleDashData8[QCNM Name]=$D$4,IF($B$4="All Regions",1,SimpleDashData8[Region]=$B$4))*IF($A$4="All Sections",1,SimpleDashData8[Section]=$A$4))),ROWS($BD$153:BD277)),"")</f>
        <v>QCNM University of AJK, MZD</v>
      </c>
    </row>
    <row r="278" spans="55:56" x14ac:dyDescent="0.3">
      <c r="BC278" t="s">
        <v>174</v>
      </c>
      <c r="BD278" t="str" cm="1">
        <f t="array" ref="BD278">IFERROR(INDEX(_xlfn._xlws.SORT(_xlfn._xlws.FILTER(SimpleDashData8[QCNM Name],IF($D$4&lt;&gt;"",SimpleDashData8[QCNM Name]=$D$4,IF($B$4="All Regions",1,SimpleDashData8[Region]=$B$4))*IF($A$4="All Sections",1,SimpleDashData8[Section]=$A$4))),ROWS($BD$153:BD278)),"")</f>
        <v xml:space="preserve">QCNM University of Balochistan </v>
      </c>
    </row>
    <row r="279" spans="55:56" x14ac:dyDescent="0.3">
      <c r="BC279" t="s">
        <v>185</v>
      </c>
      <c r="BD279" t="str" cm="1">
        <f t="array" ref="BD279">IFERROR(INDEX(_xlfn._xlws.SORT(_xlfn._xlws.FILTER(SimpleDashData8[QCNM Name],IF($D$4&lt;&gt;"",SimpleDashData8[QCNM Name]=$D$4,IF($B$4="All Regions",1,SimpleDashData8[Region]=$B$4))*IF($A$4="All Sections",1,SimpleDashData8[Section]=$A$4))),ROWS($BD$153:BD279)),"")</f>
        <v>QCNM University of Karachi</v>
      </c>
    </row>
    <row r="280" spans="55:56" x14ac:dyDescent="0.3">
      <c r="BC280" t="s">
        <v>181</v>
      </c>
      <c r="BD280" t="str" cm="1">
        <f t="array" ref="BD280">IFERROR(INDEX(_xlfn._xlws.SORT(_xlfn._xlws.FILTER(SimpleDashData8[QCNM Name],IF($D$4&lt;&gt;"",SimpleDashData8[QCNM Name]=$D$4,IF($B$4="All Regions",1,SimpleDashData8[Region]=$B$4))*IF($A$4="All Sections",1,SimpleDashData8[Section]=$A$4))),ROWS($BD$153:BD280)),"")</f>
        <v>QCNM University of Kotli</v>
      </c>
    </row>
    <row r="281" spans="55:56" x14ac:dyDescent="0.3">
      <c r="BC281" t="s">
        <v>140</v>
      </c>
      <c r="BD281" t="str" cm="1">
        <f t="array" ref="BD281">IFERROR(INDEX(_xlfn._xlws.SORT(_xlfn._xlws.FILTER(SimpleDashData8[QCNM Name],IF($D$4&lt;&gt;"",SimpleDashData8[QCNM Name]=$D$4,IF($B$4="All Regions",1,SimpleDashData8[Region]=$B$4))*IF($A$4="All Sections",1,SimpleDashData8[Section]=$A$4))),ROWS($BD$153:BD281)),"")</f>
        <v>QCNM University of Loralai</v>
      </c>
    </row>
    <row r="282" spans="55:56" x14ac:dyDescent="0.3">
      <c r="BC282" t="s">
        <v>180</v>
      </c>
      <c r="BD282" t="str" cm="1">
        <f t="array" ref="BD282">IFERROR(INDEX(_xlfn._xlws.SORT(_xlfn._xlws.FILTER(SimpleDashData8[QCNM Name],IF($D$4&lt;&gt;"",SimpleDashData8[QCNM Name]=$D$4,IF($B$4="All Regions",1,SimpleDashData8[Region]=$B$4))*IF($A$4="All Sections",1,SimpleDashData8[Section]=$A$4))),ROWS($BD$153:BD282)),"")</f>
        <v>QCNM University of Okara</v>
      </c>
    </row>
    <row r="283" spans="55:56" x14ac:dyDescent="0.3">
      <c r="BC283" t="s">
        <v>169</v>
      </c>
      <c r="BD283" t="str" cm="1">
        <f t="array" ref="BD283">IFERROR(INDEX(_xlfn._xlws.SORT(_xlfn._xlws.FILTER(SimpleDashData8[QCNM Name],IF($D$4&lt;&gt;"",SimpleDashData8[QCNM Name]=$D$4,IF($B$4="All Regions",1,SimpleDashData8[Region]=$B$4))*IF($A$4="All Sections",1,SimpleDashData8[Section]=$A$4))),ROWS($BD$153:BD283)),"")</f>
        <v>QCNM University of Sindh</v>
      </c>
    </row>
    <row r="284" spans="55:56" x14ac:dyDescent="0.3">
      <c r="BC284" t="s">
        <v>163</v>
      </c>
      <c r="BD284" t="str" cm="1">
        <f t="array" ref="BD284">IFERROR(INDEX(_xlfn._xlws.SORT(_xlfn._xlws.FILTER(SimpleDashData8[QCNM Name],IF($D$4&lt;&gt;"",SimpleDashData8[QCNM Name]=$D$4,IF($B$4="All Regions",1,SimpleDashData8[Region]=$B$4))*IF($A$4="All Sections",1,SimpleDashData8[Section]=$A$4))),ROWS($BD$153:BD284)),"")</f>
        <v>QCNM Vehari, District Jail</v>
      </c>
    </row>
    <row r="285" spans="55:56" x14ac:dyDescent="0.3">
      <c r="BC285" t="s">
        <v>194</v>
      </c>
      <c r="BD285" t="str" cm="1">
        <f t="array" ref="BD285">IFERROR(INDEX(_xlfn._xlws.SORT(_xlfn._xlws.FILTER(SimpleDashData8[QCNM Name],IF($D$4&lt;&gt;"",SimpleDashData8[QCNM Name]=$D$4,IF($B$4="All Regions",1,SimpleDashData8[Region]=$B$4))*IF($A$4="All Sections",1,SimpleDashData8[Section]=$A$4))),ROWS($BD$153:BD285)),"")</f>
        <v>QCNM Woman Jail, Multan</v>
      </c>
    </row>
    <row r="286" spans="55:56" x14ac:dyDescent="0.3">
      <c r="BC286" t="s">
        <v>173</v>
      </c>
      <c r="BD286" t="str" cm="1">
        <f t="array" ref="BD286">IFERROR(INDEX(_xlfn._xlws.SORT(_xlfn._xlws.FILTER(SimpleDashData8[QCNM Name],IF($D$4&lt;&gt;"",SimpleDashData8[QCNM Name]=$D$4,IF($B$4="All Regions",1,SimpleDashData8[Region]=$B$4))*IF($A$4="All Sections",1,SimpleDashData8[Section]=$A$4))),ROWS($BD$153:BD286)),"")</f>
        <v>QCNM Women Jail Karachi</v>
      </c>
    </row>
    <row r="287" spans="55:56" x14ac:dyDescent="0.3">
      <c r="BC287" t="s">
        <v>116</v>
      </c>
      <c r="BD287" t="str" cm="1">
        <f t="array" ref="BD287">IFERROR(INDEX(_xlfn._xlws.SORT(_xlfn._xlws.FILTER(SimpleDashData8[QCNM Name],IF($D$4&lt;&gt;"",SimpleDashData8[QCNM Name]=$D$4,IF($B$4="All Regions",1,SimpleDashData8[Region]=$B$4))*IF($A$4="All Sections",1,SimpleDashData8[Section]=$A$4))),ROWS($BD$153:BD287)),"")</f>
        <v>QCNM, Fedral Urdu University</v>
      </c>
    </row>
    <row r="288" spans="55:56" x14ac:dyDescent="0.3">
      <c r="BD288" t="str" cm="1">
        <f t="array" ref="BD288">IFERROR(INDEX(_xlfn._xlws.SORT(_xlfn._xlws.FILTER(SimpleDashData8[QCNM Name],IF($D$4&lt;&gt;"",SimpleDashData8[QCNM Name]=$D$4,IF($B$4="All Regions",1,SimpleDashData8[Region]=$B$4))*IF($A$4="All Sections",1,SimpleDashData8[Section]=$A$4))),ROWS($BD$153:BD288)),"")</f>
        <v>QCNM, ZCD Hospital Toba tek Singh</v>
      </c>
    </row>
    <row r="289" spans="56:56" x14ac:dyDescent="0.3">
      <c r="BD289" t="str" cm="1">
        <f t="array" ref="BD289">IFERROR(INDEX(_xlfn._xlws.SORT(_xlfn._xlws.FILTER(SimpleDashData8[QCNM Name],IF($D$4&lt;&gt;"",SimpleDashData8[QCNM Name]=$D$4,IF($B$4="All Regions",1,SimpleDashData8[Region]=$B$4))*IF($A$4="All Sections",1,SimpleDashData8[Section]=$A$4))),ROWS($BD$153:BD289)),"")</f>
        <v/>
      </c>
    </row>
    <row r="290" spans="56:56" x14ac:dyDescent="0.3">
      <c r="BD290" t="str" cm="1">
        <f t="array" ref="BD290">IFERROR(INDEX(_xlfn._xlws.SORT(_xlfn._xlws.FILTER(SimpleDashData8[QCNM Name],IF($D$4&lt;&gt;"",SimpleDashData8[QCNM Name]=$D$4,IF($B$4="All Regions",1,SimpleDashData8[Region]=$B$4))*IF($A$4="All Sections",1,SimpleDashData8[Section]=$A$4))),ROWS($BD$153:BD290)),"")</f>
        <v/>
      </c>
    </row>
    <row r="291" spans="56:56" x14ac:dyDescent="0.3">
      <c r="BD291" t="str" cm="1">
        <f t="array" ref="BD291">IFERROR(INDEX(_xlfn._xlws.SORT(_xlfn._xlws.FILTER(SimpleDashData8[QCNM Name],IF($D$4&lt;&gt;"",SimpleDashData8[QCNM Name]=$D$4,IF($B$4="All Regions",1,SimpleDashData8[Region]=$B$4))*IF($A$4="All Sections",1,SimpleDashData8[Section]=$A$4))),ROWS($BD$153:BD291)),"")</f>
        <v/>
      </c>
    </row>
    <row r="292" spans="56:56" x14ac:dyDescent="0.3">
      <c r="BD292" t="str" cm="1">
        <f t="array" ref="BD292">IFERROR(INDEX(_xlfn._xlws.SORT(_xlfn._xlws.FILTER(SimpleDashData8[QCNM Name],IF($D$4&lt;&gt;"",SimpleDashData8[QCNM Name]=$D$4,IF($B$4="All Regions",1,SimpleDashData8[Region]=$B$4))*IF($A$4="All Sections",1,SimpleDashData8[Section]=$A$4))),ROWS($BD$153:BD292)),"")</f>
        <v/>
      </c>
    </row>
    <row r="293" spans="56:56" x14ac:dyDescent="0.3">
      <c r="BD293" t="str" cm="1">
        <f t="array" ref="BD293">IFERROR(INDEX(_xlfn._xlws.SORT(_xlfn._xlws.FILTER(SimpleDashData8[QCNM Name],IF($D$4&lt;&gt;"",SimpleDashData8[QCNM Name]=$D$4,IF($B$4="All Regions",1,SimpleDashData8[Region]=$B$4))*IF($A$4="All Sections",1,SimpleDashData8[Section]=$A$4))),ROWS($BD$153:BD293)),"")</f>
        <v/>
      </c>
    </row>
    <row r="294" spans="56:56" x14ac:dyDescent="0.3">
      <c r="BD294" t="str" cm="1">
        <f t="array" ref="BD294">IFERROR(INDEX(_xlfn._xlws.SORT(_xlfn._xlws.FILTER(SimpleDashData8[QCNM Name],IF($D$4&lt;&gt;"",SimpleDashData8[QCNM Name]=$D$4,IF($B$4="All Regions",1,SimpleDashData8[Region]=$B$4))*IF($A$4="All Sections",1,SimpleDashData8[Section]=$A$4))),ROWS($BD$153:BD294)),"")</f>
        <v/>
      </c>
    </row>
    <row r="295" spans="56:56" x14ac:dyDescent="0.3">
      <c r="BD295" t="str" cm="1">
        <f t="array" ref="BD295">IFERROR(INDEX(_xlfn._xlws.SORT(_xlfn._xlws.FILTER(SimpleDashData8[QCNM Name],IF($D$4&lt;&gt;"",SimpleDashData8[QCNM Name]=$D$4,IF($B$4="All Regions",1,SimpleDashData8[Region]=$B$4))*IF($A$4="All Sections",1,SimpleDashData8[Section]=$A$4))),ROWS($BD$153:BD295)),"")</f>
        <v/>
      </c>
    </row>
    <row r="296" spans="56:56" x14ac:dyDescent="0.3">
      <c r="BD296" t="str" cm="1">
        <f t="array" ref="BD296">IFERROR(INDEX(_xlfn._xlws.SORT(_xlfn._xlws.FILTER(SimpleDashData8[QCNM Name],IF($D$4&lt;&gt;"",SimpleDashData8[QCNM Name]=$D$4,IF($B$4="All Regions",1,SimpleDashData8[Region]=$B$4))*IF($A$4="All Sections",1,SimpleDashData8[Section]=$A$4))),ROWS($BD$153:BD296)),"")</f>
        <v/>
      </c>
    </row>
    <row r="297" spans="56:56" x14ac:dyDescent="0.3">
      <c r="BD297" t="str" cm="1">
        <f t="array" ref="BD297">IFERROR(INDEX(_xlfn._xlws.SORT(_xlfn._xlws.FILTER(SimpleDashData8[QCNM Name],IF($D$4&lt;&gt;"",SimpleDashData8[QCNM Name]=$D$4,IF($B$4="All Regions",1,SimpleDashData8[Region]=$B$4))*IF($A$4="All Sections",1,SimpleDashData8[Section]=$A$4))),ROWS($BD$153:BD297)),"")</f>
        <v/>
      </c>
    </row>
    <row r="298" spans="56:56" x14ac:dyDescent="0.3">
      <c r="BD298" t="str" cm="1">
        <f t="array" ref="BD298">IFERROR(INDEX(_xlfn._xlws.SORT(_xlfn._xlws.FILTER(SimpleDashData8[QCNM Name],IF($D$4&lt;&gt;"",SimpleDashData8[QCNM Name]=$D$4,IF($B$4="All Regions",1,SimpleDashData8[Region]=$B$4))*IF($A$4="All Sections",1,SimpleDashData8[Section]=$A$4))),ROWS($BD$153:BD298)),"")</f>
        <v/>
      </c>
    </row>
    <row r="299" spans="56:56" x14ac:dyDescent="0.3">
      <c r="BD299" t="str" cm="1">
        <f t="array" ref="BD299">IFERROR(INDEX(_xlfn._xlws.SORT(_xlfn._xlws.FILTER(SimpleDashData8[QCNM Name],IF($D$4&lt;&gt;"",SimpleDashData8[QCNM Name]=$D$4,IF($B$4="All Regions",1,SimpleDashData8[Region]=$B$4))*IF($A$4="All Sections",1,SimpleDashData8[Section]=$A$4))),ROWS($BD$153:BD299)),"")</f>
        <v/>
      </c>
    </row>
    <row r="300" spans="56:56" x14ac:dyDescent="0.3">
      <c r="BD300" t="str" cm="1">
        <f t="array" ref="BD300">IFERROR(INDEX(_xlfn._xlws.SORT(_xlfn._xlws.FILTER(SimpleDashData8[QCNM Name],IF($D$4&lt;&gt;"",SimpleDashData8[QCNM Name]=$D$4,IF($B$4="All Regions",1,SimpleDashData8[Region]=$B$4))*IF($A$4="All Sections",1,SimpleDashData8[Section]=$A$4))),ROWS($BD$153:BD300)),"")</f>
        <v/>
      </c>
    </row>
    <row r="301" spans="56:56" x14ac:dyDescent="0.3">
      <c r="BD301" t="str" cm="1">
        <f t="array" ref="BD301">IFERROR(INDEX(_xlfn._xlws.SORT(_xlfn._xlws.FILTER(SimpleDashData8[QCNM Name],IF($D$4&lt;&gt;"",SimpleDashData8[QCNM Name]=$D$4,IF($B$4="All Regions",1,SimpleDashData8[Region]=$B$4))*IF($A$4="All Sections",1,SimpleDashData8[Section]=$A$4))),ROWS($BD$153:BD301)),"")</f>
        <v/>
      </c>
    </row>
  </sheetData>
  <mergeCells count="12">
    <mergeCell ref="P17:P19"/>
    <mergeCell ref="J23:N23"/>
    <mergeCell ref="P23:T23"/>
    <mergeCell ref="V23:X23"/>
    <mergeCell ref="A1:O1"/>
    <mergeCell ref="A2:O2"/>
    <mergeCell ref="B3:C3"/>
    <mergeCell ref="D4:E4"/>
    <mergeCell ref="G3:I3"/>
    <mergeCell ref="B4:C4"/>
    <mergeCell ref="G4:I4"/>
    <mergeCell ref="D3:E3"/>
  </mergeCells>
  <dataValidations count="6">
    <dataValidation type="list" allowBlank="1" showInputMessage="1" showErrorMessage="1" sqref="B4" xr:uid="{90777526-AB48-4E2B-B456-261B9CCAA371}">
      <formula1>$BB$151:$BB$155</formula1>
    </dataValidation>
    <dataValidation type="list" allowBlank="1" showInputMessage="1" showErrorMessage="1" sqref="G4" xr:uid="{3DCE1A67-C5B2-48CB-A64C-CDC63779B8F9}">
      <formula1>$BD$151:$BD$300</formula1>
    </dataValidation>
    <dataValidation type="list" allowBlank="1" showInputMessage="1" showErrorMessage="1" promptTitle="Clinic Search" prompt="Type or choose one clinic name. Clear D3 to return to the Region/Clinic menus." sqref="D4" xr:uid="{900A91D6-F0FA-4EB1-B593-5B8F614B6F53}">
      <formula1>$BB$2:$BB$137</formula1>
    </dataValidation>
    <dataValidation type="list" allowBlank="1" showInputMessage="1" showErrorMessage="1" errorTitle="Select a budget head" error="Choose a value from the budget-head list." sqref="K4" xr:uid="{A27EE341-AD5D-4D6B-950B-AE91F0EDCD7E}">
      <formula1>$AK$2:$AK$12</formula1>
    </dataValidation>
    <dataValidation type="list" allowBlank="1" showInputMessage="1" showErrorMessage="1" errorTitle="Select a patient rank" error="Choose Expense Rank, Total, Male, Female, or Child." sqref="L4" xr:uid="{E535CB11-A665-48C4-BC68-9604C7B8E45C}">
      <formula1>$AL$2:$AL$6</formula1>
    </dataValidation>
    <dataValidation type="list" allowBlank="1" showInputMessage="1" showErrorMessage="1" sqref="A4" xr:uid="{6D30AC0F-FFCF-4630-8482-BAB6987C1A71}">
      <formula1>"All Sections,Public,Prison"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54FE-4322-436A-91C7-14165A95DCE4}">
  <dimension ref="A1:CA301"/>
  <sheetViews>
    <sheetView tabSelected="1" topLeftCell="BB37" zoomScale="121" zoomScaleNormal="145" workbookViewId="0">
      <selection activeCell="BF48" sqref="BF48"/>
    </sheetView>
  </sheetViews>
  <sheetFormatPr defaultRowHeight="14.4" x14ac:dyDescent="0.3"/>
  <cols>
    <col min="1" max="1" width="12.6640625" customWidth="1"/>
    <col min="2" max="2" width="37.5546875" customWidth="1"/>
    <col min="3" max="3" width="12.6640625" customWidth="1"/>
    <col min="4" max="4" width="19.6640625" bestFit="1" customWidth="1"/>
    <col min="5" max="5" width="6.77734375" customWidth="1"/>
    <col min="6" max="6" width="12.33203125" bestFit="1" customWidth="1"/>
    <col min="7" max="7" width="15.44140625" bestFit="1" customWidth="1"/>
    <col min="8" max="8" width="11.109375" bestFit="1" customWidth="1"/>
    <col min="9" max="9" width="11.109375" customWidth="1"/>
    <col min="10" max="10" width="13.6640625" bestFit="1" customWidth="1"/>
    <col min="11" max="12" width="16.33203125" customWidth="1"/>
    <col min="13" max="13" width="8.5546875" customWidth="1"/>
    <col min="14" max="14" width="18.5546875" bestFit="1" customWidth="1"/>
    <col min="15" max="15" width="11.33203125" customWidth="1"/>
    <col min="16" max="16" width="8.33203125" customWidth="1"/>
    <col min="17" max="17" width="16" customWidth="1"/>
    <col min="18" max="18" width="12.88671875" bestFit="1" customWidth="1"/>
    <col min="19" max="19" width="7.109375" bestFit="1" customWidth="1"/>
    <col min="20" max="20" width="19.33203125" customWidth="1"/>
    <col min="21" max="21" width="7.109375" bestFit="1" customWidth="1"/>
    <col min="22" max="22" width="6.77734375" bestFit="1" customWidth="1"/>
    <col min="23" max="23" width="18.6640625" customWidth="1"/>
    <col min="24" max="24" width="17.6640625" customWidth="1"/>
    <col min="25" max="25" width="7.88671875" bestFit="1" customWidth="1"/>
    <col min="26" max="26" width="12.88671875" bestFit="1" customWidth="1"/>
    <col min="27" max="27" width="7.109375" bestFit="1" customWidth="1"/>
    <col min="28" max="28" width="15.88671875" bestFit="1" customWidth="1"/>
    <col min="30" max="30" width="5.33203125" bestFit="1" customWidth="1"/>
    <col min="31" max="31" width="11.88671875" bestFit="1" customWidth="1"/>
    <col min="32" max="32" width="12.5546875" bestFit="1" customWidth="1"/>
    <col min="33" max="33" width="17" bestFit="1" customWidth="1"/>
    <col min="35" max="35" width="17.21875" bestFit="1" customWidth="1"/>
    <col min="36" max="36" width="7.88671875" bestFit="1" customWidth="1"/>
    <col min="37" max="37" width="0" hidden="1" customWidth="1"/>
    <col min="38" max="38" width="12.33203125" bestFit="1" customWidth="1"/>
    <col min="53" max="53" width="7.6640625" bestFit="1" customWidth="1"/>
    <col min="54" max="54" width="43" bestFit="1" customWidth="1"/>
    <col min="55" max="56" width="43" customWidth="1"/>
    <col min="57" max="57" width="25.77734375" customWidth="1"/>
    <col min="58" max="58" width="10.77734375" bestFit="1" customWidth="1"/>
    <col min="59" max="59" width="13.21875" bestFit="1" customWidth="1"/>
    <col min="60" max="60" width="12.33203125" bestFit="1" customWidth="1"/>
    <col min="61" max="61" width="9" bestFit="1" customWidth="1"/>
    <col min="62" max="63" width="9.77734375" bestFit="1" customWidth="1"/>
    <col min="64" max="64" width="9.6640625" bestFit="1" customWidth="1"/>
    <col min="65" max="65" width="8.6640625" bestFit="1" customWidth="1"/>
    <col min="66" max="66" width="11.77734375" bestFit="1" customWidth="1"/>
    <col min="67" max="67" width="9.88671875" bestFit="1" customWidth="1"/>
    <col min="68" max="68" width="7.109375" bestFit="1" customWidth="1"/>
    <col min="69" max="69" width="14.5546875" bestFit="1" customWidth="1"/>
    <col min="70" max="70" width="7.21875" bestFit="1" customWidth="1"/>
    <col min="71" max="71" width="9.44140625" bestFit="1" customWidth="1"/>
    <col min="72" max="72" width="7.6640625" bestFit="1" customWidth="1"/>
    <col min="73" max="73" width="14.5546875" bestFit="1" customWidth="1"/>
    <col min="74" max="74" width="14.33203125" bestFit="1" customWidth="1"/>
    <col min="75" max="75" width="15.33203125" bestFit="1" customWidth="1"/>
    <col min="76" max="76" width="18.5546875" bestFit="1" customWidth="1"/>
    <col min="77" max="77" width="27.33203125" bestFit="1" customWidth="1"/>
    <col min="78" max="78" width="19.77734375" bestFit="1" customWidth="1"/>
    <col min="79" max="79" width="21" bestFit="1" customWidth="1"/>
  </cols>
  <sheetData>
    <row r="1" spans="1:79" ht="23.4" x14ac:dyDescent="0.4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AK1" t="s">
        <v>1</v>
      </c>
      <c r="AL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10</v>
      </c>
      <c r="BI1" t="s">
        <v>11</v>
      </c>
      <c r="BJ1" t="s">
        <v>12</v>
      </c>
      <c r="BK1" t="s">
        <v>13</v>
      </c>
      <c r="BL1" t="s">
        <v>14</v>
      </c>
      <c r="BM1" t="s">
        <v>15</v>
      </c>
      <c r="BN1" t="s">
        <v>16</v>
      </c>
      <c r="BO1" t="s">
        <v>17</v>
      </c>
      <c r="BP1" t="s">
        <v>18</v>
      </c>
      <c r="BQ1" t="s">
        <v>19</v>
      </c>
      <c r="BR1" t="s">
        <v>20</v>
      </c>
      <c r="BS1" t="s">
        <v>21</v>
      </c>
      <c r="BT1" t="s">
        <v>22</v>
      </c>
      <c r="BU1" t="s">
        <v>23</v>
      </c>
      <c r="BV1" t="s">
        <v>24</v>
      </c>
      <c r="BW1" t="s">
        <v>25</v>
      </c>
      <c r="BX1" t="s">
        <v>26</v>
      </c>
      <c r="BY1" t="s">
        <v>27</v>
      </c>
      <c r="BZ1" t="s">
        <v>28</v>
      </c>
      <c r="CA1" t="s">
        <v>29</v>
      </c>
    </row>
    <row r="2" spans="1:79" x14ac:dyDescent="0.3">
      <c r="A2" s="70" t="s">
        <v>228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AK2" t="s">
        <v>19</v>
      </c>
      <c r="AL2" t="s">
        <v>31</v>
      </c>
      <c r="BA2">
        <v>1</v>
      </c>
      <c r="BB2" t="s">
        <v>32</v>
      </c>
      <c r="BC2">
        <v>2010210</v>
      </c>
      <c r="BD2" t="s">
        <v>33</v>
      </c>
      <c r="BE2" t="s">
        <v>34</v>
      </c>
      <c r="BF2" t="s">
        <v>35</v>
      </c>
      <c r="BH2">
        <v>6780</v>
      </c>
      <c r="BN2">
        <v>1090</v>
      </c>
      <c r="BQ2">
        <f>SUM(SimpleDashData83[[#This Row],[Convayance]:[Misc]])</f>
        <v>7870</v>
      </c>
      <c r="BR2">
        <v>1370</v>
      </c>
      <c r="BS2">
        <v>674</v>
      </c>
      <c r="BT2">
        <v>329</v>
      </c>
      <c r="BU2">
        <f>SUM(SimpleDashData83[[#This Row],[Male]:[Child]])</f>
        <v>2373</v>
      </c>
      <c r="BV2">
        <v>94.92</v>
      </c>
      <c r="BW2">
        <v>14238</v>
      </c>
      <c r="BZ2">
        <f>SimpleDashData83[[#This Row],[Total Expense]]/SimpleDashData83[[#This Row],[Total Patients]]</f>
        <v>3.3164770332911924</v>
      </c>
      <c r="CA2">
        <v>0</v>
      </c>
    </row>
    <row r="3" spans="1:79" ht="25.05" customHeight="1" thickBot="1" x14ac:dyDescent="0.35">
      <c r="A3" s="50" t="s">
        <v>225</v>
      </c>
      <c r="B3" s="71" t="s">
        <v>36</v>
      </c>
      <c r="C3" s="71"/>
      <c r="D3" s="78" t="s">
        <v>226</v>
      </c>
      <c r="E3" s="79"/>
      <c r="F3" s="1"/>
      <c r="G3" s="71" t="s">
        <v>37</v>
      </c>
      <c r="H3" s="71"/>
      <c r="I3" s="71"/>
      <c r="K3" s="52" t="s">
        <v>38</v>
      </c>
      <c r="L3" s="55" t="s">
        <v>39</v>
      </c>
      <c r="AK3" t="s">
        <v>9</v>
      </c>
      <c r="AL3" t="s">
        <v>40</v>
      </c>
      <c r="BA3">
        <f>1+BA2</f>
        <v>2</v>
      </c>
      <c r="BB3" t="s">
        <v>41</v>
      </c>
      <c r="BC3">
        <v>2010215</v>
      </c>
      <c r="BD3" t="s">
        <v>33</v>
      </c>
      <c r="BE3" t="s">
        <v>34</v>
      </c>
      <c r="BF3" t="s">
        <v>35</v>
      </c>
      <c r="BH3">
        <v>2400</v>
      </c>
      <c r="BM3">
        <v>200</v>
      </c>
      <c r="BP3">
        <v>1000</v>
      </c>
      <c r="BQ3">
        <f>SUM(SimpleDashData83[[#This Row],[Convayance]:[Misc]])</f>
        <v>3600</v>
      </c>
      <c r="BR3">
        <v>350</v>
      </c>
      <c r="BS3">
        <v>260</v>
      </c>
      <c r="BT3">
        <v>280</v>
      </c>
      <c r="BU3">
        <f>SUM(SimpleDashData83[[#This Row],[Male]:[Child]])</f>
        <v>890</v>
      </c>
      <c r="BV3">
        <v>35.6</v>
      </c>
      <c r="BW3">
        <v>889</v>
      </c>
      <c r="BZ3">
        <f>SimpleDashData83[[#This Row],[Total Expense]]/SimpleDashData83[[#This Row],[Total Patients]]</f>
        <v>4.0449438202247192</v>
      </c>
      <c r="CA3">
        <v>0</v>
      </c>
    </row>
    <row r="4" spans="1:79" ht="25.05" customHeight="1" thickTop="1" thickBot="1" x14ac:dyDescent="0.35">
      <c r="A4" s="51" t="s">
        <v>224</v>
      </c>
      <c r="B4" s="73" t="s">
        <v>42</v>
      </c>
      <c r="C4" s="74"/>
      <c r="D4" s="72" t="s">
        <v>222</v>
      </c>
      <c r="E4" s="72"/>
      <c r="F4" s="1"/>
      <c r="G4" s="75" t="s">
        <v>43</v>
      </c>
      <c r="H4" s="76"/>
      <c r="I4" s="77"/>
      <c r="K4" s="53" t="s">
        <v>19</v>
      </c>
      <c r="L4" s="54" t="s">
        <v>31</v>
      </c>
      <c r="AK4" t="s">
        <v>10</v>
      </c>
      <c r="AL4" t="s">
        <v>20</v>
      </c>
      <c r="BA4">
        <f t="shared" ref="BA4:BA67" si="0">1+BA3</f>
        <v>3</v>
      </c>
      <c r="BB4" t="s">
        <v>44</v>
      </c>
      <c r="BC4">
        <v>2010298</v>
      </c>
      <c r="BD4" t="s">
        <v>33</v>
      </c>
      <c r="BE4" t="s">
        <v>34</v>
      </c>
      <c r="BF4" t="s">
        <v>35</v>
      </c>
      <c r="BN4">
        <v>360</v>
      </c>
      <c r="BQ4">
        <f>SUM(SimpleDashData83[[#This Row],[Convayance]:[Misc]])</f>
        <v>360</v>
      </c>
      <c r="BR4">
        <v>633</v>
      </c>
      <c r="BS4">
        <v>0</v>
      </c>
      <c r="BT4">
        <v>0</v>
      </c>
      <c r="BU4">
        <f>SUM(SimpleDashData83[[#This Row],[Male]:[Child]])</f>
        <v>633</v>
      </c>
      <c r="BV4">
        <v>25.32</v>
      </c>
      <c r="BW4">
        <v>1266</v>
      </c>
      <c r="BZ4">
        <f>SimpleDashData83[[#This Row],[Total Expense]]/SimpleDashData83[[#This Row],[Total Patients]]</f>
        <v>0.56872037914691942</v>
      </c>
      <c r="CA4">
        <v>0</v>
      </c>
    </row>
    <row r="5" spans="1:79" x14ac:dyDescent="0.3">
      <c r="AI5" t="s">
        <v>45</v>
      </c>
      <c r="AJ5" t="s">
        <v>46</v>
      </c>
      <c r="AK5" t="s">
        <v>11</v>
      </c>
      <c r="AL5" t="s">
        <v>21</v>
      </c>
      <c r="BA5">
        <f t="shared" si="0"/>
        <v>4</v>
      </c>
      <c r="BB5" t="s">
        <v>47</v>
      </c>
      <c r="BD5" t="s">
        <v>33</v>
      </c>
      <c r="BE5" t="s">
        <v>34</v>
      </c>
      <c r="BF5" t="s">
        <v>35</v>
      </c>
      <c r="BG5">
        <v>16240</v>
      </c>
      <c r="BH5">
        <v>13400</v>
      </c>
      <c r="BM5">
        <v>2750</v>
      </c>
      <c r="BN5">
        <v>2010</v>
      </c>
      <c r="BQ5">
        <f>SUM(SimpleDashData83[[#This Row],[Convayance]:[Misc]])</f>
        <v>34400</v>
      </c>
      <c r="BR5">
        <v>688</v>
      </c>
      <c r="BS5">
        <v>551</v>
      </c>
      <c r="BT5">
        <v>212</v>
      </c>
      <c r="BU5">
        <f>SUM(SimpleDashData83[[#This Row],[Male]:[Child]])</f>
        <v>1451</v>
      </c>
      <c r="BV5">
        <v>58.04</v>
      </c>
      <c r="BW5">
        <v>7140</v>
      </c>
      <c r="BZ5">
        <f>SimpleDashData83[[#This Row],[Total Expense]]/SimpleDashData83[[#This Row],[Total Patients]]</f>
        <v>23.707787732598209</v>
      </c>
      <c r="CA5">
        <v>0</v>
      </c>
    </row>
    <row r="6" spans="1:79" x14ac:dyDescent="0.3">
      <c r="AI6" t="s">
        <v>9</v>
      </c>
      <c r="AJ6" s="2">
        <f>SUMIFS(SimpleDashData83[Convayance],SimpleDashData83[Section],IF($A$4="All Sections","&lt;&gt;",$A$4))</f>
        <v>119025</v>
      </c>
      <c r="AK6" t="s">
        <v>12</v>
      </c>
      <c r="AL6" t="s">
        <v>22</v>
      </c>
      <c r="BA6">
        <f t="shared" si="0"/>
        <v>5</v>
      </c>
      <c r="BB6" t="s">
        <v>48</v>
      </c>
      <c r="BD6" t="s">
        <v>33</v>
      </c>
      <c r="BE6" t="s">
        <v>34</v>
      </c>
      <c r="BF6" t="s">
        <v>35</v>
      </c>
      <c r="BG6">
        <v>11850</v>
      </c>
      <c r="BH6">
        <v>3000</v>
      </c>
      <c r="BJ6">
        <v>2200</v>
      </c>
      <c r="BN6">
        <v>3920</v>
      </c>
      <c r="BP6">
        <v>1000</v>
      </c>
      <c r="BQ6">
        <f>SUM(SimpleDashData83[[#This Row],[Convayance]:[Misc]])</f>
        <v>21970</v>
      </c>
      <c r="BR6">
        <v>947</v>
      </c>
      <c r="BS6">
        <v>971</v>
      </c>
      <c r="BT6">
        <v>287</v>
      </c>
      <c r="BU6">
        <f>SUM(SimpleDashData83[[#This Row],[Male]:[Child]])</f>
        <v>2205</v>
      </c>
      <c r="BV6">
        <v>88.2</v>
      </c>
      <c r="BW6">
        <v>11025</v>
      </c>
      <c r="BZ6">
        <f>SimpleDashData83[[#This Row],[Total Expense]]/SimpleDashData83[[#This Row],[Total Patients]]</f>
        <v>9.9637188208616774</v>
      </c>
      <c r="CA6">
        <v>0</v>
      </c>
    </row>
    <row r="7" spans="1:79" x14ac:dyDescent="0.3">
      <c r="A7" s="3" t="s">
        <v>19</v>
      </c>
      <c r="B7" s="4"/>
      <c r="C7" s="3" t="s">
        <v>23</v>
      </c>
      <c r="D7" s="4"/>
      <c r="E7" s="3" t="s">
        <v>49</v>
      </c>
      <c r="F7" s="4"/>
      <c r="G7" s="3" t="s">
        <v>50</v>
      </c>
      <c r="H7" s="4"/>
      <c r="I7" s="4"/>
      <c r="J7" s="3" t="s">
        <v>51</v>
      </c>
      <c r="K7" s="4"/>
      <c r="L7" s="3" t="s">
        <v>52</v>
      </c>
      <c r="M7" s="4"/>
      <c r="N7" s="4" t="s">
        <v>53</v>
      </c>
      <c r="O7" s="4"/>
      <c r="AI7" t="s">
        <v>10</v>
      </c>
      <c r="AJ7" s="2">
        <f>SUMIFS(SimpleDashData83[Purchasing],SimpleDashData83[Section],IF($A$4="All Sections","&lt;&gt;",$A$4))</f>
        <v>131764</v>
      </c>
      <c r="AK7" t="s">
        <v>13</v>
      </c>
      <c r="BA7">
        <f t="shared" si="0"/>
        <v>6</v>
      </c>
      <c r="BB7" t="s">
        <v>54</v>
      </c>
      <c r="BD7" t="s">
        <v>33</v>
      </c>
      <c r="BE7" t="s">
        <v>34</v>
      </c>
      <c r="BF7" t="s">
        <v>35</v>
      </c>
      <c r="BH7">
        <v>7450</v>
      </c>
      <c r="BL7">
        <v>240</v>
      </c>
      <c r="BN7">
        <v>1000</v>
      </c>
      <c r="BQ7">
        <f>SUM(SimpleDashData83[[#This Row],[Convayance]:[Misc]])</f>
        <v>8690</v>
      </c>
      <c r="BR7">
        <v>706</v>
      </c>
      <c r="BS7">
        <v>593</v>
      </c>
      <c r="BT7">
        <v>261</v>
      </c>
      <c r="BU7">
        <f>SUM(SimpleDashData83[[#This Row],[Male]:[Child]])</f>
        <v>1560</v>
      </c>
      <c r="BV7">
        <v>62.4</v>
      </c>
      <c r="BW7">
        <v>6260</v>
      </c>
      <c r="BZ7">
        <f>SimpleDashData83[[#This Row],[Total Expense]]/SimpleDashData83[[#This Row],[Total Patients]]</f>
        <v>5.5705128205128203</v>
      </c>
      <c r="CA7">
        <v>0</v>
      </c>
    </row>
    <row r="8" spans="1:79" x14ac:dyDescent="0.3">
      <c r="A8" s="5" cm="1">
        <f t="array" ref="A8">SUMPRODUCT((IF($D$4&lt;&gt;"",1,IF($B$4="All Regions",1,SimpleDashData83[Region]=$B$4)))*(IF($D$4&lt;&gt;"",SimpleDashData83[QCNM Name]=$D$4,IF($G$4="All Clinics",1,SimpleDashData83[QCNM Name]=$G$4)))*(IF($A$4="All Sections",1,SimpleDashData83[Section]=$A$4))*SimpleDashData83[Total Expense])</f>
        <v>300</v>
      </c>
      <c r="B8" s="6"/>
      <c r="C8" s="5" cm="1">
        <f t="array" ref="C8">SUMPRODUCT((IF($D$4&lt;&gt;"",1,IF($B$4="All Regions",1,SimpleDashData83[Region]=$B$4)))*(IF($D$4&lt;&gt;"",SimpleDashData83[QCNM Name]=$D$4,IF($G$4="All Clinics",1,SimpleDashData83[QCNM Name]=$G$4)))*(IF($A$4="All Sections",1,SimpleDashData83[Section]=$A$4))*SimpleDashData83[Total Patients])</f>
        <v>301</v>
      </c>
      <c r="D8" s="6"/>
      <c r="E8" s="5" cm="1">
        <f t="array" ref="E8">SUMPRODUCT((IF($D$4&lt;&gt;"",1,IF($B$4="All Regions",1,SimpleDashData83[Region]=$B$4)))*(IF($D$4&lt;&gt;"",SimpleDashData83[QCNM Name]=$D$4,IF($G$4="All Clinics",1,SimpleDashData83[QCNM Name]=$G$4)))*(IF($A$4="All Sections",1,SimpleDashData83[Section]=$A$4))*(SimpleDashData83[QCNM Name]&lt;&gt;""))</f>
        <v>1</v>
      </c>
      <c r="F8" s="6"/>
      <c r="G8" s="7">
        <f>IFERROR(A8/C8,0)</f>
        <v>0.99667774086378735</v>
      </c>
      <c r="H8" s="6"/>
      <c r="I8" s="6"/>
      <c r="J8" s="5" cm="1">
        <f t="array" ref="J8">SUMPRODUCT((IF($D$4&lt;&gt;"",1,IF($B$4="All Regions",1,SimpleDashData83[Region]=$B$4)))*(IF($D$4&lt;&gt;"",SimpleDashData83[QCNM Name]=$D$4,IF($G$4="All Clinics",1,SimpleDashData83[QCNM Name]=$G$4)))*(IF($A$4="All Sections",1,SimpleDashData83[Section]=$A$4))*(SimpleDashData83[Section]="Public")*SimpleDashData83[Total Expense])</f>
        <v>0</v>
      </c>
      <c r="K8" s="6"/>
      <c r="L8" s="5" cm="1">
        <f t="array" ref="L8">SUMPRODUCT((IF($D$4&lt;&gt;"",1,IF($B$4="All Regions",1,SimpleDashData83[Region]=$B$4)))*(IF($D$4&lt;&gt;"",SimpleDashData83[QCNM Name]=$D$4,IF($G$4="All Clinics",1,SimpleDashData83[QCNM Name]=$G$4)))*(IF($A$4="All Sections",1,SimpleDashData83[Section]=$A$4))*(SimpleDashData83[Section]="Prison")*SimpleDashData83[Total Expense])</f>
        <v>300</v>
      </c>
      <c r="M8" s="8"/>
      <c r="N8" s="8" t="str">
        <f>IF($D$4&lt;&gt;"","Search: "&amp;$D$4&amp;" / "&amp;$A$4,$A$4&amp;" / "&amp;$B$4&amp;" / "&amp;$G$4)</f>
        <v>Search: QCNM DP &amp; CF Malir, Karachi / All Sections</v>
      </c>
      <c r="O8" s="8"/>
      <c r="AI8" t="s">
        <v>11</v>
      </c>
      <c r="AJ8" s="2">
        <f>SUMIFS(SimpleDashData83[Freight],SimpleDashData83[Section],IF($A$4="All Sections","&lt;&gt;",$A$4))</f>
        <v>15858</v>
      </c>
      <c r="AK8" t="s">
        <v>14</v>
      </c>
      <c r="BA8">
        <f t="shared" si="0"/>
        <v>7</v>
      </c>
      <c r="BB8" t="s">
        <v>55</v>
      </c>
      <c r="BD8" t="s">
        <v>33</v>
      </c>
      <c r="BE8" t="s">
        <v>34</v>
      </c>
      <c r="BF8" t="s">
        <v>35</v>
      </c>
      <c r="BH8">
        <v>1580</v>
      </c>
      <c r="BL8">
        <v>240</v>
      </c>
      <c r="BN8">
        <v>400</v>
      </c>
      <c r="BQ8">
        <f>SUM(SimpleDashData83[[#This Row],[Convayance]:[Misc]])</f>
        <v>2220</v>
      </c>
      <c r="BR8">
        <v>490</v>
      </c>
      <c r="BS8">
        <v>1513</v>
      </c>
      <c r="BT8">
        <v>201</v>
      </c>
      <c r="BU8">
        <f>SUM(SimpleDashData83[[#This Row],[Male]:[Child]])</f>
        <v>2204</v>
      </c>
      <c r="BV8">
        <v>88.16</v>
      </c>
      <c r="BW8">
        <v>11010</v>
      </c>
      <c r="BZ8">
        <f>SimpleDashData83[[#This Row],[Total Expense]]/SimpleDashData83[[#This Row],[Total Patients]]</f>
        <v>1.0072595281306715</v>
      </c>
      <c r="CA8">
        <v>0</v>
      </c>
    </row>
    <row r="9" spans="1:79" x14ac:dyDescent="0.3">
      <c r="C9" s="9"/>
      <c r="AI9" t="s">
        <v>12</v>
      </c>
      <c r="AJ9" s="2">
        <f>SUMIFS(SimpleDashData83[Packing],SimpleDashData83[Section],IF($A$4="All Sections","&lt;&gt;",$A$4))</f>
        <v>411865</v>
      </c>
      <c r="AK9" t="s">
        <v>15</v>
      </c>
      <c r="BA9">
        <f t="shared" si="0"/>
        <v>8</v>
      </c>
      <c r="BB9" t="s">
        <v>56</v>
      </c>
      <c r="BD9" t="s">
        <v>33</v>
      </c>
      <c r="BE9" t="s">
        <v>34</v>
      </c>
      <c r="BF9" t="s">
        <v>35</v>
      </c>
      <c r="BH9">
        <v>5080</v>
      </c>
      <c r="BN9">
        <v>1680</v>
      </c>
      <c r="BO9">
        <v>1000</v>
      </c>
      <c r="BQ9">
        <f>SUM(SimpleDashData83[[#This Row],[Convayance]:[Misc]])</f>
        <v>7760</v>
      </c>
      <c r="BR9">
        <v>327</v>
      </c>
      <c r="BS9">
        <v>1730</v>
      </c>
      <c r="BT9">
        <v>214</v>
      </c>
      <c r="BU9">
        <f>SUM(SimpleDashData83[[#This Row],[Male]:[Child]])</f>
        <v>2271</v>
      </c>
      <c r="BV9">
        <v>90.84</v>
      </c>
      <c r="BW9">
        <v>11295</v>
      </c>
      <c r="BZ9">
        <f>SimpleDashData83[[#This Row],[Total Expense]]/SimpleDashData83[[#This Row],[Total Patients]]</f>
        <v>3.4169969176574195</v>
      </c>
      <c r="CA9">
        <v>0</v>
      </c>
    </row>
    <row r="10" spans="1:79" x14ac:dyDescent="0.3">
      <c r="G10" s="61" t="s">
        <v>229</v>
      </c>
      <c r="H10" s="62" t="b">
        <v>0</v>
      </c>
      <c r="AI10" t="s">
        <v>13</v>
      </c>
      <c r="AJ10" s="2">
        <f>SUMIFS(SimpleDashData83[Postage],SimpleDashData83[Section],IF($A$4="All Sections","&lt;&gt;",$A$4))</f>
        <v>25277</v>
      </c>
      <c r="AK10" t="s">
        <v>16</v>
      </c>
      <c r="BA10">
        <f t="shared" si="0"/>
        <v>9</v>
      </c>
      <c r="BB10" t="s">
        <v>57</v>
      </c>
      <c r="BD10" t="s">
        <v>33</v>
      </c>
      <c r="BE10" t="s">
        <v>34</v>
      </c>
      <c r="BF10" t="s">
        <v>35</v>
      </c>
      <c r="BH10">
        <v>4750</v>
      </c>
      <c r="BN10">
        <v>1220</v>
      </c>
      <c r="BQ10">
        <f>SUM(SimpleDashData83[[#This Row],[Convayance]:[Misc]])</f>
        <v>5970</v>
      </c>
      <c r="BR10">
        <v>759</v>
      </c>
      <c r="BS10">
        <v>1128</v>
      </c>
      <c r="BT10">
        <v>367</v>
      </c>
      <c r="BU10">
        <f>SUM(SimpleDashData83[[#This Row],[Male]:[Child]])</f>
        <v>2254</v>
      </c>
      <c r="BV10">
        <v>90.16</v>
      </c>
      <c r="BW10">
        <v>11270</v>
      </c>
      <c r="BZ10">
        <f>SimpleDashData83[[#This Row],[Total Expense]]/SimpleDashData83[[#This Row],[Total Patients]]</f>
        <v>2.6486246672582077</v>
      </c>
      <c r="CA10">
        <v>0</v>
      </c>
    </row>
    <row r="11" spans="1:79" x14ac:dyDescent="0.3">
      <c r="A11" s="10" t="s">
        <v>58</v>
      </c>
      <c r="B11" s="10" t="s">
        <v>59</v>
      </c>
      <c r="C11" s="10" t="s">
        <v>6</v>
      </c>
      <c r="D11" s="10" t="s">
        <v>7</v>
      </c>
      <c r="E11" s="10" t="s">
        <v>8</v>
      </c>
      <c r="F11" s="10" t="str">
        <f>IF($K$4="","Total Expense",$K$4)</f>
        <v>Total Expense</v>
      </c>
      <c r="G11" s="10" t="str">
        <f>IF($L$4="Expense Rank","Total Patients",$L$4&amp;" Patients")</f>
        <v>Total Patients</v>
      </c>
      <c r="H11" s="10" t="s">
        <v>60</v>
      </c>
      <c r="I11" s="10"/>
      <c r="J11" s="11" t="s">
        <v>58</v>
      </c>
      <c r="K11" s="11" t="s">
        <v>61</v>
      </c>
      <c r="L11" s="11" t="s">
        <v>46</v>
      </c>
      <c r="N11" s="11" t="s">
        <v>8</v>
      </c>
      <c r="O11" s="11" t="s">
        <v>62</v>
      </c>
      <c r="AI11" t="s">
        <v>14</v>
      </c>
      <c r="AJ11" s="2">
        <f>SUMIFS(SimpleDashData83[Printing],SimpleDashData83[Section],IF($A$4="All Sections","&lt;&gt;",$A$4))</f>
        <v>45183</v>
      </c>
      <c r="AK11" t="s">
        <v>17</v>
      </c>
      <c r="BA11">
        <f t="shared" si="0"/>
        <v>10</v>
      </c>
      <c r="BB11" s="12" t="s">
        <v>63</v>
      </c>
      <c r="BC11">
        <v>2010259</v>
      </c>
      <c r="BD11" t="s">
        <v>33</v>
      </c>
      <c r="BE11" t="s">
        <v>34</v>
      </c>
      <c r="BF11" t="s">
        <v>64</v>
      </c>
      <c r="BL11">
        <v>780</v>
      </c>
      <c r="BO11">
        <v>1000</v>
      </c>
      <c r="BQ11">
        <f>SUM(SimpleDashData83[[#This Row],[Convayance]:[Misc]])</f>
        <v>1780</v>
      </c>
      <c r="BR11">
        <v>1234</v>
      </c>
      <c r="BS11">
        <v>0</v>
      </c>
      <c r="BT11">
        <v>0</v>
      </c>
      <c r="BU11">
        <f>SUM(SimpleDashData83[[#This Row],[Male]:[Child]])</f>
        <v>1234</v>
      </c>
      <c r="BV11">
        <v>49.36</v>
      </c>
      <c r="BW11">
        <v>2524</v>
      </c>
      <c r="BZ11">
        <f>SimpleDashData83[[#This Row],[Total Expense]]/SimpleDashData83[[#This Row],[Total Patients]]</f>
        <v>1.4424635332252835</v>
      </c>
      <c r="CA11">
        <v>0</v>
      </c>
    </row>
    <row r="12" spans="1:79" x14ac:dyDescent="0.3">
      <c r="A12" cm="1">
        <f t="array" ref="A12">IFERROR(_xlfn.SEQUENCE(ROWS(_xlfn.ANCHORARRAY(B12))),"")</f>
        <v>1</v>
      </c>
      <c r="B12" t="str" cm="1">
        <f t="array" ref="B12">_xlfn.LET(_xlpm.r,IF($D$4&lt;&gt;"",1,IF($B$4="All Regions",1,SimpleDashData83[Region]=$B$4)),_xlpm.c,IF($D$4&lt;&gt;"",SimpleDashData83[QCNM Name]=$D$4,IF($G$4="All Clinics",1,SimpleDashData83[QCNM Name]=$G$4)),_xlpm.s,IF($A$4="All Sections",1,SimpleDashData83[Section]=$A$4),_xlpm.x,SimpleDashData83[Expense Per Patient],_xlpm.v,IF($H$10,ISNUMBER(_xlpm.x)*(SimpleDashData83[Total Patients]&gt;0),1),_xlpm.m,IF($H$10,_xlpm.x,_xlfn.SWITCH($L$4,"Total",SimpleDashData83[Total Patients],"Male",SimpleDashData83[Male],"Female",SimpleDashData83[Female],"Child",SimpleDashData83[Child],_xlfn.SWITCH($K$4,"Convayance",SimpleDashData83[Convayance],"Purchasing",SimpleDashData83[Purchasing],"Freight",SimpleDashData83[Freight],"Packing",SimpleDashData83[Packing],"Postage",SimpleDashData83[Postage],"Printing",SimpleDashData83[Printing],"Repair",SimpleDashData83[Repair],"Stationary",SimpleDashData83[Stationary],"Utilities",SimpleDashData83[Utilities],"Misc",SimpleDashData83[Misc],SimpleDashData83[Total Expense]))),IFERROR(_xlfn.SORTBY(_xlfn._xlws.FILTER(SimpleDashData83[QCNM Name],_xlpm.r*_xlpm.c*_xlpm.s*_xlpm.v),_xlfn._xlws.FILTER(_xlpm.m,_xlpm.r*_xlpm.c*_xlpm.s*_xlpm.v),-1),""))</f>
        <v>QCNM DP &amp; CF Malir, Karachi</v>
      </c>
      <c r="C12" t="str" cm="1">
        <f t="array" ref="C12">IFERROR(_xlfn.XLOOKUP(_xlfn.ANCHORARRAY(B12),SimpleDashData83[QCNM Name],SimpleDashData83[Act]),"")</f>
        <v>Trust Act</v>
      </c>
      <c r="D12" t="str" cm="1">
        <f t="array" ref="D12">IFERROR(_xlfn.XLOOKUP(_xlfn.ANCHORARRAY(B12),SimpleDashData83[QCNM Name],SimpleDashData83[Region]),"")</f>
        <v>Sindh, Balochistan &amp; AJK Region</v>
      </c>
      <c r="E12" t="str" cm="1">
        <f t="array" ref="E12">IFERROR(_xlfn.XLOOKUP(_xlfn.ANCHORARRAY(B12),SimpleDashData83[QCNM Name],SimpleDashData83[Section]),"")</f>
        <v>Prison</v>
      </c>
      <c r="F12" s="48" cm="1">
        <f t="array" ref="F12">_xlfn.LET(_xlpm.m,_xlfn.SWITCH($K$4,"Convayance",SimpleDashData83[Convayance],"Purchasing",SimpleDashData83[Purchasing],"Freight",SimpleDashData83[Freight],"Packing",SimpleDashData83[Packing],"Postage",SimpleDashData83[Postage],"Printing",SimpleDashData83[Printing],"Repair",SimpleDashData83[Repair],"Stationary",SimpleDashData83[Stationary],"Utilities",SimpleDashData83[Utilities],"Misc",SimpleDashData83[Misc],SimpleDashData83[Total Expense]),IFERROR(_xlfn.XLOOKUP(_xlfn.ANCHORARRAY(B12),SimpleDashData83[QCNM Name],_xlpm.m),""))</f>
        <v>300</v>
      </c>
      <c r="G12" s="2" cm="1">
        <f t="array" ref="G12">_xlfn.LET(_xlpm.p,_xlfn.SWITCH($L$4,"Male",SimpleDashData83[Male],"Female",SimpleDashData83[Female],"Child",SimpleDashData83[Child],SimpleDashData83[Total Patients]),IFERROR(_xlfn.XLOOKUP(_xlfn.ANCHORARRAY(B12),SimpleDashData83[QCNM Name],_xlpm.p),""))</f>
        <v>301</v>
      </c>
      <c r="H12" s="13" cm="1">
        <f t="array" ref="H12">IFERROR(_xlfn.XLOOKUP(_xlfn.ANCHORARRAY(B12),SimpleDashData83[QCNM Name],SimpleDashData83[Expense Per Patient]),"")</f>
        <v>0.99667774086378735</v>
      </c>
      <c r="I12" s="13"/>
      <c r="J12" s="14" cm="1">
        <f t="array" ref="J12:L21">_xlfn.LET(_xlpm.x,_xlfn.SORTBY($BF$152:$BG$161,$BG$152:$BG$161,-1),_xlfn.HSTACK(_xlfn.SEQUENCE(ROWS(_xlpm.x)),_xlpm.x))</f>
        <v>1</v>
      </c>
      <c r="K12" s="14" t="str">
        <v>Printing</v>
      </c>
      <c r="L12" s="15">
        <v>300</v>
      </c>
      <c r="N12" s="14" t="s">
        <v>35</v>
      </c>
      <c r="O12" s="15" cm="1">
        <f t="array" ref="O12">SUMPRODUCT((IF($D$4&lt;&gt;"",1,IF($B$4="All Regions",1,SimpleDashData83[Region]=$B$4)))*(IF($D$4&lt;&gt;"",SimpleDashData83[QCNM Name]=$D$4,IF($G$4="All Clinics",1,SimpleDashData83[QCNM Name]=$G$4)))*(IF($A$4="All Sections",1,SimpleDashData83[Section]=$A$4))*(SimpleDashData83[Section]=N12)*SimpleDashData83[Total Expense])</f>
        <v>0</v>
      </c>
      <c r="AI12" t="s">
        <v>15</v>
      </c>
      <c r="AJ12" s="2">
        <f>SUMIFS(SimpleDashData83[Repair],SimpleDashData83[Section],IF($A$4="All Sections","&lt;&gt;",$A$4))</f>
        <v>12855</v>
      </c>
      <c r="AK12" t="s">
        <v>18</v>
      </c>
      <c r="BA12">
        <f t="shared" si="0"/>
        <v>11</v>
      </c>
      <c r="BB12" s="12" t="s">
        <v>65</v>
      </c>
      <c r="BC12">
        <v>2010274</v>
      </c>
      <c r="BD12" t="s">
        <v>33</v>
      </c>
      <c r="BE12" t="s">
        <v>34</v>
      </c>
      <c r="BF12" t="s">
        <v>64</v>
      </c>
      <c r="BG12">
        <v>5000</v>
      </c>
      <c r="BH12">
        <v>15000</v>
      </c>
      <c r="BI12">
        <v>700</v>
      </c>
      <c r="BL12">
        <v>600</v>
      </c>
      <c r="BN12">
        <v>1050</v>
      </c>
      <c r="BQ12">
        <f>SUM(SimpleDashData83[[#This Row],[Convayance]:[Misc]])</f>
        <v>22350</v>
      </c>
      <c r="BR12">
        <v>2181</v>
      </c>
      <c r="BS12">
        <v>0</v>
      </c>
      <c r="BT12">
        <v>0</v>
      </c>
      <c r="BU12">
        <f>SUM(SimpleDashData83[[#This Row],[Male]:[Child]])</f>
        <v>2181</v>
      </c>
      <c r="BV12">
        <v>87.24</v>
      </c>
      <c r="BW12">
        <v>4354</v>
      </c>
      <c r="BZ12">
        <f>SimpleDashData83[[#This Row],[Total Expense]]/SimpleDashData83[[#This Row],[Total Patients]]</f>
        <v>10.247592847317744</v>
      </c>
      <c r="CA12">
        <v>0</v>
      </c>
    </row>
    <row r="13" spans="1:79" x14ac:dyDescent="0.3">
      <c r="F13" s="2"/>
      <c r="G13" s="2"/>
      <c r="H13" s="13"/>
      <c r="I13" s="13"/>
      <c r="J13" s="14">
        <v>2</v>
      </c>
      <c r="K13" s="14" t="str">
        <v>Convayance</v>
      </c>
      <c r="L13" s="15">
        <v>0</v>
      </c>
      <c r="N13" s="14" t="s">
        <v>64</v>
      </c>
      <c r="O13" s="15" cm="1">
        <f t="array" ref="O13">SUMPRODUCT((IF($D$4&lt;&gt;"",1,IF($B$4="All Regions",1,SimpleDashData83[Region]=$B$4)))*(IF($D$4&lt;&gt;"",SimpleDashData83[QCNM Name]=$D$4,IF($G$4="All Clinics",1,SimpleDashData83[QCNM Name]=$G$4)))*(IF($A$4="All Sections",1,SimpleDashData83[Section]=$A$4))*(SimpleDashData83[Section]=N13)*SimpleDashData83[Total Expense])</f>
        <v>300</v>
      </c>
      <c r="AI13" t="s">
        <v>16</v>
      </c>
      <c r="AJ13" s="2">
        <f>SUMIFS(SimpleDashData83[Stationary],SimpleDashData83[Section],IF($A$4="All Sections","&lt;&gt;",$A$4))</f>
        <v>70827</v>
      </c>
      <c r="BA13">
        <f t="shared" si="0"/>
        <v>12</v>
      </c>
      <c r="BB13" s="12" t="s">
        <v>66</v>
      </c>
      <c r="BC13">
        <v>2010281</v>
      </c>
      <c r="BD13" t="s">
        <v>33</v>
      </c>
      <c r="BE13" t="s">
        <v>34</v>
      </c>
      <c r="BF13" t="s">
        <v>64</v>
      </c>
      <c r="BH13">
        <v>1000</v>
      </c>
      <c r="BJ13">
        <v>1300</v>
      </c>
      <c r="BL13">
        <v>500</v>
      </c>
      <c r="BQ13">
        <f>SUM(SimpleDashData83[[#This Row],[Convayance]:[Misc]])</f>
        <v>2800</v>
      </c>
      <c r="BR13">
        <v>1970</v>
      </c>
      <c r="BS13">
        <v>0</v>
      </c>
      <c r="BT13">
        <v>0</v>
      </c>
      <c r="BU13">
        <f>SUM(SimpleDashData83[[#This Row],[Male]:[Child]])</f>
        <v>1970</v>
      </c>
      <c r="BV13">
        <v>78.8</v>
      </c>
      <c r="BW13">
        <v>3932</v>
      </c>
      <c r="BZ13">
        <f>SimpleDashData83[[#This Row],[Total Expense]]/SimpleDashData83[[#This Row],[Total Patients]]</f>
        <v>1.4213197969543148</v>
      </c>
      <c r="CA13">
        <v>0</v>
      </c>
    </row>
    <row r="14" spans="1:79" x14ac:dyDescent="0.3">
      <c r="F14" s="2"/>
      <c r="G14" s="2"/>
      <c r="H14" s="13"/>
      <c r="I14" s="13"/>
      <c r="J14" s="14">
        <v>3</v>
      </c>
      <c r="K14" s="14" t="str">
        <v>Purchasing</v>
      </c>
      <c r="L14" s="15">
        <v>0</v>
      </c>
      <c r="O14" s="47">
        <f>SUM(O12:O13)</f>
        <v>300</v>
      </c>
      <c r="AI14" t="s">
        <v>17</v>
      </c>
      <c r="AJ14" s="2">
        <f>SUMIFS(SimpleDashData83[Utilities],SimpleDashData83[Section],IF($A$4="All Sections","&lt;&gt;",$A$4))</f>
        <v>32538</v>
      </c>
      <c r="BA14">
        <f t="shared" si="0"/>
        <v>13</v>
      </c>
      <c r="BB14" s="12" t="s">
        <v>67</v>
      </c>
      <c r="BC14">
        <v>2010262</v>
      </c>
      <c r="BD14" t="s">
        <v>68</v>
      </c>
      <c r="BE14" t="s">
        <v>34</v>
      </c>
      <c r="BF14" t="s">
        <v>64</v>
      </c>
      <c r="BL14">
        <v>640</v>
      </c>
      <c r="BQ14">
        <f>SUM(SimpleDashData83[[#This Row],[Convayance]:[Misc]])</f>
        <v>640</v>
      </c>
      <c r="BR14">
        <v>891</v>
      </c>
      <c r="BS14">
        <v>0</v>
      </c>
      <c r="BT14">
        <v>0</v>
      </c>
      <c r="BU14">
        <f>SUM(SimpleDashData83[[#This Row],[Male]:[Child]])</f>
        <v>891</v>
      </c>
      <c r="BV14">
        <v>35.64</v>
      </c>
      <c r="BW14">
        <v>1782</v>
      </c>
      <c r="BZ14">
        <f>SimpleDashData83[[#This Row],[Total Expense]]/SimpleDashData83[[#This Row],[Total Patients]]</f>
        <v>0.71829405162738491</v>
      </c>
      <c r="CA14">
        <v>0</v>
      </c>
    </row>
    <row r="15" spans="1:79" x14ac:dyDescent="0.3">
      <c r="F15" s="2"/>
      <c r="G15" s="2"/>
      <c r="H15" s="13"/>
      <c r="I15" s="13"/>
      <c r="J15" s="14">
        <v>4</v>
      </c>
      <c r="K15" s="14" t="str">
        <v>Freight</v>
      </c>
      <c r="L15" s="15">
        <v>0</v>
      </c>
      <c r="O15" s="2"/>
      <c r="AI15" t="s">
        <v>18</v>
      </c>
      <c r="AJ15" s="2">
        <f>SUMIFS(SimpleDashData83[Misc],SimpleDashData83[Section],IF($A$4="All Sections","&lt;&gt;",$A$4))</f>
        <v>59637</v>
      </c>
      <c r="BA15">
        <f t="shared" si="0"/>
        <v>14</v>
      </c>
      <c r="BB15" s="12" t="s">
        <v>69</v>
      </c>
      <c r="BC15">
        <v>2010289</v>
      </c>
      <c r="BD15" t="s">
        <v>68</v>
      </c>
      <c r="BE15" t="s">
        <v>34</v>
      </c>
      <c r="BF15" t="s">
        <v>64</v>
      </c>
      <c r="BG15">
        <v>600</v>
      </c>
      <c r="BL15">
        <v>305</v>
      </c>
      <c r="BP15">
        <v>500</v>
      </c>
      <c r="BQ15">
        <f>SUM(SimpleDashData83[[#This Row],[Convayance]:[Misc]])</f>
        <v>1405</v>
      </c>
      <c r="BR15">
        <v>684</v>
      </c>
      <c r="BS15">
        <v>0</v>
      </c>
      <c r="BT15">
        <v>0</v>
      </c>
      <c r="BU15">
        <f>SUM(SimpleDashData83[[#This Row],[Male]:[Child]])</f>
        <v>684</v>
      </c>
      <c r="BV15">
        <v>27.36</v>
      </c>
      <c r="BW15">
        <v>1442</v>
      </c>
      <c r="BZ15">
        <f>SimpleDashData83[[#This Row],[Total Expense]]/SimpleDashData83[[#This Row],[Total Patients]]</f>
        <v>2.0540935672514622</v>
      </c>
      <c r="CA15">
        <v>0</v>
      </c>
    </row>
    <row r="16" spans="1:79" x14ac:dyDescent="0.3">
      <c r="F16" s="2"/>
      <c r="G16" s="2"/>
      <c r="H16" s="13"/>
      <c r="I16" s="13"/>
      <c r="J16" s="14">
        <v>5</v>
      </c>
      <c r="K16" s="14" t="str">
        <v>Packing</v>
      </c>
      <c r="L16" s="15">
        <v>0</v>
      </c>
      <c r="N16" s="11" t="s">
        <v>70</v>
      </c>
      <c r="O16" s="16" t="s">
        <v>71</v>
      </c>
      <c r="P16" s="16" t="s">
        <v>40</v>
      </c>
      <c r="BA16">
        <f t="shared" si="0"/>
        <v>15</v>
      </c>
      <c r="BB16" s="12" t="s">
        <v>72</v>
      </c>
      <c r="BC16">
        <v>2010241</v>
      </c>
      <c r="BD16" t="s">
        <v>33</v>
      </c>
      <c r="BE16" t="s">
        <v>34</v>
      </c>
      <c r="BF16" t="s">
        <v>64</v>
      </c>
      <c r="BG16">
        <v>500</v>
      </c>
      <c r="BI16">
        <v>200</v>
      </c>
      <c r="BJ16">
        <v>200</v>
      </c>
      <c r="BN16">
        <v>200</v>
      </c>
      <c r="BQ16">
        <f>SUM(SimpleDashData83[[#This Row],[Convayance]:[Misc]])</f>
        <v>1100</v>
      </c>
      <c r="BR16">
        <v>1135</v>
      </c>
      <c r="BS16">
        <v>0</v>
      </c>
      <c r="BT16">
        <v>0</v>
      </c>
      <c r="BU16">
        <f>SUM(SimpleDashData83[[#This Row],[Male]:[Child]])</f>
        <v>1135</v>
      </c>
      <c r="BV16">
        <v>45.4</v>
      </c>
      <c r="BW16">
        <v>2262</v>
      </c>
      <c r="BZ16">
        <f>SimpleDashData83[[#This Row],[Total Expense]]/SimpleDashData83[[#This Row],[Total Patients]]</f>
        <v>0.96916299559471364</v>
      </c>
      <c r="CA16">
        <v>0</v>
      </c>
    </row>
    <row r="17" spans="6:79" x14ac:dyDescent="0.3">
      <c r="F17" s="2"/>
      <c r="G17" s="2"/>
      <c r="H17" s="13"/>
      <c r="I17" s="13"/>
      <c r="J17" s="14">
        <v>6</v>
      </c>
      <c r="K17" s="14" t="str">
        <v>Postage</v>
      </c>
      <c r="L17" s="15">
        <v>0</v>
      </c>
      <c r="N17" s="14" t="s">
        <v>20</v>
      </c>
      <c r="O17" s="15" cm="1">
        <f t="array" ref="O17">SUMPRODUCT((IF($D$4&lt;&gt;"",1,IF($B$4="All Regions",1,SimpleDashData83[Region]=$B$4)))*(IF($D$4&lt;&gt;"",SimpleDashData83[QCNM Name]=$D$4,IF($G$4="All Clinics",1,SimpleDashData83[QCNM Name]=$G$4)))*(IF($A$4="All Sections",1,SimpleDashData83[Section]=$A$4))*SimpleDashData83[Male])</f>
        <v>301</v>
      </c>
      <c r="P17" s="63">
        <f>SUM(O17:O19)</f>
        <v>301</v>
      </c>
      <c r="BA17">
        <f t="shared" si="0"/>
        <v>16</v>
      </c>
      <c r="BB17" s="12" t="s">
        <v>73</v>
      </c>
      <c r="BC17">
        <v>2010276</v>
      </c>
      <c r="BD17" t="s">
        <v>33</v>
      </c>
      <c r="BE17" t="s">
        <v>34</v>
      </c>
      <c r="BF17" t="s">
        <v>64</v>
      </c>
      <c r="BI17">
        <v>1000</v>
      </c>
      <c r="BL17">
        <v>300</v>
      </c>
      <c r="BN17">
        <v>900</v>
      </c>
      <c r="BQ17">
        <f>SUM(SimpleDashData83[[#This Row],[Convayance]:[Misc]])</f>
        <v>2200</v>
      </c>
      <c r="BR17">
        <v>1506</v>
      </c>
      <c r="BS17">
        <v>0</v>
      </c>
      <c r="BT17">
        <v>0</v>
      </c>
      <c r="BU17">
        <f>SUM(SimpleDashData83[[#This Row],[Male]:[Child]])</f>
        <v>1506</v>
      </c>
      <c r="BV17">
        <v>60.24</v>
      </c>
      <c r="BW17">
        <v>3006</v>
      </c>
      <c r="BZ17">
        <f>SimpleDashData83[[#This Row],[Total Expense]]/SimpleDashData83[[#This Row],[Total Patients]]</f>
        <v>1.4608233731739708</v>
      </c>
      <c r="CA17">
        <v>0</v>
      </c>
    </row>
    <row r="18" spans="6:79" x14ac:dyDescent="0.3">
      <c r="F18" s="2"/>
      <c r="G18" s="2"/>
      <c r="H18" s="13"/>
      <c r="I18" s="13"/>
      <c r="J18" s="14">
        <v>7</v>
      </c>
      <c r="K18" s="14" t="str">
        <v>Repair</v>
      </c>
      <c r="L18" s="15">
        <v>0</v>
      </c>
      <c r="N18" s="14" t="s">
        <v>21</v>
      </c>
      <c r="O18" s="15" cm="1">
        <f t="array" ref="O18">SUMPRODUCT((IF($D$4&lt;&gt;"",1,IF($B$4="All Regions",1,SimpleDashData83[Region]=$B$4)))*(IF($D$4&lt;&gt;"",SimpleDashData83[QCNM Name]=$D$4,IF($G$4="All Clinics",1,SimpleDashData83[QCNM Name]=$G$4)))*(IF($A$4="All Sections",1,SimpleDashData83[Section]=$A$4))*SimpleDashData83[Female])</f>
        <v>0</v>
      </c>
      <c r="P18" s="64"/>
      <c r="BA18">
        <f t="shared" si="0"/>
        <v>17</v>
      </c>
      <c r="BB18" s="12" t="s">
        <v>74</v>
      </c>
      <c r="BC18">
        <v>2010284</v>
      </c>
      <c r="BD18" t="s">
        <v>33</v>
      </c>
      <c r="BE18" t="s">
        <v>34</v>
      </c>
      <c r="BF18" t="s">
        <v>64</v>
      </c>
      <c r="BL18">
        <v>350</v>
      </c>
      <c r="BO18">
        <v>500</v>
      </c>
      <c r="BQ18">
        <f>SUM(SimpleDashData83[[#This Row],[Convayance]:[Misc]])</f>
        <v>850</v>
      </c>
      <c r="BR18">
        <v>1836</v>
      </c>
      <c r="BS18">
        <v>0</v>
      </c>
      <c r="BT18">
        <v>0</v>
      </c>
      <c r="BU18">
        <f>SUM(SimpleDashData83[[#This Row],[Male]:[Child]])</f>
        <v>1836</v>
      </c>
      <c r="BV18">
        <v>73.44</v>
      </c>
      <c r="BW18">
        <v>3722</v>
      </c>
      <c r="BZ18">
        <f>SimpleDashData83[[#This Row],[Total Expense]]/SimpleDashData83[[#This Row],[Total Patients]]</f>
        <v>0.46296296296296297</v>
      </c>
      <c r="CA18">
        <v>0</v>
      </c>
    </row>
    <row r="19" spans="6:79" x14ac:dyDescent="0.3">
      <c r="F19" s="2"/>
      <c r="G19" s="2"/>
      <c r="H19" s="13"/>
      <c r="I19" s="13"/>
      <c r="J19" s="14">
        <v>8</v>
      </c>
      <c r="K19" s="14" t="str">
        <v>Stationary</v>
      </c>
      <c r="L19" s="15">
        <v>0</v>
      </c>
      <c r="N19" s="14" t="s">
        <v>22</v>
      </c>
      <c r="O19" s="15" cm="1">
        <f t="array" ref="O19">SUMPRODUCT((IF($D$4&lt;&gt;"",1,IF($B$4="All Regions",1,SimpleDashData83[Region]=$B$4)))*(IF($D$4&lt;&gt;"",SimpleDashData83[QCNM Name]=$D$4,IF($G$4="All Clinics",1,SimpleDashData83[QCNM Name]=$G$4)))*(IF($A$4="All Sections",1,SimpleDashData83[Section]=$A$4))*SimpleDashData83[Child])</f>
        <v>0</v>
      </c>
      <c r="P19" s="64"/>
      <c r="BA19">
        <f t="shared" si="0"/>
        <v>18</v>
      </c>
      <c r="BB19" s="12" t="s">
        <v>75</v>
      </c>
      <c r="BC19">
        <v>2010260</v>
      </c>
      <c r="BD19" t="s">
        <v>33</v>
      </c>
      <c r="BE19" t="s">
        <v>34</v>
      </c>
      <c r="BF19" t="s">
        <v>64</v>
      </c>
      <c r="BJ19">
        <v>5500</v>
      </c>
      <c r="BL19">
        <v>440</v>
      </c>
      <c r="BN19">
        <v>90</v>
      </c>
      <c r="BO19">
        <v>500</v>
      </c>
      <c r="BQ19">
        <f>SUM(SimpleDashData83[[#This Row],[Convayance]:[Misc]])</f>
        <v>6530</v>
      </c>
      <c r="BR19">
        <v>1528</v>
      </c>
      <c r="BS19">
        <v>0</v>
      </c>
      <c r="BT19">
        <v>0</v>
      </c>
      <c r="BU19">
        <f>SUM(SimpleDashData83[[#This Row],[Male]:[Child]])</f>
        <v>1528</v>
      </c>
      <c r="BV19">
        <v>61.12</v>
      </c>
      <c r="BW19">
        <v>3262</v>
      </c>
      <c r="BZ19">
        <f>SimpleDashData83[[#This Row],[Total Expense]]/SimpleDashData83[[#This Row],[Total Patients]]</f>
        <v>4.2735602094240841</v>
      </c>
      <c r="CA19">
        <v>0</v>
      </c>
    </row>
    <row r="20" spans="6:79" x14ac:dyDescent="0.3">
      <c r="F20" s="2"/>
      <c r="G20" s="2"/>
      <c r="H20" s="13"/>
      <c r="I20" s="13"/>
      <c r="J20" s="14">
        <v>9</v>
      </c>
      <c r="K20" s="14" t="str">
        <v>Utilities</v>
      </c>
      <c r="L20" s="15">
        <v>0</v>
      </c>
      <c r="BA20">
        <f t="shared" si="0"/>
        <v>19</v>
      </c>
      <c r="BB20" s="12" t="s">
        <v>76</v>
      </c>
      <c r="BC20">
        <v>2010266</v>
      </c>
      <c r="BD20" t="s">
        <v>33</v>
      </c>
      <c r="BE20" t="s">
        <v>34</v>
      </c>
      <c r="BF20" t="s">
        <v>64</v>
      </c>
      <c r="BH20">
        <v>1000</v>
      </c>
      <c r="BJ20">
        <v>6600</v>
      </c>
      <c r="BL20">
        <v>600</v>
      </c>
      <c r="BQ20">
        <f>SUM(SimpleDashData83[[#This Row],[Convayance]:[Misc]])</f>
        <v>8200</v>
      </c>
      <c r="BR20">
        <v>2327</v>
      </c>
      <c r="BS20">
        <v>264</v>
      </c>
      <c r="BT20">
        <v>0</v>
      </c>
      <c r="BU20">
        <f>SUM(SimpleDashData83[[#This Row],[Male]:[Child]])</f>
        <v>2591</v>
      </c>
      <c r="BV20">
        <v>103.64</v>
      </c>
      <c r="BW20">
        <v>5182</v>
      </c>
      <c r="BZ20">
        <f>SimpleDashData83[[#This Row],[Total Expense]]/SimpleDashData83[[#This Row],[Total Patients]]</f>
        <v>3.1648012350443846</v>
      </c>
      <c r="CA20">
        <v>0</v>
      </c>
    </row>
    <row r="21" spans="6:79" x14ac:dyDescent="0.3">
      <c r="F21" s="2"/>
      <c r="G21" s="2"/>
      <c r="H21" s="13"/>
      <c r="I21" s="13"/>
      <c r="J21" s="14">
        <v>10</v>
      </c>
      <c r="K21" s="14" t="str">
        <v>Misc</v>
      </c>
      <c r="L21" s="15">
        <v>0</v>
      </c>
      <c r="BA21">
        <f t="shared" si="0"/>
        <v>20</v>
      </c>
      <c r="BB21" s="12" t="s">
        <v>77</v>
      </c>
      <c r="BC21">
        <v>2010267</v>
      </c>
      <c r="BD21" t="s">
        <v>33</v>
      </c>
      <c r="BE21" t="s">
        <v>34</v>
      </c>
      <c r="BF21" t="s">
        <v>64</v>
      </c>
      <c r="BI21">
        <v>400</v>
      </c>
      <c r="BJ21">
        <v>450</v>
      </c>
      <c r="BL21">
        <v>340</v>
      </c>
      <c r="BQ21">
        <f>SUM(SimpleDashData83[[#This Row],[Convayance]:[Misc]])</f>
        <v>1190</v>
      </c>
      <c r="BR21">
        <v>3831</v>
      </c>
      <c r="BS21">
        <v>0</v>
      </c>
      <c r="BT21">
        <v>0</v>
      </c>
      <c r="BU21">
        <f>SUM(SimpleDashData83[[#This Row],[Male]:[Child]])</f>
        <v>3831</v>
      </c>
      <c r="BV21">
        <v>153.24</v>
      </c>
      <c r="BW21">
        <v>7760</v>
      </c>
      <c r="BZ21">
        <f>SimpleDashData83[[#This Row],[Total Expense]]/SimpleDashData83[[#This Row],[Total Patients]]</f>
        <v>0.31062385800052206</v>
      </c>
      <c r="CA21">
        <v>0</v>
      </c>
    </row>
    <row r="22" spans="6:79" x14ac:dyDescent="0.3">
      <c r="F22" s="2"/>
      <c r="G22" s="2"/>
      <c r="H22" s="13"/>
      <c r="I22" s="13"/>
      <c r="L22" s="17">
        <f>SUM(L12:L21)</f>
        <v>300</v>
      </c>
      <c r="BA22">
        <f t="shared" si="0"/>
        <v>21</v>
      </c>
      <c r="BB22" s="12" t="s">
        <v>78</v>
      </c>
      <c r="BC22">
        <v>2010293</v>
      </c>
      <c r="BD22" t="s">
        <v>33</v>
      </c>
      <c r="BE22" t="s">
        <v>34</v>
      </c>
      <c r="BF22" t="s">
        <v>64</v>
      </c>
      <c r="BJ22">
        <v>1800</v>
      </c>
      <c r="BL22">
        <v>630</v>
      </c>
      <c r="BN22">
        <v>540</v>
      </c>
      <c r="BO22">
        <v>500</v>
      </c>
      <c r="BQ22">
        <f>SUM(SimpleDashData83[[#This Row],[Convayance]:[Misc]])</f>
        <v>3470</v>
      </c>
      <c r="BR22">
        <v>1693</v>
      </c>
      <c r="BS22">
        <v>113</v>
      </c>
      <c r="BT22">
        <v>28</v>
      </c>
      <c r="BU22">
        <f>SUM(SimpleDashData83[[#This Row],[Male]:[Child]])</f>
        <v>1834</v>
      </c>
      <c r="BV22">
        <v>73.36</v>
      </c>
      <c r="BW22">
        <v>3674</v>
      </c>
      <c r="BZ22">
        <f>SimpleDashData83[[#This Row],[Total Expense]]/SimpleDashData83[[#This Row],[Total Patients]]</f>
        <v>1.8920392584514723</v>
      </c>
      <c r="CA22">
        <v>0</v>
      </c>
    </row>
    <row r="23" spans="6:79" x14ac:dyDescent="0.3">
      <c r="F23" s="2"/>
      <c r="G23" s="2"/>
      <c r="H23" s="13"/>
      <c r="I23" s="13"/>
      <c r="J23" s="65" t="s">
        <v>79</v>
      </c>
      <c r="K23" s="65"/>
      <c r="L23" s="65"/>
      <c r="M23" s="65"/>
      <c r="N23" s="65"/>
      <c r="P23" s="65" t="s">
        <v>80</v>
      </c>
      <c r="Q23" s="65"/>
      <c r="R23" s="65"/>
      <c r="S23" s="65"/>
      <c r="T23" s="65"/>
      <c r="V23" s="66" t="s">
        <v>81</v>
      </c>
      <c r="W23" s="67"/>
      <c r="X23" s="68"/>
      <c r="BA23">
        <f t="shared" si="0"/>
        <v>22</v>
      </c>
      <c r="BB23" s="12" t="s">
        <v>82</v>
      </c>
      <c r="BC23">
        <v>2010297</v>
      </c>
      <c r="BD23" t="s">
        <v>33</v>
      </c>
      <c r="BE23" t="s">
        <v>34</v>
      </c>
      <c r="BF23" t="s">
        <v>64</v>
      </c>
      <c r="BJ23">
        <v>900</v>
      </c>
      <c r="BL23">
        <v>500</v>
      </c>
      <c r="BP23">
        <v>500</v>
      </c>
      <c r="BQ23">
        <f>SUM(SimpleDashData83[[#This Row],[Convayance]:[Misc]])</f>
        <v>1900</v>
      </c>
      <c r="BR23">
        <v>1480</v>
      </c>
      <c r="BS23">
        <v>0</v>
      </c>
      <c r="BT23">
        <v>0</v>
      </c>
      <c r="BU23">
        <f>SUM(SimpleDashData83[[#This Row],[Male]:[Child]])</f>
        <v>1480</v>
      </c>
      <c r="BV23">
        <v>59.2</v>
      </c>
      <c r="BW23">
        <v>2966</v>
      </c>
      <c r="BZ23">
        <f>SimpleDashData83[[#This Row],[Total Expense]]/SimpleDashData83[[#This Row],[Total Patients]]</f>
        <v>1.2837837837837838</v>
      </c>
      <c r="CA23">
        <v>0</v>
      </c>
    </row>
    <row r="24" spans="6:79" x14ac:dyDescent="0.3">
      <c r="F24" s="2"/>
      <c r="G24" s="2"/>
      <c r="H24" s="13"/>
      <c r="I24" s="13"/>
      <c r="J24" s="18" t="s">
        <v>58</v>
      </c>
      <c r="K24" s="18" t="s">
        <v>7</v>
      </c>
      <c r="L24" s="18" t="s">
        <v>23</v>
      </c>
      <c r="M24" s="18" t="s">
        <v>49</v>
      </c>
      <c r="N24" s="18" t="s">
        <v>83</v>
      </c>
      <c r="P24" s="18" t="s">
        <v>58</v>
      </c>
      <c r="Q24" s="18" t="s">
        <v>7</v>
      </c>
      <c r="R24" s="18" t="s">
        <v>19</v>
      </c>
      <c r="S24" s="18" t="s">
        <v>49</v>
      </c>
      <c r="T24" s="18" t="s">
        <v>50</v>
      </c>
      <c r="V24" s="18" t="s">
        <v>58</v>
      </c>
      <c r="W24" s="18" t="s">
        <v>84</v>
      </c>
      <c r="X24" s="18" t="s">
        <v>19</v>
      </c>
      <c r="BA24">
        <f t="shared" si="0"/>
        <v>23</v>
      </c>
      <c r="BB24" s="12" t="s">
        <v>85</v>
      </c>
      <c r="BC24">
        <v>2010401</v>
      </c>
      <c r="BD24" t="s">
        <v>68</v>
      </c>
      <c r="BE24" t="s">
        <v>34</v>
      </c>
      <c r="BF24" t="s">
        <v>64</v>
      </c>
      <c r="BH24">
        <v>1500</v>
      </c>
      <c r="BL24">
        <v>300</v>
      </c>
      <c r="BN24">
        <v>440</v>
      </c>
      <c r="BO24">
        <v>500</v>
      </c>
      <c r="BQ24">
        <f>SUM(SimpleDashData83[[#This Row],[Convayance]:[Misc]])</f>
        <v>2740</v>
      </c>
      <c r="BR24">
        <v>758</v>
      </c>
      <c r="BS24">
        <v>5</v>
      </c>
      <c r="BT24">
        <v>0</v>
      </c>
      <c r="BU24">
        <f>SUM(SimpleDashData83[[#This Row],[Male]:[Child]])</f>
        <v>763</v>
      </c>
      <c r="BV24">
        <v>30.52</v>
      </c>
      <c r="BW24">
        <v>1518</v>
      </c>
      <c r="BZ24">
        <f>SimpleDashData83[[#This Row],[Total Expense]]/SimpleDashData83[[#This Row],[Total Patients]]</f>
        <v>3.5910878112712976</v>
      </c>
      <c r="CA24">
        <v>0</v>
      </c>
    </row>
    <row r="25" spans="6:79" ht="27.6" x14ac:dyDescent="0.3">
      <c r="F25" s="2"/>
      <c r="G25" s="2"/>
      <c r="H25" s="13"/>
      <c r="I25" s="13"/>
      <c r="J25" s="19" cm="1">
        <f t="array" ref="J25:J28">_xlfn.SEQUENCE(ROWS(_xlfn.ANCHORARRAY(K25)))</f>
        <v>1</v>
      </c>
      <c r="K25" s="20" t="str" cm="1">
        <f t="array" ref="K25:K28">_xlfn.LET(_xlpm.z,IF($A$4="All Sections","&lt;&gt;",$A$4),_xlpm.u,_xlfn.UNIQUE(_xlfn._xlws.FILTER(SimpleDashData83[Region],IF($A$4="All Sections",SimpleDashData83[Section]&lt;&gt;"",SimpleDashData83[Section]=$A$4))),_xlfn.SORTBY(_xlpm.u,SUMIFS(SimpleDashData83[Total Patients],SimpleDashData83[Region],_xlpm.u,SimpleDashData83[Section],_xlpm.z),-1))</f>
        <v>South &amp; North Punjab Region</v>
      </c>
      <c r="L25" s="49" cm="1">
        <f t="array" ref="L25:L28">SUMIFS(SimpleDashData83[Total Patients],SimpleDashData83[Region],_xlfn.ANCHORARRAY(K25),SimpleDashData83[Section],IF($A$4="All Sections","&lt;&gt;",$A$4))</f>
        <v>79884</v>
      </c>
      <c r="M25" s="21" cm="1">
        <f t="array" ref="M25:M28">COUNTIFS(SimpleDashData83[Region],_xlfn.ANCHORARRAY(K25),SimpleDashData83[Section],IF($A$4="All Sections","&lt;&gt;",$A$4))</f>
        <v>36</v>
      </c>
      <c r="N25" s="22" cm="1">
        <f t="array" ref="N25:N28">_xlfn.ANCHORARRAY(L25)/_xlfn.ANCHORARRAY(M25)</f>
        <v>2219</v>
      </c>
      <c r="P25" s="19" cm="1">
        <f t="array" ref="P25:P28">_xlfn.SEQUENCE(ROWS(_xlfn.ANCHORARRAY(Q25)))</f>
        <v>1</v>
      </c>
      <c r="Q25" s="20" t="str" cm="1">
        <f t="array" ref="Q25:Q28">_xlfn.LET(_xlpm.z,IF($A$4="All Sections","&lt;&gt;",$A$4),_xlpm.u,_xlfn.UNIQUE(_xlfn._xlws.FILTER(SimpleDashData83[Region],IF($A$4="All Sections",SimpleDashData83[Section]&lt;&gt;"",SimpleDashData83[Section]=$A$4))),_xlfn.SORTBY(_xlpm.u,SUMIFS(SimpleDashData83[Total Expense],SimpleDashData83[Region],_xlpm.u,SimpleDashData83[Section],_xlpm.z),-1))</f>
        <v>Central Punjab Region</v>
      </c>
      <c r="R25" s="49" cm="1">
        <f t="array" ref="R25:R28">SUMIFS(SimpleDashData83[Total Expense],SimpleDashData83[Region],_xlfn.ANCHORARRAY(Q25),SimpleDashData83[Section],IF($A$4="All Sections","&lt;&gt;",$A$4))</f>
        <v>319333</v>
      </c>
      <c r="S25" s="21" cm="1">
        <f t="array" ref="S25:S28">COUNTIFS(SimpleDashData83[Region],_xlfn.ANCHORARRAY(Q25),SimpleDashData83[Section],IF($A$4="All Sections","&lt;&gt;",$A$4))</f>
        <v>34</v>
      </c>
      <c r="T25" s="23" cm="1">
        <f t="array" ref="T25:T28">IFERROR(_xlfn.ANCHORARRAY(R25)/SUMIFS(SimpleDashData83[Total Patients],SimpleDashData83[Region],_xlfn.ANCHORARRAY(Q25),SimpleDashData83[Section],IF($A$4="All Sections","&lt;&gt;",$A$4)),0)</f>
        <v>5.0128408395209014</v>
      </c>
      <c r="V25" s="19">
        <v>1</v>
      </c>
      <c r="W25" s="20" t="s">
        <v>33</v>
      </c>
      <c r="X25" s="21"/>
      <c r="BA25">
        <f t="shared" si="0"/>
        <v>24</v>
      </c>
      <c r="BB25" s="12" t="s">
        <v>86</v>
      </c>
      <c r="BC25">
        <v>2010299</v>
      </c>
      <c r="BD25" t="s">
        <v>68</v>
      </c>
      <c r="BE25" t="s">
        <v>34</v>
      </c>
      <c r="BF25" t="s">
        <v>64</v>
      </c>
      <c r="BL25">
        <v>530</v>
      </c>
      <c r="BO25">
        <v>500</v>
      </c>
      <c r="BQ25">
        <f>SUM(SimpleDashData83[[#This Row],[Convayance]:[Misc]])</f>
        <v>1030</v>
      </c>
      <c r="BR25">
        <v>734</v>
      </c>
      <c r="BS25">
        <v>0</v>
      </c>
      <c r="BT25">
        <v>0</v>
      </c>
      <c r="BU25">
        <f>SUM(SimpleDashData83[[#This Row],[Male]:[Child]])</f>
        <v>734</v>
      </c>
      <c r="BV25">
        <v>29.36</v>
      </c>
      <c r="BW25">
        <v>1784</v>
      </c>
      <c r="BZ25">
        <f>SimpleDashData83[[#This Row],[Total Expense]]/SimpleDashData83[[#This Row],[Total Patients]]</f>
        <v>1.4032697547683923</v>
      </c>
      <c r="CA25">
        <v>0</v>
      </c>
    </row>
    <row r="26" spans="6:79" ht="27.6" x14ac:dyDescent="0.3">
      <c r="F26" s="2"/>
      <c r="G26" s="2"/>
      <c r="H26" s="13"/>
      <c r="I26" s="13"/>
      <c r="J26" s="19">
        <v>2</v>
      </c>
      <c r="K26" s="20" t="str">
        <v>Central Punjab Region</v>
      </c>
      <c r="L26" s="49">
        <v>63703</v>
      </c>
      <c r="M26" s="21">
        <v>34</v>
      </c>
      <c r="N26" s="22">
        <v>1873.6176470588234</v>
      </c>
      <c r="P26" s="19">
        <v>2</v>
      </c>
      <c r="Q26" s="20" t="str">
        <v>South &amp; North Punjab Region</v>
      </c>
      <c r="R26" s="49">
        <v>281782</v>
      </c>
      <c r="S26" s="21">
        <v>36</v>
      </c>
      <c r="T26" s="23">
        <v>3.5273897150868758</v>
      </c>
      <c r="V26" s="19">
        <v>2</v>
      </c>
      <c r="W26" s="20" t="s">
        <v>87</v>
      </c>
      <c r="X26" s="21"/>
      <c r="BA26">
        <f t="shared" si="0"/>
        <v>25</v>
      </c>
      <c r="BB26" s="12" t="s">
        <v>88</v>
      </c>
      <c r="BC26">
        <v>2010295</v>
      </c>
      <c r="BD26" t="s">
        <v>33</v>
      </c>
      <c r="BE26" t="s">
        <v>34</v>
      </c>
      <c r="BF26" t="s">
        <v>64</v>
      </c>
      <c r="BJ26">
        <v>2050</v>
      </c>
      <c r="BN26">
        <v>480</v>
      </c>
      <c r="BO26">
        <v>600</v>
      </c>
      <c r="BP26">
        <v>500</v>
      </c>
      <c r="BQ26">
        <f>SUM(SimpleDashData83[[#This Row],[Convayance]:[Misc]])</f>
        <v>3630</v>
      </c>
      <c r="BR26">
        <v>1221</v>
      </c>
      <c r="BS26">
        <v>0</v>
      </c>
      <c r="BT26">
        <v>0</v>
      </c>
      <c r="BU26">
        <f>SUM(SimpleDashData83[[#This Row],[Male]:[Child]])</f>
        <v>1221</v>
      </c>
      <c r="BV26">
        <v>48.84</v>
      </c>
      <c r="BW26">
        <v>2440</v>
      </c>
      <c r="BZ26">
        <f>SimpleDashData83[[#This Row],[Total Expense]]/SimpleDashData83[[#This Row],[Total Patients]]</f>
        <v>2.9729729729729728</v>
      </c>
      <c r="CA26">
        <v>0</v>
      </c>
    </row>
    <row r="27" spans="6:79" ht="28.8" customHeight="1" x14ac:dyDescent="0.3">
      <c r="F27" s="2"/>
      <c r="G27" s="2"/>
      <c r="H27" s="13"/>
      <c r="I27" s="13"/>
      <c r="J27" s="19">
        <v>3</v>
      </c>
      <c r="K27" s="20" t="str">
        <v>Capital Region</v>
      </c>
      <c r="L27" s="49">
        <v>53389</v>
      </c>
      <c r="M27" s="21">
        <v>34</v>
      </c>
      <c r="N27" s="22">
        <v>1570.2647058823529</v>
      </c>
      <c r="P27" s="19">
        <v>3</v>
      </c>
      <c r="Q27" s="20" t="str">
        <v>Capital Region</v>
      </c>
      <c r="R27" s="49">
        <v>172895</v>
      </c>
      <c r="S27" s="21">
        <v>34</v>
      </c>
      <c r="T27" s="23">
        <v>3.238401168780086</v>
      </c>
      <c r="V27" s="19">
        <v>3</v>
      </c>
      <c r="W27" s="20" t="s">
        <v>89</v>
      </c>
      <c r="X27" s="21"/>
      <c r="BA27">
        <f t="shared" si="0"/>
        <v>26</v>
      </c>
      <c r="BB27" s="12" t="s">
        <v>90</v>
      </c>
      <c r="BC27">
        <v>2010294</v>
      </c>
      <c r="BD27" t="s">
        <v>33</v>
      </c>
      <c r="BE27" t="s">
        <v>34</v>
      </c>
      <c r="BF27" t="s">
        <v>64</v>
      </c>
      <c r="BJ27">
        <v>1200</v>
      </c>
      <c r="BL27">
        <v>600</v>
      </c>
      <c r="BQ27">
        <f>SUM(SimpleDashData83[[#This Row],[Convayance]:[Misc]])</f>
        <v>1800</v>
      </c>
      <c r="BR27">
        <v>1302</v>
      </c>
      <c r="BS27">
        <v>0</v>
      </c>
      <c r="BT27">
        <v>0</v>
      </c>
      <c r="BU27">
        <f>SUM(SimpleDashData83[[#This Row],[Male]:[Child]])</f>
        <v>1302</v>
      </c>
      <c r="BV27">
        <v>52.08</v>
      </c>
      <c r="BW27">
        <v>2604</v>
      </c>
      <c r="BZ27">
        <f>SimpleDashData83[[#This Row],[Total Expense]]/SimpleDashData83[[#This Row],[Total Patients]]</f>
        <v>1.3824884792626728</v>
      </c>
      <c r="CA27">
        <v>0</v>
      </c>
    </row>
    <row r="28" spans="6:79" ht="31.2" customHeight="1" x14ac:dyDescent="0.3">
      <c r="F28" s="2"/>
      <c r="G28" s="2"/>
      <c r="H28" s="13"/>
      <c r="I28" s="13"/>
      <c r="J28" s="19">
        <v>4</v>
      </c>
      <c r="K28" s="20" t="str">
        <v>Sindh, Balochistan &amp; AJK Region</v>
      </c>
      <c r="L28" s="49">
        <v>46089</v>
      </c>
      <c r="M28" s="21">
        <v>33</v>
      </c>
      <c r="N28" s="22">
        <v>1396.6363636363637</v>
      </c>
      <c r="P28" s="19">
        <v>4</v>
      </c>
      <c r="Q28" s="20" t="str">
        <v>Sindh, Balochistan &amp; AJK Region</v>
      </c>
      <c r="R28" s="49">
        <v>150819</v>
      </c>
      <c r="S28" s="21">
        <v>33</v>
      </c>
      <c r="T28" s="23">
        <v>3.2723426414111829</v>
      </c>
      <c r="V28" s="19"/>
      <c r="W28" s="24" t="s">
        <v>40</v>
      </c>
      <c r="X28" s="25">
        <f>SUM(X25:X27)</f>
        <v>0</v>
      </c>
      <c r="BA28">
        <f t="shared" si="0"/>
        <v>27</v>
      </c>
      <c r="BB28" s="12" t="s">
        <v>91</v>
      </c>
      <c r="BC28">
        <v>2010409</v>
      </c>
      <c r="BD28" t="s">
        <v>33</v>
      </c>
      <c r="BE28" t="s">
        <v>34</v>
      </c>
      <c r="BF28" t="s">
        <v>64</v>
      </c>
      <c r="BQ28">
        <f>SUM(SimpleDashData83[[#This Row],[Convayance]:[Misc]])</f>
        <v>0</v>
      </c>
      <c r="BR28">
        <v>1448</v>
      </c>
      <c r="BS28">
        <v>0</v>
      </c>
      <c r="BT28">
        <v>0</v>
      </c>
      <c r="BU28">
        <f>SUM(SimpleDashData83[[#This Row],[Male]:[Child]])</f>
        <v>1448</v>
      </c>
      <c r="BV28">
        <v>57.92</v>
      </c>
      <c r="BW28">
        <v>2896</v>
      </c>
      <c r="BZ28">
        <f>SimpleDashData83[[#This Row],[Total Expense]]/SimpleDashData83[[#This Row],[Total Patients]]</f>
        <v>0</v>
      </c>
      <c r="CA28">
        <v>0</v>
      </c>
    </row>
    <row r="29" spans="6:79" x14ac:dyDescent="0.3">
      <c r="F29" s="2"/>
      <c r="G29" s="2"/>
      <c r="H29" s="13"/>
      <c r="I29" s="13"/>
      <c r="L29" s="26">
        <f>SUM(_xlfn.ANCHORARRAY(L25))</f>
        <v>243065</v>
      </c>
      <c r="M29" s="60">
        <f>SUM(_xlfn.ANCHORARRAY(M25))</f>
        <v>137</v>
      </c>
      <c r="N29" s="2">
        <f>SUM(_xlfn.ANCHORARRAY(N25))</f>
        <v>7059.5187165775405</v>
      </c>
      <c r="R29" s="26">
        <f>SUM(_xlfn.ANCHORARRAY(R25))</f>
        <v>924829</v>
      </c>
      <c r="S29" s="2">
        <f>SUM(_xlfn.ANCHORARRAY(S25))</f>
        <v>137</v>
      </c>
      <c r="T29" s="2"/>
      <c r="BA29">
        <f t="shared" si="0"/>
        <v>28</v>
      </c>
      <c r="BB29" s="12" t="s">
        <v>92</v>
      </c>
      <c r="BC29">
        <v>2010405</v>
      </c>
      <c r="BD29" t="s">
        <v>33</v>
      </c>
      <c r="BE29" t="s">
        <v>34</v>
      </c>
      <c r="BF29" t="s">
        <v>64</v>
      </c>
      <c r="BH29">
        <v>500</v>
      </c>
      <c r="BI29">
        <v>900</v>
      </c>
      <c r="BQ29">
        <f>SUM(SimpleDashData83[[#This Row],[Convayance]:[Misc]])</f>
        <v>1400</v>
      </c>
      <c r="BR29">
        <v>1896</v>
      </c>
      <c r="BS29">
        <v>0</v>
      </c>
      <c r="BT29">
        <v>0</v>
      </c>
      <c r="BU29">
        <f>SUM(SimpleDashData83[[#This Row],[Male]:[Child]])</f>
        <v>1896</v>
      </c>
      <c r="BV29">
        <v>75.84</v>
      </c>
      <c r="BW29">
        <v>3788</v>
      </c>
      <c r="BZ29">
        <f>SimpleDashData83[[#This Row],[Total Expense]]/SimpleDashData83[[#This Row],[Total Patients]]</f>
        <v>0.73839662447257381</v>
      </c>
      <c r="CA29">
        <v>0</v>
      </c>
    </row>
    <row r="30" spans="6:79" x14ac:dyDescent="0.3">
      <c r="F30" s="2"/>
      <c r="G30" s="2"/>
      <c r="H30" s="13"/>
      <c r="I30" s="13"/>
      <c r="BA30">
        <f t="shared" si="0"/>
        <v>29</v>
      </c>
      <c r="BB30" s="12" t="s">
        <v>93</v>
      </c>
      <c r="BC30">
        <v>2010403</v>
      </c>
      <c r="BD30" t="s">
        <v>33</v>
      </c>
      <c r="BE30" t="s">
        <v>34</v>
      </c>
      <c r="BF30" t="s">
        <v>64</v>
      </c>
      <c r="BJ30">
        <v>5200</v>
      </c>
      <c r="BL30">
        <v>460</v>
      </c>
      <c r="BQ30">
        <f>SUM(SimpleDashData83[[#This Row],[Convayance]:[Misc]])</f>
        <v>5660</v>
      </c>
      <c r="BR30">
        <v>1479</v>
      </c>
      <c r="BS30">
        <v>0</v>
      </c>
      <c r="BT30">
        <v>0</v>
      </c>
      <c r="BU30">
        <f>SUM(SimpleDashData83[[#This Row],[Male]:[Child]])</f>
        <v>1479</v>
      </c>
      <c r="BV30">
        <v>59.16</v>
      </c>
      <c r="BW30">
        <v>2958</v>
      </c>
      <c r="BZ30">
        <f>SimpleDashData83[[#This Row],[Total Expense]]/SimpleDashData83[[#This Row],[Total Patients]]</f>
        <v>3.8269100743745774</v>
      </c>
      <c r="CA30">
        <v>0</v>
      </c>
    </row>
    <row r="31" spans="6:79" x14ac:dyDescent="0.3">
      <c r="F31" s="2"/>
      <c r="G31" s="2"/>
      <c r="H31" s="13"/>
      <c r="I31" s="13"/>
      <c r="BA31">
        <f t="shared" si="0"/>
        <v>30</v>
      </c>
      <c r="BB31" s="12" t="s">
        <v>94</v>
      </c>
      <c r="BC31">
        <v>2010404</v>
      </c>
      <c r="BD31" t="s">
        <v>33</v>
      </c>
      <c r="BE31" t="s">
        <v>34</v>
      </c>
      <c r="BF31" t="s">
        <v>64</v>
      </c>
      <c r="BH31">
        <v>500</v>
      </c>
      <c r="BL31">
        <v>580</v>
      </c>
      <c r="BQ31">
        <f>SUM(SimpleDashData83[[#This Row],[Convayance]:[Misc]])</f>
        <v>1080</v>
      </c>
      <c r="BR31">
        <v>1149</v>
      </c>
      <c r="BS31">
        <v>0</v>
      </c>
      <c r="BT31">
        <v>0</v>
      </c>
      <c r="BU31">
        <f>SUM(SimpleDashData83[[#This Row],[Male]:[Child]])</f>
        <v>1149</v>
      </c>
      <c r="BV31">
        <v>45.96</v>
      </c>
      <c r="BW31">
        <v>2300</v>
      </c>
      <c r="BZ31">
        <f>SimpleDashData83[[#This Row],[Total Expense]]/SimpleDashData83[[#This Row],[Total Patients]]</f>
        <v>0.93994778067885121</v>
      </c>
      <c r="CA31">
        <v>0</v>
      </c>
    </row>
    <row r="32" spans="6:79" x14ac:dyDescent="0.3">
      <c r="F32" s="2"/>
      <c r="G32" s="2"/>
      <c r="H32" s="13"/>
      <c r="I32" s="13"/>
      <c r="BA32">
        <f t="shared" si="0"/>
        <v>31</v>
      </c>
      <c r="BB32" s="12" t="s">
        <v>95</v>
      </c>
      <c r="BC32">
        <v>2010406</v>
      </c>
      <c r="BD32" t="s">
        <v>33</v>
      </c>
      <c r="BE32" t="s">
        <v>34</v>
      </c>
      <c r="BF32" t="s">
        <v>64</v>
      </c>
      <c r="BL32">
        <v>1000</v>
      </c>
      <c r="BN32">
        <v>1200</v>
      </c>
      <c r="BP32">
        <v>0</v>
      </c>
      <c r="BQ32">
        <f>SUM(SimpleDashData83[[#This Row],[Convayance]:[Misc]])</f>
        <v>2200</v>
      </c>
      <c r="BR32">
        <v>932</v>
      </c>
      <c r="BS32">
        <v>15</v>
      </c>
      <c r="BT32">
        <v>20</v>
      </c>
      <c r="BU32">
        <f>SUM(SimpleDashData83[[#This Row],[Male]:[Child]])</f>
        <v>967</v>
      </c>
      <c r="BV32">
        <v>38.68</v>
      </c>
      <c r="BW32">
        <v>1938</v>
      </c>
      <c r="BZ32">
        <f>SimpleDashData83[[#This Row],[Total Expense]]/SimpleDashData83[[#This Row],[Total Patients]]</f>
        <v>2.2750775594622543</v>
      </c>
      <c r="CA32">
        <v>0</v>
      </c>
    </row>
    <row r="33" spans="6:79" x14ac:dyDescent="0.3">
      <c r="F33" s="2"/>
      <c r="G33" s="2"/>
      <c r="H33" s="13"/>
      <c r="I33" s="13"/>
      <c r="BA33">
        <f t="shared" si="0"/>
        <v>32</v>
      </c>
      <c r="BB33" s="12" t="s">
        <v>96</v>
      </c>
      <c r="BC33">
        <v>2010407</v>
      </c>
      <c r="BD33" t="s">
        <v>33</v>
      </c>
      <c r="BE33" t="s">
        <v>34</v>
      </c>
      <c r="BF33" t="s">
        <v>64</v>
      </c>
      <c r="BH33">
        <v>500</v>
      </c>
      <c r="BJ33">
        <v>4500</v>
      </c>
      <c r="BL33">
        <v>500</v>
      </c>
      <c r="BQ33">
        <f>SUM(SimpleDashData83[[#This Row],[Convayance]:[Misc]])</f>
        <v>5500</v>
      </c>
      <c r="BR33">
        <v>1340</v>
      </c>
      <c r="BS33">
        <v>37</v>
      </c>
      <c r="BT33">
        <v>67</v>
      </c>
      <c r="BU33">
        <f>SUM(SimpleDashData83[[#This Row],[Male]:[Child]])</f>
        <v>1444</v>
      </c>
      <c r="BV33">
        <v>57.76</v>
      </c>
      <c r="BW33">
        <v>2950</v>
      </c>
      <c r="BZ33">
        <f>SimpleDashData83[[#This Row],[Total Expense]]/SimpleDashData83[[#This Row],[Total Patients]]</f>
        <v>3.8088642659279777</v>
      </c>
      <c r="CA33">
        <v>0</v>
      </c>
    </row>
    <row r="34" spans="6:79" x14ac:dyDescent="0.3">
      <c r="F34" s="2"/>
      <c r="G34" s="2"/>
      <c r="H34" s="13"/>
      <c r="I34" s="13"/>
      <c r="BA34">
        <f t="shared" si="0"/>
        <v>33</v>
      </c>
      <c r="BB34" s="12" t="s">
        <v>97</v>
      </c>
      <c r="BC34">
        <v>2010408</v>
      </c>
      <c r="BD34" t="s">
        <v>33</v>
      </c>
      <c r="BE34" t="s">
        <v>34</v>
      </c>
      <c r="BF34" t="s">
        <v>64</v>
      </c>
      <c r="BL34">
        <v>600</v>
      </c>
      <c r="BQ34">
        <f>SUM(SimpleDashData83[[#This Row],[Convayance]:[Misc]])</f>
        <v>600</v>
      </c>
      <c r="BR34">
        <v>1524</v>
      </c>
      <c r="BS34">
        <v>0</v>
      </c>
      <c r="BT34">
        <v>0</v>
      </c>
      <c r="BU34">
        <f>SUM(SimpleDashData83[[#This Row],[Male]:[Child]])</f>
        <v>1524</v>
      </c>
      <c r="BV34">
        <v>60.96</v>
      </c>
      <c r="BW34">
        <v>3048</v>
      </c>
      <c r="BZ34">
        <f>SimpleDashData83[[#This Row],[Total Expense]]/SimpleDashData83[[#This Row],[Total Patients]]</f>
        <v>0.39370078740157483</v>
      </c>
      <c r="CA34">
        <v>0</v>
      </c>
    </row>
    <row r="35" spans="6:79" x14ac:dyDescent="0.3">
      <c r="F35" s="2"/>
      <c r="G35" s="2"/>
      <c r="H35" s="13"/>
      <c r="I35" s="13"/>
      <c r="BA35">
        <f t="shared" si="0"/>
        <v>34</v>
      </c>
      <c r="BB35" s="12" t="s">
        <v>98</v>
      </c>
      <c r="BD35" t="s">
        <v>33</v>
      </c>
      <c r="BE35" t="s">
        <v>34</v>
      </c>
      <c r="BF35" t="s">
        <v>64</v>
      </c>
      <c r="BQ35">
        <f>SUM(SimpleDashData83[[#This Row],[Convayance]:[Misc]])</f>
        <v>0</v>
      </c>
      <c r="BR35">
        <v>920</v>
      </c>
      <c r="BS35">
        <v>0</v>
      </c>
      <c r="BT35">
        <v>0</v>
      </c>
      <c r="BU35">
        <f>SUM(SimpleDashData83[[#This Row],[Male]:[Child]])</f>
        <v>920</v>
      </c>
      <c r="BV35">
        <v>36.799999999999997</v>
      </c>
      <c r="BW35">
        <v>1840</v>
      </c>
      <c r="BZ35">
        <f>SimpleDashData83[[#This Row],[Total Expense]]/SimpleDashData83[[#This Row],[Total Patients]]</f>
        <v>0</v>
      </c>
      <c r="CA35">
        <v>0</v>
      </c>
    </row>
    <row r="36" spans="6:79" x14ac:dyDescent="0.3">
      <c r="F36" s="2"/>
      <c r="G36" s="2"/>
      <c r="H36" s="13"/>
      <c r="I36" s="13"/>
      <c r="BA36">
        <f t="shared" si="0"/>
        <v>35</v>
      </c>
      <c r="BB36" s="27" t="s">
        <v>99</v>
      </c>
      <c r="BC36">
        <v>2010252</v>
      </c>
      <c r="BD36" t="s">
        <v>33</v>
      </c>
      <c r="BE36" t="s">
        <v>100</v>
      </c>
      <c r="BF36" t="s">
        <v>35</v>
      </c>
      <c r="BG36">
        <v>9200</v>
      </c>
      <c r="BJ36">
        <v>8400</v>
      </c>
      <c r="BL36">
        <v>1000</v>
      </c>
      <c r="BP36">
        <v>3030</v>
      </c>
      <c r="BQ36">
        <f>SUM(SimpleDashData83[[#This Row],[Convayance]:[Misc]])</f>
        <v>21630</v>
      </c>
      <c r="BR36">
        <v>621</v>
      </c>
      <c r="BS36">
        <v>854</v>
      </c>
      <c r="BT36">
        <v>458</v>
      </c>
      <c r="BU36">
        <f>SUM(SimpleDashData83[[#This Row],[Male]:[Child]])</f>
        <v>1933</v>
      </c>
      <c r="BV36">
        <v>77.319999999999993</v>
      </c>
      <c r="BW36">
        <v>7726</v>
      </c>
      <c r="BZ36">
        <f>SimpleDashData83[[#This Row],[Total Expense]]/SimpleDashData83[[#This Row],[Total Patients]]</f>
        <v>11.189860320744955</v>
      </c>
      <c r="CA36">
        <v>0</v>
      </c>
    </row>
    <row r="37" spans="6:79" x14ac:dyDescent="0.3">
      <c r="F37" s="2"/>
      <c r="G37" s="2"/>
      <c r="H37" s="13"/>
      <c r="I37" s="13"/>
      <c r="BA37">
        <f t="shared" si="0"/>
        <v>36</v>
      </c>
      <c r="BB37" s="27" t="s">
        <v>101</v>
      </c>
      <c r="BC37">
        <v>2010202</v>
      </c>
      <c r="BD37" t="s">
        <v>33</v>
      </c>
      <c r="BE37" t="s">
        <v>100</v>
      </c>
      <c r="BF37" t="s">
        <v>35</v>
      </c>
      <c r="BG37">
        <v>400</v>
      </c>
      <c r="BI37">
        <v>985</v>
      </c>
      <c r="BJ37">
        <v>13500</v>
      </c>
      <c r="BL37">
        <v>650</v>
      </c>
      <c r="BM37">
        <v>500</v>
      </c>
      <c r="BP37">
        <v>7419</v>
      </c>
      <c r="BQ37">
        <f>SUM(SimpleDashData83[[#This Row],[Convayance]:[Misc]])</f>
        <v>23454</v>
      </c>
      <c r="BR37">
        <v>1424</v>
      </c>
      <c r="BS37">
        <v>721</v>
      </c>
      <c r="BT37">
        <v>252</v>
      </c>
      <c r="BU37">
        <f>SUM(SimpleDashData83[[#This Row],[Male]:[Child]])</f>
        <v>2397</v>
      </c>
      <c r="BV37">
        <v>95.88</v>
      </c>
      <c r="BW37">
        <v>11491</v>
      </c>
      <c r="BZ37">
        <f>SimpleDashData83[[#This Row],[Total Expense]]/SimpleDashData83[[#This Row],[Total Patients]]</f>
        <v>9.7847309136420524</v>
      </c>
      <c r="CA37">
        <v>0</v>
      </c>
    </row>
    <row r="38" spans="6:79" x14ac:dyDescent="0.3">
      <c r="F38" s="2"/>
      <c r="G38" s="2"/>
      <c r="H38" s="13"/>
      <c r="I38" s="13"/>
      <c r="BA38">
        <f t="shared" si="0"/>
        <v>37</v>
      </c>
      <c r="BB38" s="27" t="s">
        <v>102</v>
      </c>
      <c r="BC38">
        <v>2010203</v>
      </c>
      <c r="BD38" t="s">
        <v>33</v>
      </c>
      <c r="BE38" t="s">
        <v>100</v>
      </c>
      <c r="BF38" t="s">
        <v>35</v>
      </c>
      <c r="BG38">
        <v>1062</v>
      </c>
      <c r="BJ38">
        <v>23800</v>
      </c>
      <c r="BN38">
        <v>380</v>
      </c>
      <c r="BP38">
        <v>955</v>
      </c>
      <c r="BQ38">
        <f>SUM(SimpleDashData83[[#This Row],[Convayance]:[Misc]])</f>
        <v>26197</v>
      </c>
      <c r="BR38">
        <v>1208</v>
      </c>
      <c r="BS38">
        <v>1081</v>
      </c>
      <c r="BT38">
        <v>268</v>
      </c>
      <c r="BU38">
        <f>SUM(SimpleDashData83[[#This Row],[Male]:[Child]])</f>
        <v>2557</v>
      </c>
      <c r="BV38">
        <v>102.28</v>
      </c>
      <c r="BW38">
        <v>13117</v>
      </c>
      <c r="BZ38">
        <f>SimpleDashData83[[#This Row],[Total Expense]]/SimpleDashData83[[#This Row],[Total Patients]]</f>
        <v>10.245209229565898</v>
      </c>
      <c r="CA38">
        <v>0</v>
      </c>
    </row>
    <row r="39" spans="6:79" x14ac:dyDescent="0.3">
      <c r="F39" s="2"/>
      <c r="G39" s="2"/>
      <c r="H39" s="13"/>
      <c r="I39" s="13"/>
      <c r="BA39">
        <f t="shared" si="0"/>
        <v>38</v>
      </c>
      <c r="BB39" s="27" t="s">
        <v>103</v>
      </c>
      <c r="BC39">
        <v>2010244</v>
      </c>
      <c r="BD39" t="s">
        <v>33</v>
      </c>
      <c r="BE39" t="s">
        <v>100</v>
      </c>
      <c r="BF39" t="s">
        <v>35</v>
      </c>
      <c r="BG39">
        <v>2200</v>
      </c>
      <c r="BJ39">
        <v>10330</v>
      </c>
      <c r="BL39">
        <v>2440</v>
      </c>
      <c r="BN39">
        <v>1370</v>
      </c>
      <c r="BO39">
        <v>3387</v>
      </c>
      <c r="BP39">
        <v>1110</v>
      </c>
      <c r="BQ39">
        <f>SUM(SimpleDashData83[[#This Row],[Convayance]:[Misc]])</f>
        <v>20837</v>
      </c>
      <c r="BR39">
        <v>755</v>
      </c>
      <c r="BS39">
        <v>773</v>
      </c>
      <c r="BT39">
        <v>349</v>
      </c>
      <c r="BU39">
        <f>SUM(SimpleDashData83[[#This Row],[Male]:[Child]])</f>
        <v>1877</v>
      </c>
      <c r="BV39">
        <v>75.08</v>
      </c>
      <c r="BW39">
        <v>9848</v>
      </c>
      <c r="BZ39">
        <f>SimpleDashData83[[#This Row],[Total Expense]]/SimpleDashData83[[#This Row],[Total Patients]]</f>
        <v>11.101225359616409</v>
      </c>
      <c r="CA39">
        <v>0</v>
      </c>
    </row>
    <row r="40" spans="6:79" x14ac:dyDescent="0.3">
      <c r="F40" s="2"/>
      <c r="G40" s="2"/>
      <c r="H40" s="13"/>
      <c r="I40" s="13"/>
      <c r="BA40">
        <f t="shared" si="0"/>
        <v>39</v>
      </c>
      <c r="BB40" s="27" t="s">
        <v>104</v>
      </c>
      <c r="BC40">
        <v>2010269</v>
      </c>
      <c r="BD40" t="s">
        <v>33</v>
      </c>
      <c r="BE40" t="s">
        <v>100</v>
      </c>
      <c r="BF40" t="s">
        <v>35</v>
      </c>
      <c r="BG40">
        <v>900</v>
      </c>
      <c r="BJ40">
        <v>4850</v>
      </c>
      <c r="BL40">
        <v>320</v>
      </c>
      <c r="BN40">
        <v>1060</v>
      </c>
      <c r="BO40">
        <v>920</v>
      </c>
      <c r="BP40">
        <v>5200</v>
      </c>
      <c r="BQ40">
        <f>SUM(SimpleDashData83[[#This Row],[Convayance]:[Misc]])</f>
        <v>13250</v>
      </c>
      <c r="BR40">
        <v>468</v>
      </c>
      <c r="BS40">
        <v>400</v>
      </c>
      <c r="BT40">
        <v>398</v>
      </c>
      <c r="BU40">
        <f>SUM(SimpleDashData83[[#This Row],[Male]:[Child]])</f>
        <v>1266</v>
      </c>
      <c r="BV40">
        <v>50.64</v>
      </c>
      <c r="BW40">
        <v>253.2</v>
      </c>
      <c r="BZ40">
        <f>SimpleDashData83[[#This Row],[Total Expense]]/SimpleDashData83[[#This Row],[Total Patients]]</f>
        <v>10.466034755134281</v>
      </c>
      <c r="CA40">
        <v>0</v>
      </c>
    </row>
    <row r="41" spans="6:79" x14ac:dyDescent="0.3">
      <c r="F41" s="2"/>
      <c r="G41" s="2"/>
      <c r="H41" s="13"/>
      <c r="I41" s="13"/>
      <c r="BA41">
        <f t="shared" si="0"/>
        <v>40</v>
      </c>
      <c r="BB41" s="27" t="s">
        <v>105</v>
      </c>
      <c r="BC41">
        <v>2010263</v>
      </c>
      <c r="BD41" t="s">
        <v>33</v>
      </c>
      <c r="BE41" t="s">
        <v>100</v>
      </c>
      <c r="BF41" t="s">
        <v>35</v>
      </c>
      <c r="BG41">
        <v>1250</v>
      </c>
      <c r="BJ41">
        <v>6112</v>
      </c>
      <c r="BL41">
        <v>330</v>
      </c>
      <c r="BN41">
        <v>830</v>
      </c>
      <c r="BQ41">
        <f>SUM(SimpleDashData83[[#This Row],[Convayance]:[Misc]])</f>
        <v>8522</v>
      </c>
      <c r="BR41">
        <v>327</v>
      </c>
      <c r="BS41">
        <v>363</v>
      </c>
      <c r="BT41">
        <v>105</v>
      </c>
      <c r="BU41">
        <f>SUM(SimpleDashData83[[#This Row],[Male]:[Child]])</f>
        <v>795</v>
      </c>
      <c r="BV41">
        <v>31.8</v>
      </c>
      <c r="BW41">
        <v>3975</v>
      </c>
      <c r="BZ41">
        <f>SimpleDashData83[[#This Row],[Total Expense]]/SimpleDashData83[[#This Row],[Total Patients]]</f>
        <v>10.719496855345913</v>
      </c>
      <c r="CA41">
        <v>0</v>
      </c>
    </row>
    <row r="42" spans="6:79" x14ac:dyDescent="0.3">
      <c r="F42" s="2"/>
      <c r="G42" s="2"/>
      <c r="H42" s="13"/>
      <c r="I42" s="13"/>
      <c r="BA42">
        <f t="shared" si="0"/>
        <v>41</v>
      </c>
      <c r="BB42" s="27" t="s">
        <v>106</v>
      </c>
      <c r="BC42">
        <v>2010206</v>
      </c>
      <c r="BD42" t="s">
        <v>33</v>
      </c>
      <c r="BE42" t="s">
        <v>100</v>
      </c>
      <c r="BF42" t="s">
        <v>35</v>
      </c>
      <c r="BG42">
        <v>300</v>
      </c>
      <c r="BJ42">
        <v>3160</v>
      </c>
      <c r="BL42">
        <v>100</v>
      </c>
      <c r="BN42">
        <v>630</v>
      </c>
      <c r="BQ42">
        <f>SUM(SimpleDashData83[[#This Row],[Convayance]:[Misc]])</f>
        <v>4190</v>
      </c>
      <c r="BR42">
        <v>8</v>
      </c>
      <c r="BS42">
        <v>384</v>
      </c>
      <c r="BT42">
        <v>21</v>
      </c>
      <c r="BU42">
        <f>SUM(SimpleDashData83[[#This Row],[Male]:[Child]])</f>
        <v>413</v>
      </c>
      <c r="BV42">
        <v>16.52</v>
      </c>
      <c r="BW42">
        <v>1827</v>
      </c>
      <c r="BZ42">
        <f>SimpleDashData83[[#This Row],[Total Expense]]/SimpleDashData83[[#This Row],[Total Patients]]</f>
        <v>10.145278450363197</v>
      </c>
      <c r="CA42">
        <v>0</v>
      </c>
    </row>
    <row r="43" spans="6:79" x14ac:dyDescent="0.3">
      <c r="F43" s="2"/>
      <c r="G43" s="2"/>
      <c r="H43" s="13"/>
      <c r="I43" s="13"/>
      <c r="BA43">
        <f t="shared" si="0"/>
        <v>42</v>
      </c>
      <c r="BB43" s="27" t="s">
        <v>107</v>
      </c>
      <c r="BC43">
        <v>2010221</v>
      </c>
      <c r="BD43" t="s">
        <v>33</v>
      </c>
      <c r="BE43" t="s">
        <v>100</v>
      </c>
      <c r="BF43" t="s">
        <v>35</v>
      </c>
      <c r="BG43">
        <v>200</v>
      </c>
      <c r="BI43">
        <v>880</v>
      </c>
      <c r="BL43">
        <v>550</v>
      </c>
      <c r="BM43">
        <v>455</v>
      </c>
      <c r="BP43">
        <v>5200</v>
      </c>
      <c r="BQ43">
        <f>SUM(SimpleDashData83[[#This Row],[Convayance]:[Misc]])</f>
        <v>7285</v>
      </c>
      <c r="BR43">
        <v>754</v>
      </c>
      <c r="BS43">
        <v>160</v>
      </c>
      <c r="BT43">
        <v>109</v>
      </c>
      <c r="BU43">
        <f>SUM(SimpleDashData83[[#This Row],[Male]:[Child]])</f>
        <v>1023</v>
      </c>
      <c r="BV43">
        <v>40.92</v>
      </c>
      <c r="BW43">
        <v>6772</v>
      </c>
      <c r="BZ43">
        <f>SimpleDashData83[[#This Row],[Total Expense]]/SimpleDashData83[[#This Row],[Total Patients]]</f>
        <v>7.1212121212121211</v>
      </c>
      <c r="CA43">
        <v>0</v>
      </c>
    </row>
    <row r="44" spans="6:79" x14ac:dyDescent="0.3">
      <c r="F44" s="2"/>
      <c r="G44" s="2"/>
      <c r="H44" s="13"/>
      <c r="I44" s="13"/>
      <c r="BA44">
        <f t="shared" si="0"/>
        <v>43</v>
      </c>
      <c r="BB44" s="27" t="s">
        <v>108</v>
      </c>
      <c r="BC44">
        <v>2010209</v>
      </c>
      <c r="BD44" t="s">
        <v>33</v>
      </c>
      <c r="BE44" t="s">
        <v>100</v>
      </c>
      <c r="BF44" t="s">
        <v>35</v>
      </c>
      <c r="BI44">
        <v>900</v>
      </c>
      <c r="BJ44">
        <v>3600</v>
      </c>
      <c r="BM44">
        <v>3000</v>
      </c>
      <c r="BN44">
        <v>650</v>
      </c>
      <c r="BP44">
        <v>730</v>
      </c>
      <c r="BQ44">
        <f>SUM(SimpleDashData83[[#This Row],[Convayance]:[Misc]])</f>
        <v>8880</v>
      </c>
      <c r="BR44">
        <v>1124</v>
      </c>
      <c r="BS44">
        <v>768</v>
      </c>
      <c r="BT44">
        <v>444</v>
      </c>
      <c r="BU44">
        <f>SUM(SimpleDashData83[[#This Row],[Male]:[Child]])</f>
        <v>2336</v>
      </c>
      <c r="BV44">
        <v>93.44</v>
      </c>
      <c r="BW44">
        <v>13063</v>
      </c>
      <c r="BZ44">
        <f>SimpleDashData83[[#This Row],[Total Expense]]/SimpleDashData83[[#This Row],[Total Patients]]</f>
        <v>3.8013698630136985</v>
      </c>
      <c r="CA44">
        <v>0</v>
      </c>
    </row>
    <row r="45" spans="6:79" x14ac:dyDescent="0.3">
      <c r="F45" s="2"/>
      <c r="G45" s="2"/>
      <c r="H45" s="13"/>
      <c r="I45" s="13"/>
      <c r="BA45">
        <f t="shared" si="0"/>
        <v>44</v>
      </c>
      <c r="BB45" s="27" t="s">
        <v>109</v>
      </c>
      <c r="BC45">
        <v>2010234</v>
      </c>
      <c r="BD45" t="s">
        <v>33</v>
      </c>
      <c r="BE45" t="s">
        <v>100</v>
      </c>
      <c r="BF45" t="s">
        <v>35</v>
      </c>
      <c r="BJ45">
        <v>700</v>
      </c>
      <c r="BL45">
        <v>280</v>
      </c>
      <c r="BN45">
        <v>200</v>
      </c>
      <c r="BQ45">
        <f>SUM(SimpleDashData83[[#This Row],[Convayance]:[Misc]])</f>
        <v>1180</v>
      </c>
      <c r="BR45">
        <v>293</v>
      </c>
      <c r="BS45">
        <v>350</v>
      </c>
      <c r="BT45">
        <v>220</v>
      </c>
      <c r="BU45">
        <f>SUM(SimpleDashData83[[#This Row],[Male]:[Child]])</f>
        <v>863</v>
      </c>
      <c r="BV45">
        <v>34.520000000000003</v>
      </c>
      <c r="BW45">
        <v>5137</v>
      </c>
      <c r="BZ45">
        <f>SimpleDashData83[[#This Row],[Total Expense]]/SimpleDashData83[[#This Row],[Total Patients]]</f>
        <v>1.3673232908458866</v>
      </c>
      <c r="CA45">
        <v>0</v>
      </c>
    </row>
    <row r="46" spans="6:79" x14ac:dyDescent="0.3">
      <c r="F46" s="2"/>
      <c r="G46" s="2"/>
      <c r="H46" s="13"/>
      <c r="I46" s="13"/>
      <c r="BA46">
        <f t="shared" si="0"/>
        <v>45</v>
      </c>
      <c r="BB46" s="27" t="s">
        <v>110</v>
      </c>
      <c r="BD46" t="s">
        <v>33</v>
      </c>
      <c r="BE46" t="s">
        <v>100</v>
      </c>
      <c r="BF46" t="s">
        <v>35</v>
      </c>
      <c r="BG46">
        <v>3313</v>
      </c>
      <c r="BH46">
        <v>1700</v>
      </c>
      <c r="BJ46">
        <v>2100</v>
      </c>
      <c r="BK46">
        <v>570</v>
      </c>
      <c r="BL46">
        <v>176</v>
      </c>
      <c r="BN46">
        <v>1900</v>
      </c>
      <c r="BQ46">
        <f>SUM(SimpleDashData83[[#This Row],[Convayance]:[Misc]])</f>
        <v>9759</v>
      </c>
      <c r="BR46">
        <v>551</v>
      </c>
      <c r="BS46">
        <v>438</v>
      </c>
      <c r="BT46">
        <v>207</v>
      </c>
      <c r="BU46">
        <f>SUM(SimpleDashData83[[#This Row],[Male]:[Child]])</f>
        <v>1196</v>
      </c>
      <c r="BV46">
        <v>47.84</v>
      </c>
      <c r="BW46">
        <v>10290</v>
      </c>
      <c r="BZ46">
        <f>SimpleDashData83[[#This Row],[Total Expense]]/SimpleDashData83[[#This Row],[Total Patients]]</f>
        <v>8.1596989966555178</v>
      </c>
      <c r="CA46">
        <v>0</v>
      </c>
    </row>
    <row r="47" spans="6:79" x14ac:dyDescent="0.3">
      <c r="F47" s="2"/>
      <c r="G47" s="2"/>
      <c r="H47" s="13"/>
      <c r="I47" s="13"/>
      <c r="BA47">
        <f t="shared" si="0"/>
        <v>46</v>
      </c>
      <c r="BB47" s="27" t="s">
        <v>111</v>
      </c>
      <c r="BD47" t="s">
        <v>33</v>
      </c>
      <c r="BE47" t="s">
        <v>100</v>
      </c>
      <c r="BF47" t="s">
        <v>35</v>
      </c>
      <c r="BI47">
        <v>2000</v>
      </c>
      <c r="BJ47">
        <v>9330</v>
      </c>
      <c r="BN47">
        <v>2050</v>
      </c>
      <c r="BO47">
        <v>1400</v>
      </c>
      <c r="BQ47">
        <f>SUM(SimpleDashData83[[#This Row],[Convayance]:[Misc]])</f>
        <v>14780</v>
      </c>
      <c r="BR47">
        <v>856</v>
      </c>
      <c r="BS47">
        <v>1087</v>
      </c>
      <c r="BT47">
        <v>561</v>
      </c>
      <c r="BU47">
        <f>SUM(SimpleDashData83[[#This Row],[Male]:[Child]])</f>
        <v>2504</v>
      </c>
      <c r="BV47">
        <v>100.16</v>
      </c>
      <c r="BW47">
        <v>12515</v>
      </c>
      <c r="BZ47">
        <f>SimpleDashData83[[#This Row],[Total Expense]]/SimpleDashData83[[#This Row],[Total Patients]]</f>
        <v>5.9025559105431311</v>
      </c>
      <c r="CA47">
        <v>0</v>
      </c>
    </row>
    <row r="48" spans="6:79" x14ac:dyDescent="0.3">
      <c r="F48" s="2"/>
      <c r="G48" s="2"/>
      <c r="H48" s="13"/>
      <c r="I48" s="13"/>
      <c r="BA48">
        <f t="shared" si="0"/>
        <v>47</v>
      </c>
      <c r="BB48" s="27" t="s">
        <v>223</v>
      </c>
      <c r="BD48" t="s">
        <v>33</v>
      </c>
      <c r="BE48" t="s">
        <v>100</v>
      </c>
      <c r="BF48" t="s">
        <v>35</v>
      </c>
      <c r="BG48">
        <v>2316</v>
      </c>
      <c r="BH48">
        <v>1475</v>
      </c>
      <c r="BQ48">
        <f>SUM(SimpleDashData83[[#This Row],[Convayance]:[Misc]])</f>
        <v>3791</v>
      </c>
      <c r="BR48">
        <v>402</v>
      </c>
      <c r="BS48">
        <v>46</v>
      </c>
      <c r="BT48">
        <v>9</v>
      </c>
      <c r="BU48">
        <f>SUM(SimpleDashData83[[#This Row],[Male]:[Child]])</f>
        <v>457</v>
      </c>
      <c r="BV48">
        <v>18.28</v>
      </c>
      <c r="BW48">
        <v>2285</v>
      </c>
      <c r="BZ48">
        <f>SimpleDashData83[[#This Row],[Total Expense]]/SimpleDashData83[[#This Row],[Total Patients]]</f>
        <v>8.2954048140043763</v>
      </c>
    </row>
    <row r="49" spans="6:79" x14ac:dyDescent="0.3">
      <c r="F49" s="2"/>
      <c r="G49" s="2"/>
      <c r="H49" s="13"/>
      <c r="I49" s="13"/>
      <c r="BA49">
        <f t="shared" si="0"/>
        <v>48</v>
      </c>
      <c r="BB49" s="27" t="s">
        <v>113</v>
      </c>
      <c r="BD49" t="s">
        <v>33</v>
      </c>
      <c r="BE49" t="s">
        <v>100</v>
      </c>
      <c r="BF49" t="s">
        <v>35</v>
      </c>
      <c r="BI49">
        <v>743</v>
      </c>
      <c r="BL49">
        <v>2142</v>
      </c>
      <c r="BN49">
        <v>480</v>
      </c>
      <c r="BQ49">
        <f>SUM(SimpleDashData83[[#This Row],[Convayance]:[Misc]])</f>
        <v>3365</v>
      </c>
      <c r="BR49">
        <v>27</v>
      </c>
      <c r="BS49">
        <v>17</v>
      </c>
      <c r="BT49">
        <v>4</v>
      </c>
      <c r="BU49">
        <f>SUM(SimpleDashData83[[#This Row],[Male]:[Child]])</f>
        <v>48</v>
      </c>
      <c r="BV49">
        <v>1.92</v>
      </c>
      <c r="BW49">
        <v>306</v>
      </c>
      <c r="BZ49">
        <f>SimpleDashData83[[#This Row],[Total Expense]]/SimpleDashData83[[#This Row],[Total Patients]]</f>
        <v>70.104166666666671</v>
      </c>
      <c r="CA49">
        <v>0</v>
      </c>
    </row>
    <row r="50" spans="6:79" x14ac:dyDescent="0.3">
      <c r="F50" s="2"/>
      <c r="G50" s="2"/>
      <c r="H50" s="13"/>
      <c r="I50" s="13"/>
      <c r="BA50">
        <f t="shared" si="0"/>
        <v>49</v>
      </c>
      <c r="BB50" s="27" t="s">
        <v>114</v>
      </c>
      <c r="BD50" t="s">
        <v>33</v>
      </c>
      <c r="BE50" t="s">
        <v>100</v>
      </c>
      <c r="BF50" t="s">
        <v>35</v>
      </c>
      <c r="BQ50">
        <f>SUM(SimpleDashData83[[#This Row],[Convayance]:[Misc]])</f>
        <v>0</v>
      </c>
      <c r="BR50">
        <v>580</v>
      </c>
      <c r="BS50">
        <v>588</v>
      </c>
      <c r="BT50">
        <v>261</v>
      </c>
      <c r="BU50">
        <f>SUM(SimpleDashData83[[#This Row],[Male]:[Child]])</f>
        <v>1429</v>
      </c>
      <c r="BV50">
        <v>57.16</v>
      </c>
      <c r="BW50">
        <v>7065</v>
      </c>
      <c r="BZ50">
        <f>SimpleDashData83[[#This Row],[Total Expense]]/SimpleDashData83[[#This Row],[Total Patients]]</f>
        <v>0</v>
      </c>
      <c r="CA50">
        <v>0</v>
      </c>
    </row>
    <row r="51" spans="6:79" ht="28.8" x14ac:dyDescent="0.3">
      <c r="F51" s="2"/>
      <c r="G51" s="2"/>
      <c r="H51" s="13"/>
      <c r="I51" s="13"/>
      <c r="BA51">
        <f t="shared" si="0"/>
        <v>50</v>
      </c>
      <c r="BB51" s="27" t="s">
        <v>115</v>
      </c>
      <c r="BD51" t="s">
        <v>33</v>
      </c>
      <c r="BE51" t="s">
        <v>100</v>
      </c>
      <c r="BF51" t="s">
        <v>35</v>
      </c>
      <c r="BQ51">
        <f>SUM(SimpleDashData83[[#This Row],[Convayance]:[Misc]])</f>
        <v>0</v>
      </c>
      <c r="BU51">
        <f>SUM(SimpleDashData83[[#This Row],[Male]:[Child]])</f>
        <v>0</v>
      </c>
      <c r="BV51">
        <v>0</v>
      </c>
      <c r="BW51">
        <v>0</v>
      </c>
      <c r="BZ51" t="e">
        <f>SimpleDashData83[[#This Row],[Total Expense]]/SimpleDashData83[[#This Row],[Total Patients]]</f>
        <v>#DIV/0!</v>
      </c>
      <c r="CA51">
        <v>0</v>
      </c>
    </row>
    <row r="52" spans="6:79" x14ac:dyDescent="0.3">
      <c r="F52" s="2"/>
      <c r="G52" s="2"/>
      <c r="H52" s="13"/>
      <c r="I52" s="13"/>
      <c r="BA52">
        <f t="shared" si="0"/>
        <v>51</v>
      </c>
      <c r="BB52" s="27" t="s">
        <v>116</v>
      </c>
      <c r="BD52" t="s">
        <v>33</v>
      </c>
      <c r="BE52" t="s">
        <v>100</v>
      </c>
      <c r="BF52" t="s">
        <v>35</v>
      </c>
      <c r="BQ52">
        <f>SUM(SimpleDashData83[[#This Row],[Convayance]:[Misc]])</f>
        <v>0</v>
      </c>
      <c r="BR52">
        <v>587</v>
      </c>
      <c r="BS52">
        <v>420</v>
      </c>
      <c r="BT52">
        <v>149</v>
      </c>
      <c r="BU52">
        <f>SUM(SimpleDashData83[[#This Row],[Male]:[Child]])</f>
        <v>1156</v>
      </c>
      <c r="BV52">
        <v>46.24</v>
      </c>
      <c r="BW52">
        <v>5785</v>
      </c>
      <c r="BZ52">
        <f>SimpleDashData83[[#This Row],[Total Expense]]/SimpleDashData83[[#This Row],[Total Patients]]</f>
        <v>0</v>
      </c>
      <c r="CA52">
        <v>0</v>
      </c>
    </row>
    <row r="53" spans="6:79" x14ac:dyDescent="0.3">
      <c r="F53" s="2"/>
      <c r="G53" s="2"/>
      <c r="H53" s="13"/>
      <c r="I53" s="13"/>
      <c r="BA53">
        <f t="shared" si="0"/>
        <v>52</v>
      </c>
      <c r="BB53" s="12" t="s">
        <v>117</v>
      </c>
      <c r="BC53">
        <v>2010246</v>
      </c>
      <c r="BD53" t="s">
        <v>33</v>
      </c>
      <c r="BE53" t="s">
        <v>100</v>
      </c>
      <c r="BF53" t="s">
        <v>35</v>
      </c>
      <c r="BG53">
        <v>3120</v>
      </c>
      <c r="BL53">
        <v>1710</v>
      </c>
      <c r="BQ53">
        <f>SUM(SimpleDashData83[[#This Row],[Convayance]:[Misc]])</f>
        <v>4830</v>
      </c>
      <c r="BR53">
        <v>628</v>
      </c>
      <c r="BS53">
        <v>550</v>
      </c>
      <c r="BT53">
        <v>264</v>
      </c>
      <c r="BU53">
        <f>SUM(SimpleDashData83[[#This Row],[Male]:[Child]])</f>
        <v>1442</v>
      </c>
      <c r="BV53">
        <v>57.68</v>
      </c>
      <c r="BW53">
        <v>3180</v>
      </c>
      <c r="BZ53">
        <f>SimpleDashData83[[#This Row],[Total Expense]]/SimpleDashData83[[#This Row],[Total Patients]]</f>
        <v>3.349514563106796</v>
      </c>
      <c r="CA53">
        <v>0</v>
      </c>
    </row>
    <row r="54" spans="6:79" x14ac:dyDescent="0.3">
      <c r="F54" s="2"/>
      <c r="G54" s="2"/>
      <c r="H54" s="13"/>
      <c r="I54" s="13"/>
      <c r="BA54">
        <f t="shared" si="0"/>
        <v>53</v>
      </c>
      <c r="BB54" s="12" t="s">
        <v>118</v>
      </c>
      <c r="BD54" t="s">
        <v>33</v>
      </c>
      <c r="BE54" t="s">
        <v>100</v>
      </c>
      <c r="BF54" t="s">
        <v>35</v>
      </c>
      <c r="BG54">
        <v>10094</v>
      </c>
      <c r="BH54">
        <v>2310</v>
      </c>
      <c r="BN54">
        <v>2300</v>
      </c>
      <c r="BQ54">
        <f>SUM(SimpleDashData83[[#This Row],[Convayance]:[Misc]])</f>
        <v>14704</v>
      </c>
      <c r="BR54">
        <v>258</v>
      </c>
      <c r="BS54">
        <v>49</v>
      </c>
      <c r="BT54">
        <v>6</v>
      </c>
      <c r="BU54">
        <f>SUM(SimpleDashData83[[#This Row],[Male]:[Child]])</f>
        <v>313</v>
      </c>
      <c r="BV54">
        <v>12.52</v>
      </c>
      <c r="BW54">
        <v>2191</v>
      </c>
      <c r="BZ54">
        <f>SimpleDashData83[[#This Row],[Total Expense]]/SimpleDashData83[[#This Row],[Total Patients]]</f>
        <v>46.977635782747605</v>
      </c>
      <c r="CA54">
        <v>0</v>
      </c>
    </row>
    <row r="55" spans="6:79" x14ac:dyDescent="0.3">
      <c r="F55" s="2"/>
      <c r="G55" s="2"/>
      <c r="H55" s="13"/>
      <c r="I55" s="13"/>
      <c r="BA55">
        <f t="shared" si="0"/>
        <v>54</v>
      </c>
      <c r="BB55" s="27" t="s">
        <v>119</v>
      </c>
      <c r="BC55">
        <v>2010227</v>
      </c>
      <c r="BD55" t="s">
        <v>33</v>
      </c>
      <c r="BE55" t="s">
        <v>100</v>
      </c>
      <c r="BF55" t="s">
        <v>64</v>
      </c>
      <c r="BG55">
        <v>900</v>
      </c>
      <c r="BJ55">
        <v>6130</v>
      </c>
      <c r="BK55">
        <v>460</v>
      </c>
      <c r="BL55">
        <v>980</v>
      </c>
      <c r="BQ55">
        <f>SUM(SimpleDashData83[[#This Row],[Convayance]:[Misc]])</f>
        <v>8470</v>
      </c>
      <c r="BR55">
        <v>3555</v>
      </c>
      <c r="BU55">
        <f>SUM(SimpleDashData83[[#This Row],[Male]:[Child]])</f>
        <v>3555</v>
      </c>
      <c r="BV55">
        <v>142.19999999999999</v>
      </c>
      <c r="BW55">
        <v>7296</v>
      </c>
      <c r="BZ55">
        <f>SimpleDashData83[[#This Row],[Total Expense]]/SimpleDashData83[[#This Row],[Total Patients]]</f>
        <v>2.3825597749648382</v>
      </c>
      <c r="CA55">
        <v>0</v>
      </c>
    </row>
    <row r="56" spans="6:79" x14ac:dyDescent="0.3">
      <c r="F56" s="2"/>
      <c r="G56" s="2"/>
      <c r="H56" s="13"/>
      <c r="I56" s="13"/>
      <c r="BA56">
        <f t="shared" si="0"/>
        <v>55</v>
      </c>
      <c r="BB56" s="27" t="s">
        <v>120</v>
      </c>
      <c r="BC56">
        <v>2010201</v>
      </c>
      <c r="BD56" t="s">
        <v>33</v>
      </c>
      <c r="BE56" t="s">
        <v>100</v>
      </c>
      <c r="BF56" t="s">
        <v>64</v>
      </c>
      <c r="BH56">
        <v>2000</v>
      </c>
      <c r="BJ56">
        <v>1600</v>
      </c>
      <c r="BK56">
        <v>300</v>
      </c>
      <c r="BN56">
        <v>1000</v>
      </c>
      <c r="BQ56">
        <f>SUM(SimpleDashData83[[#This Row],[Convayance]:[Misc]])</f>
        <v>4900</v>
      </c>
      <c r="BR56">
        <v>2434</v>
      </c>
      <c r="BS56">
        <v>3</v>
      </c>
      <c r="BU56">
        <f>SUM(SimpleDashData83[[#This Row],[Male]:[Child]])</f>
        <v>2437</v>
      </c>
      <c r="BV56">
        <v>97.48</v>
      </c>
      <c r="BW56">
        <v>5974</v>
      </c>
      <c r="BZ56">
        <f>SimpleDashData83[[#This Row],[Total Expense]]/SimpleDashData83[[#This Row],[Total Patients]]</f>
        <v>2.0106688551497744</v>
      </c>
      <c r="CA56">
        <v>0</v>
      </c>
    </row>
    <row r="57" spans="6:79" x14ac:dyDescent="0.3">
      <c r="F57" s="2"/>
      <c r="G57" s="2"/>
      <c r="H57" s="13"/>
      <c r="I57" s="13"/>
      <c r="BA57">
        <f t="shared" si="0"/>
        <v>56</v>
      </c>
      <c r="BB57" s="27" t="s">
        <v>121</v>
      </c>
      <c r="BC57">
        <v>2010230</v>
      </c>
      <c r="BD57" t="s">
        <v>33</v>
      </c>
      <c r="BE57" t="s">
        <v>100</v>
      </c>
      <c r="BF57" t="s">
        <v>64</v>
      </c>
      <c r="BQ57">
        <f>SUM(SimpleDashData83[[#This Row],[Convayance]:[Misc]])</f>
        <v>0</v>
      </c>
      <c r="BR57">
        <v>24</v>
      </c>
      <c r="BT57">
        <v>110</v>
      </c>
      <c r="BU57">
        <f>SUM(SimpleDashData83[[#This Row],[Male]:[Child]])</f>
        <v>134</v>
      </c>
      <c r="BV57">
        <v>5.36</v>
      </c>
      <c r="BW57">
        <v>536</v>
      </c>
      <c r="BZ57">
        <f>SimpleDashData83[[#This Row],[Total Expense]]/SimpleDashData83[[#This Row],[Total Patients]]</f>
        <v>0</v>
      </c>
      <c r="CA57">
        <v>0</v>
      </c>
    </row>
    <row r="58" spans="6:79" x14ac:dyDescent="0.3">
      <c r="F58" s="2"/>
      <c r="G58" s="2"/>
      <c r="H58" s="13"/>
      <c r="I58" s="13"/>
      <c r="BA58">
        <f t="shared" si="0"/>
        <v>57</v>
      </c>
      <c r="BB58" s="27" t="s">
        <v>122</v>
      </c>
      <c r="BC58">
        <v>2010223</v>
      </c>
      <c r="BD58" t="s">
        <v>33</v>
      </c>
      <c r="BE58" t="s">
        <v>100</v>
      </c>
      <c r="BF58" t="s">
        <v>64</v>
      </c>
      <c r="BJ58">
        <v>15460</v>
      </c>
      <c r="BK58">
        <v>460</v>
      </c>
      <c r="BQ58">
        <f>SUM(SimpleDashData83[[#This Row],[Convayance]:[Misc]])</f>
        <v>15920</v>
      </c>
      <c r="BR58">
        <v>4410</v>
      </c>
      <c r="BU58">
        <f>SUM(SimpleDashData83[[#This Row],[Male]:[Child]])</f>
        <v>4410</v>
      </c>
      <c r="BV58">
        <v>176.4</v>
      </c>
      <c r="BW58">
        <v>9264</v>
      </c>
      <c r="BZ58">
        <f>SimpleDashData83[[#This Row],[Total Expense]]/SimpleDashData83[[#This Row],[Total Patients]]</f>
        <v>3.6099773242630384</v>
      </c>
      <c r="CA58">
        <v>0</v>
      </c>
    </row>
    <row r="59" spans="6:79" x14ac:dyDescent="0.3">
      <c r="F59" s="2"/>
      <c r="G59" s="2"/>
      <c r="H59" s="13"/>
      <c r="I59" s="13"/>
      <c r="BA59">
        <f t="shared" si="0"/>
        <v>58</v>
      </c>
      <c r="BB59" s="27" t="s">
        <v>123</v>
      </c>
      <c r="BC59">
        <v>2010235</v>
      </c>
      <c r="BD59" t="s">
        <v>33</v>
      </c>
      <c r="BE59" t="s">
        <v>100</v>
      </c>
      <c r="BF59" t="s">
        <v>64</v>
      </c>
      <c r="BJ59">
        <v>2740</v>
      </c>
      <c r="BK59">
        <v>570</v>
      </c>
      <c r="BL59">
        <v>1900</v>
      </c>
      <c r="BN59">
        <v>900</v>
      </c>
      <c r="BP59">
        <v>1500</v>
      </c>
      <c r="BQ59">
        <f>SUM(SimpleDashData83[[#This Row],[Convayance]:[Misc]])</f>
        <v>7610</v>
      </c>
      <c r="BR59">
        <v>3287</v>
      </c>
      <c r="BS59">
        <v>28</v>
      </c>
      <c r="BT59">
        <v>2</v>
      </c>
      <c r="BU59">
        <f>SUM(SimpleDashData83[[#This Row],[Male]:[Child]])</f>
        <v>3317</v>
      </c>
      <c r="BV59">
        <v>132.68</v>
      </c>
      <c r="BW59">
        <v>7018</v>
      </c>
      <c r="BZ59">
        <f>SimpleDashData83[[#This Row],[Total Expense]]/SimpleDashData83[[#This Row],[Total Patients]]</f>
        <v>2.2942417847452519</v>
      </c>
      <c r="CA59">
        <v>0</v>
      </c>
    </row>
    <row r="60" spans="6:79" x14ac:dyDescent="0.3">
      <c r="F60" s="2"/>
      <c r="G60" s="2"/>
      <c r="H60" s="13"/>
      <c r="I60" s="13"/>
      <c r="BA60">
        <f t="shared" si="0"/>
        <v>59</v>
      </c>
      <c r="BB60" s="27" t="s">
        <v>124</v>
      </c>
      <c r="BC60">
        <v>2010225</v>
      </c>
      <c r="BD60" t="s">
        <v>33</v>
      </c>
      <c r="BE60" t="s">
        <v>100</v>
      </c>
      <c r="BF60" t="s">
        <v>64</v>
      </c>
      <c r="BG60">
        <v>500</v>
      </c>
      <c r="BH60">
        <v>2225</v>
      </c>
      <c r="BI60">
        <v>700</v>
      </c>
      <c r="BJ60">
        <v>3500</v>
      </c>
      <c r="BK60">
        <v>400</v>
      </c>
      <c r="BL60">
        <v>850</v>
      </c>
      <c r="BN60">
        <v>630</v>
      </c>
      <c r="BQ60">
        <f>SUM(SimpleDashData83[[#This Row],[Convayance]:[Misc]])</f>
        <v>8805</v>
      </c>
      <c r="BR60">
        <v>2701</v>
      </c>
      <c r="BT60">
        <v>9</v>
      </c>
      <c r="BU60">
        <f>SUM(SimpleDashData83[[#This Row],[Male]:[Child]])</f>
        <v>2710</v>
      </c>
      <c r="BV60">
        <v>108.4</v>
      </c>
      <c r="BW60">
        <v>8943</v>
      </c>
      <c r="BZ60">
        <f>SimpleDashData83[[#This Row],[Total Expense]]/SimpleDashData83[[#This Row],[Total Patients]]</f>
        <v>3.2490774907749076</v>
      </c>
      <c r="CA60">
        <v>0</v>
      </c>
    </row>
    <row r="61" spans="6:79" x14ac:dyDescent="0.3">
      <c r="F61" s="2"/>
      <c r="G61" s="2"/>
      <c r="H61" s="13"/>
      <c r="I61" s="13"/>
      <c r="BA61">
        <f t="shared" si="0"/>
        <v>60</v>
      </c>
      <c r="BB61" s="27" t="s">
        <v>125</v>
      </c>
      <c r="BC61">
        <v>2010207</v>
      </c>
      <c r="BD61" t="s">
        <v>33</v>
      </c>
      <c r="BE61" t="s">
        <v>100</v>
      </c>
      <c r="BF61" t="s">
        <v>64</v>
      </c>
      <c r="BG61">
        <v>400</v>
      </c>
      <c r="BH61">
        <v>2650</v>
      </c>
      <c r="BK61">
        <v>136</v>
      </c>
      <c r="BL61">
        <v>30</v>
      </c>
      <c r="BN61">
        <v>200</v>
      </c>
      <c r="BQ61">
        <f>SUM(SimpleDashData83[[#This Row],[Convayance]:[Misc]])</f>
        <v>3416</v>
      </c>
      <c r="BR61">
        <v>3441</v>
      </c>
      <c r="BU61">
        <f>SUM(SimpleDashData83[[#This Row],[Male]:[Child]])</f>
        <v>3441</v>
      </c>
      <c r="BV61">
        <v>137.63999999999999</v>
      </c>
      <c r="BW61">
        <v>7235</v>
      </c>
      <c r="BZ61">
        <f>SimpleDashData83[[#This Row],[Total Expense]]/SimpleDashData83[[#This Row],[Total Patients]]</f>
        <v>0.99273467015402495</v>
      </c>
      <c r="CA61">
        <v>0</v>
      </c>
    </row>
    <row r="62" spans="6:79" x14ac:dyDescent="0.3">
      <c r="F62" s="2"/>
      <c r="G62" s="2"/>
      <c r="H62" s="13"/>
      <c r="I62" s="13"/>
      <c r="BA62">
        <f t="shared" si="0"/>
        <v>61</v>
      </c>
      <c r="BB62" s="27" t="s">
        <v>126</v>
      </c>
      <c r="BC62">
        <v>2010208</v>
      </c>
      <c r="BD62" t="s">
        <v>33</v>
      </c>
      <c r="BE62" t="s">
        <v>100</v>
      </c>
      <c r="BF62" t="s">
        <v>64</v>
      </c>
      <c r="BI62">
        <v>1150</v>
      </c>
      <c r="BJ62">
        <v>11240</v>
      </c>
      <c r="BK62">
        <v>136</v>
      </c>
      <c r="BL62">
        <v>630</v>
      </c>
      <c r="BN62">
        <v>1940</v>
      </c>
      <c r="BP62">
        <v>2540</v>
      </c>
      <c r="BQ62">
        <f>SUM(SimpleDashData83[[#This Row],[Convayance]:[Misc]])</f>
        <v>17636</v>
      </c>
      <c r="BR62">
        <v>2962</v>
      </c>
      <c r="BS62">
        <v>1</v>
      </c>
      <c r="BU62">
        <f>SUM(SimpleDashData83[[#This Row],[Male]:[Child]])</f>
        <v>2963</v>
      </c>
      <c r="BV62">
        <v>118.52</v>
      </c>
      <c r="BW62">
        <v>11852</v>
      </c>
      <c r="BZ62">
        <f>SimpleDashData83[[#This Row],[Total Expense]]/SimpleDashData83[[#This Row],[Total Patients]]</f>
        <v>5.9520755990550116</v>
      </c>
      <c r="CA62">
        <v>0</v>
      </c>
    </row>
    <row r="63" spans="6:79" x14ac:dyDescent="0.3">
      <c r="F63" s="2"/>
      <c r="G63" s="2"/>
      <c r="H63" s="13"/>
      <c r="I63" s="13"/>
      <c r="BA63">
        <f t="shared" si="0"/>
        <v>62</v>
      </c>
      <c r="BB63" s="28" t="s">
        <v>127</v>
      </c>
      <c r="BC63">
        <v>2010254</v>
      </c>
      <c r="BD63" t="s">
        <v>33</v>
      </c>
      <c r="BE63" t="s">
        <v>100</v>
      </c>
      <c r="BF63" t="s">
        <v>64</v>
      </c>
      <c r="BI63">
        <v>0</v>
      </c>
      <c r="BJ63">
        <v>8410</v>
      </c>
      <c r="BK63">
        <v>400</v>
      </c>
      <c r="BL63">
        <v>1380</v>
      </c>
      <c r="BN63">
        <v>480</v>
      </c>
      <c r="BQ63">
        <f>SUM(SimpleDashData83[[#This Row],[Convayance]:[Misc]])</f>
        <v>10670</v>
      </c>
      <c r="BR63">
        <v>2177</v>
      </c>
      <c r="BU63">
        <f>SUM(SimpleDashData83[[#This Row],[Male]:[Child]])</f>
        <v>2177</v>
      </c>
      <c r="BV63">
        <v>87.08</v>
      </c>
      <c r="BW63">
        <v>4194</v>
      </c>
      <c r="BZ63">
        <f>SimpleDashData83[[#This Row],[Total Expense]]/SimpleDashData83[[#This Row],[Total Patients]]</f>
        <v>4.9012402388608178</v>
      </c>
      <c r="CA63">
        <v>0</v>
      </c>
    </row>
    <row r="64" spans="6:79" x14ac:dyDescent="0.3">
      <c r="F64" s="2"/>
      <c r="G64" s="2"/>
      <c r="H64" s="13"/>
      <c r="I64" s="13"/>
      <c r="BA64">
        <f t="shared" si="0"/>
        <v>63</v>
      </c>
      <c r="BB64" s="27" t="s">
        <v>128</v>
      </c>
      <c r="BC64">
        <v>2010224</v>
      </c>
      <c r="BD64" t="s">
        <v>33</v>
      </c>
      <c r="BE64" t="s">
        <v>100</v>
      </c>
      <c r="BF64" t="s">
        <v>64</v>
      </c>
      <c r="BJ64">
        <v>11080</v>
      </c>
      <c r="BK64">
        <v>460</v>
      </c>
      <c r="BM64">
        <v>1680</v>
      </c>
      <c r="BN64">
        <v>570</v>
      </c>
      <c r="BP64">
        <v>1210</v>
      </c>
      <c r="BQ64">
        <f>SUM(SimpleDashData83[[#This Row],[Convayance]:[Misc]])</f>
        <v>15000</v>
      </c>
      <c r="BR64">
        <v>3374</v>
      </c>
      <c r="BU64">
        <f>SUM(SimpleDashData83[[#This Row],[Male]:[Child]])</f>
        <v>3374</v>
      </c>
      <c r="BV64">
        <v>134.96</v>
      </c>
      <c r="BW64">
        <v>6748</v>
      </c>
      <c r="BZ64">
        <f>SimpleDashData83[[#This Row],[Total Expense]]/SimpleDashData83[[#This Row],[Total Patients]]</f>
        <v>4.4457617071724957</v>
      </c>
      <c r="CA64">
        <v>0</v>
      </c>
    </row>
    <row r="65" spans="6:79" x14ac:dyDescent="0.3">
      <c r="F65" s="2"/>
      <c r="G65" s="2"/>
      <c r="H65" s="13"/>
      <c r="I65" s="13"/>
      <c r="BA65">
        <f t="shared" si="0"/>
        <v>64</v>
      </c>
      <c r="BB65" s="27" t="s">
        <v>129</v>
      </c>
      <c r="BC65">
        <v>2010229</v>
      </c>
      <c r="BD65" t="s">
        <v>33</v>
      </c>
      <c r="BE65" t="s">
        <v>100</v>
      </c>
      <c r="BF65" t="s">
        <v>64</v>
      </c>
      <c r="BJ65">
        <v>9320</v>
      </c>
      <c r="BK65">
        <v>400</v>
      </c>
      <c r="BL65">
        <v>820</v>
      </c>
      <c r="BQ65">
        <f>SUM(SimpleDashData83[[#This Row],[Convayance]:[Misc]])</f>
        <v>10540</v>
      </c>
      <c r="BR65">
        <v>4523</v>
      </c>
      <c r="BU65">
        <f>SUM(SimpleDashData83[[#This Row],[Male]:[Child]])</f>
        <v>4523</v>
      </c>
      <c r="BV65">
        <v>180.92</v>
      </c>
      <c r="BW65">
        <v>13149</v>
      </c>
      <c r="BZ65">
        <f>SimpleDashData83[[#This Row],[Total Expense]]/SimpleDashData83[[#This Row],[Total Patients]]</f>
        <v>2.3303117399955782</v>
      </c>
      <c r="CA65">
        <v>0</v>
      </c>
    </row>
    <row r="66" spans="6:79" x14ac:dyDescent="0.3">
      <c r="F66" s="2"/>
      <c r="G66" s="2"/>
      <c r="H66" s="13"/>
      <c r="I66" s="13"/>
      <c r="BA66">
        <f t="shared" si="0"/>
        <v>65</v>
      </c>
      <c r="BB66" s="27" t="s">
        <v>130</v>
      </c>
      <c r="BC66">
        <v>2010256</v>
      </c>
      <c r="BD66" t="s">
        <v>33</v>
      </c>
      <c r="BE66" t="s">
        <v>100</v>
      </c>
      <c r="BF66" t="s">
        <v>64</v>
      </c>
      <c r="BJ66">
        <v>2850</v>
      </c>
      <c r="BK66">
        <v>495</v>
      </c>
      <c r="BN66">
        <v>640</v>
      </c>
      <c r="BQ66">
        <f>SUM(SimpleDashData83[[#This Row],[Convayance]:[Misc]])</f>
        <v>3985</v>
      </c>
      <c r="BR66">
        <v>2920</v>
      </c>
      <c r="BU66">
        <f>SUM(SimpleDashData83[[#This Row],[Male]:[Child]])</f>
        <v>2920</v>
      </c>
      <c r="BV66">
        <v>107.68</v>
      </c>
      <c r="BW66">
        <v>5840</v>
      </c>
      <c r="BZ66">
        <f>SimpleDashData83[[#This Row],[Total Expense]]/SimpleDashData83[[#This Row],[Total Patients]]</f>
        <v>1.3647260273972603</v>
      </c>
      <c r="CA66">
        <v>0</v>
      </c>
    </row>
    <row r="67" spans="6:79" x14ac:dyDescent="0.3">
      <c r="F67" s="2"/>
      <c r="G67" s="2"/>
      <c r="H67" s="13"/>
      <c r="I67" s="13"/>
      <c r="BA67">
        <f t="shared" si="0"/>
        <v>66</v>
      </c>
      <c r="BB67" s="27" t="s">
        <v>131</v>
      </c>
      <c r="BD67" t="s">
        <v>33</v>
      </c>
      <c r="BE67" t="s">
        <v>100</v>
      </c>
      <c r="BF67" t="s">
        <v>64</v>
      </c>
      <c r="BG67">
        <v>4500</v>
      </c>
      <c r="BQ67">
        <f>SUM(SimpleDashData83[[#This Row],[Convayance]:[Misc]])</f>
        <v>4500</v>
      </c>
      <c r="BS67">
        <v>163</v>
      </c>
      <c r="BU67">
        <f>SUM(SimpleDashData83[[#This Row],[Male]:[Child]])</f>
        <v>163</v>
      </c>
      <c r="BV67">
        <v>6.52</v>
      </c>
      <c r="BW67">
        <v>978</v>
      </c>
      <c r="BZ67">
        <f>SimpleDashData83[[#This Row],[Total Expense]]/SimpleDashData83[[#This Row],[Total Patients]]</f>
        <v>27.607361963190183</v>
      </c>
      <c r="CA67">
        <v>0</v>
      </c>
    </row>
    <row r="68" spans="6:79" x14ac:dyDescent="0.3">
      <c r="F68" s="2"/>
      <c r="G68" s="2"/>
      <c r="H68" s="13"/>
      <c r="I68" s="13"/>
      <c r="BA68">
        <f t="shared" ref="BA68:BA131" si="1">1+BA67</f>
        <v>67</v>
      </c>
      <c r="BB68" s="27" t="s">
        <v>132</v>
      </c>
      <c r="BD68" t="s">
        <v>33</v>
      </c>
      <c r="BE68" t="s">
        <v>100</v>
      </c>
      <c r="BF68" t="s">
        <v>64</v>
      </c>
      <c r="BG68">
        <v>1527</v>
      </c>
      <c r="BQ68">
        <f>SUM(SimpleDashData83[[#This Row],[Convayance]:[Misc]])</f>
        <v>1527</v>
      </c>
      <c r="BS68">
        <v>112</v>
      </c>
      <c r="BT68">
        <v>5</v>
      </c>
      <c r="BU68">
        <f>SUM(SimpleDashData83[[#This Row],[Male]:[Child]])</f>
        <v>117</v>
      </c>
      <c r="BV68">
        <v>4.68</v>
      </c>
      <c r="BW68">
        <v>936</v>
      </c>
      <c r="BZ68">
        <f>SimpleDashData83[[#This Row],[Total Expense]]/SimpleDashData83[[#This Row],[Total Patients]]</f>
        <v>13.051282051282051</v>
      </c>
      <c r="CA68">
        <v>0</v>
      </c>
    </row>
    <row r="69" spans="6:79" x14ac:dyDescent="0.3">
      <c r="F69" s="2"/>
      <c r="G69" s="2"/>
      <c r="H69" s="13"/>
      <c r="I69" s="13"/>
      <c r="BA69">
        <f t="shared" si="1"/>
        <v>68</v>
      </c>
      <c r="BB69" s="12" t="s">
        <v>133</v>
      </c>
      <c r="BC69">
        <v>2010245</v>
      </c>
      <c r="BD69" t="s">
        <v>33</v>
      </c>
      <c r="BE69" t="s">
        <v>100</v>
      </c>
      <c r="BF69" t="s">
        <v>64</v>
      </c>
      <c r="BH69">
        <v>1400</v>
      </c>
      <c r="BJ69">
        <v>12250</v>
      </c>
      <c r="BK69">
        <v>1180</v>
      </c>
      <c r="BL69">
        <v>440</v>
      </c>
      <c r="BM69">
        <f>1350-1050</f>
        <v>300</v>
      </c>
      <c r="BN69">
        <v>930</v>
      </c>
      <c r="BO69">
        <v>3200</v>
      </c>
      <c r="BQ69">
        <f>SUM(SimpleDashData83[[#This Row],[Convayance]:[Misc]])</f>
        <v>19700</v>
      </c>
      <c r="BR69">
        <v>3457</v>
      </c>
      <c r="BU69">
        <f>SUM(SimpleDashData83[[#This Row],[Male]:[Child]])</f>
        <v>3457</v>
      </c>
      <c r="BV69">
        <v>138.28</v>
      </c>
      <c r="BW69">
        <v>6914</v>
      </c>
      <c r="BZ69">
        <f>SimpleDashData83[[#This Row],[Total Expense]]/SimpleDashData83[[#This Row],[Total Patients]]</f>
        <v>5.6985825860572747</v>
      </c>
      <c r="CA69">
        <v>0</v>
      </c>
    </row>
    <row r="70" spans="6:79" x14ac:dyDescent="0.3">
      <c r="F70" s="2"/>
      <c r="G70" s="2"/>
      <c r="H70" s="13"/>
      <c r="I70" s="13"/>
      <c r="BA70">
        <f t="shared" si="1"/>
        <v>69</v>
      </c>
      <c r="BB70" s="12" t="s">
        <v>134</v>
      </c>
      <c r="BD70" t="s">
        <v>33</v>
      </c>
      <c r="BE70" t="s">
        <v>135</v>
      </c>
      <c r="BF70" t="s">
        <v>35</v>
      </c>
      <c r="BG70">
        <v>1500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f>SUM(SimpleDashData83[[#This Row],[Convayance]:[Misc]])</f>
        <v>1500</v>
      </c>
      <c r="BR70">
        <v>477</v>
      </c>
      <c r="BS70">
        <v>538</v>
      </c>
      <c r="BT70">
        <v>369</v>
      </c>
      <c r="BU70">
        <f>SUM(SimpleDashData83[[#This Row],[Male]:[Child]])</f>
        <v>1384</v>
      </c>
      <c r="BV70">
        <v>55.36</v>
      </c>
      <c r="BZ70">
        <f>SimpleDashData83[[#This Row],[Total Expense]]/SimpleDashData83[[#This Row],[Total Patients]]</f>
        <v>1.0838150289017341</v>
      </c>
      <c r="CA70">
        <v>0</v>
      </c>
    </row>
    <row r="71" spans="6:79" x14ac:dyDescent="0.3">
      <c r="F71" s="2"/>
      <c r="G71" s="2"/>
      <c r="H71" s="13"/>
      <c r="I71" s="13"/>
      <c r="BA71">
        <f t="shared" si="1"/>
        <v>70</v>
      </c>
      <c r="BB71" s="12" t="s">
        <v>136</v>
      </c>
      <c r="BD71" t="s">
        <v>33</v>
      </c>
      <c r="BE71" t="s">
        <v>135</v>
      </c>
      <c r="BF71" t="s">
        <v>35</v>
      </c>
      <c r="BG71">
        <v>0</v>
      </c>
      <c r="BH71">
        <v>7000</v>
      </c>
      <c r="BI71">
        <v>0</v>
      </c>
      <c r="BJ71">
        <v>7580</v>
      </c>
      <c r="BK71">
        <v>520</v>
      </c>
      <c r="BL71">
        <v>0</v>
      </c>
      <c r="BM71">
        <v>0</v>
      </c>
      <c r="BN71">
        <v>1500</v>
      </c>
      <c r="BO71">
        <v>0</v>
      </c>
      <c r="BP71">
        <v>1000</v>
      </c>
      <c r="BQ71">
        <f>SUM(SimpleDashData83[[#This Row],[Convayance]:[Misc]])</f>
        <v>17600</v>
      </c>
      <c r="BR71">
        <v>1334</v>
      </c>
      <c r="BS71">
        <v>1150</v>
      </c>
      <c r="BT71">
        <v>307</v>
      </c>
      <c r="BU71">
        <f>SUM(SimpleDashData83[[#This Row],[Male]:[Child]])</f>
        <v>2791</v>
      </c>
      <c r="BV71">
        <v>111.64</v>
      </c>
      <c r="BW71">
        <v>4152</v>
      </c>
      <c r="BZ71">
        <f>SimpleDashData83[[#This Row],[Total Expense]]/SimpleDashData83[[#This Row],[Total Patients]]</f>
        <v>6.3059835184521678</v>
      </c>
      <c r="CA71">
        <v>0</v>
      </c>
    </row>
    <row r="72" spans="6:79" x14ac:dyDescent="0.3">
      <c r="F72" s="2"/>
      <c r="G72" s="2"/>
      <c r="H72" s="13"/>
      <c r="I72" s="13"/>
      <c r="BA72">
        <f t="shared" si="1"/>
        <v>71</v>
      </c>
      <c r="BB72" s="12" t="s">
        <v>137</v>
      </c>
      <c r="BD72" t="s">
        <v>33</v>
      </c>
      <c r="BE72" t="s">
        <v>135</v>
      </c>
      <c r="BF72" t="s">
        <v>35</v>
      </c>
      <c r="BG72">
        <v>2600</v>
      </c>
      <c r="BH72">
        <v>0</v>
      </c>
      <c r="BI72">
        <v>2300</v>
      </c>
      <c r="BJ72">
        <v>4300</v>
      </c>
      <c r="BK72">
        <v>150</v>
      </c>
      <c r="BL72">
        <v>60</v>
      </c>
      <c r="BM72">
        <v>0</v>
      </c>
      <c r="BN72">
        <v>1940</v>
      </c>
      <c r="BO72">
        <v>7013</v>
      </c>
      <c r="BP72">
        <v>0</v>
      </c>
      <c r="BQ72">
        <f>SUM(SimpleDashData83[[#This Row],[Convayance]:[Misc]])</f>
        <v>18363</v>
      </c>
      <c r="BR72">
        <v>1169</v>
      </c>
      <c r="BS72">
        <v>985</v>
      </c>
      <c r="BT72">
        <v>299</v>
      </c>
      <c r="BU72">
        <f>SUM(SimpleDashData83[[#This Row],[Male]:[Child]])</f>
        <v>2453</v>
      </c>
      <c r="BV72">
        <v>98.12</v>
      </c>
      <c r="BW72">
        <v>13955</v>
      </c>
      <c r="BZ72">
        <f>SimpleDashData83[[#This Row],[Total Expense]]/SimpleDashData83[[#This Row],[Total Patients]]</f>
        <v>7.4859355890746029</v>
      </c>
      <c r="CA72">
        <v>0</v>
      </c>
    </row>
    <row r="73" spans="6:79" x14ac:dyDescent="0.3">
      <c r="F73" s="2"/>
      <c r="G73" s="2"/>
      <c r="H73" s="13"/>
      <c r="I73" s="13"/>
      <c r="BA73">
        <f t="shared" si="1"/>
        <v>72</v>
      </c>
      <c r="BB73" s="12" t="s">
        <v>138</v>
      </c>
      <c r="BD73" t="s">
        <v>33</v>
      </c>
      <c r="BE73" t="s">
        <v>135</v>
      </c>
      <c r="BF73" t="s">
        <v>35</v>
      </c>
      <c r="BG73">
        <v>0</v>
      </c>
      <c r="BH73">
        <v>0</v>
      </c>
      <c r="BI73">
        <v>0</v>
      </c>
      <c r="BJ73">
        <v>7000</v>
      </c>
      <c r="BK73">
        <v>495</v>
      </c>
      <c r="BL73">
        <v>150</v>
      </c>
      <c r="BM73">
        <v>0</v>
      </c>
      <c r="BN73">
        <v>1850</v>
      </c>
      <c r="BO73">
        <v>0</v>
      </c>
      <c r="BP73">
        <v>700</v>
      </c>
      <c r="BQ73">
        <f>SUM(SimpleDashData83[[#This Row],[Convayance]:[Misc]])</f>
        <v>10195</v>
      </c>
      <c r="BR73">
        <v>1572</v>
      </c>
      <c r="BS73">
        <v>633</v>
      </c>
      <c r="BT73">
        <v>462</v>
      </c>
      <c r="BU73">
        <f>SUM(SimpleDashData83[[#This Row],[Male]:[Child]])</f>
        <v>2667</v>
      </c>
      <c r="BV73">
        <v>106.68</v>
      </c>
      <c r="BW73">
        <v>12335</v>
      </c>
      <c r="BZ73">
        <f>SimpleDashData83[[#This Row],[Total Expense]]/SimpleDashData83[[#This Row],[Total Patients]]</f>
        <v>3.8226471691038619</v>
      </c>
      <c r="CA73">
        <v>0</v>
      </c>
    </row>
    <row r="74" spans="6:79" x14ac:dyDescent="0.3">
      <c r="F74" s="2"/>
      <c r="G74" s="2"/>
      <c r="H74" s="13"/>
      <c r="I74" s="13"/>
      <c r="BA74">
        <f t="shared" si="1"/>
        <v>73</v>
      </c>
      <c r="BB74" s="12" t="s">
        <v>139</v>
      </c>
      <c r="BD74" t="s">
        <v>33</v>
      </c>
      <c r="BE74" t="s">
        <v>135</v>
      </c>
      <c r="BF74" t="s">
        <v>35</v>
      </c>
      <c r="BG74">
        <v>500</v>
      </c>
      <c r="BH74">
        <v>4500</v>
      </c>
      <c r="BI74">
        <v>1000</v>
      </c>
      <c r="BJ74">
        <v>4000</v>
      </c>
      <c r="BK74">
        <v>620</v>
      </c>
      <c r="BL74">
        <v>600</v>
      </c>
      <c r="BM74">
        <v>2970</v>
      </c>
      <c r="BN74">
        <v>2310</v>
      </c>
      <c r="BO74">
        <v>0</v>
      </c>
      <c r="BP74">
        <v>4000</v>
      </c>
      <c r="BQ74">
        <f>SUM(SimpleDashData83[[#This Row],[Convayance]:[Misc]])</f>
        <v>20500</v>
      </c>
      <c r="BR74">
        <v>658</v>
      </c>
      <c r="BS74">
        <v>639</v>
      </c>
      <c r="BT74">
        <v>278</v>
      </c>
      <c r="BU74">
        <f>SUM(SimpleDashData83[[#This Row],[Male]:[Child]])</f>
        <v>1575</v>
      </c>
      <c r="BV74">
        <v>63</v>
      </c>
      <c r="BW74">
        <v>9530</v>
      </c>
      <c r="BZ74">
        <f>SimpleDashData83[[#This Row],[Total Expense]]/SimpleDashData83[[#This Row],[Total Patients]]</f>
        <v>13.015873015873016</v>
      </c>
      <c r="CA74">
        <v>0</v>
      </c>
    </row>
    <row r="75" spans="6:79" x14ac:dyDescent="0.3">
      <c r="F75" s="2"/>
      <c r="G75" s="2"/>
      <c r="H75" s="13"/>
      <c r="I75" s="13"/>
      <c r="BA75">
        <f t="shared" si="1"/>
        <v>74</v>
      </c>
      <c r="BB75" s="12" t="s">
        <v>140</v>
      </c>
      <c r="BD75" t="s">
        <v>33</v>
      </c>
      <c r="BE75" t="s">
        <v>135</v>
      </c>
      <c r="BF75" t="s">
        <v>35</v>
      </c>
      <c r="BG75">
        <v>0</v>
      </c>
      <c r="BH75">
        <v>1880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1000</v>
      </c>
      <c r="BP75">
        <v>0</v>
      </c>
      <c r="BQ75">
        <f>SUM(SimpleDashData83[[#This Row],[Convayance]:[Misc]])</f>
        <v>2880</v>
      </c>
      <c r="BR75">
        <v>1062</v>
      </c>
      <c r="BS75">
        <v>898</v>
      </c>
      <c r="BT75">
        <v>281</v>
      </c>
      <c r="BU75">
        <f>SUM(SimpleDashData83[[#This Row],[Male]:[Child]])</f>
        <v>2241</v>
      </c>
      <c r="BV75">
        <v>89.64</v>
      </c>
      <c r="BW75">
        <v>9450</v>
      </c>
      <c r="BZ75">
        <f>SimpleDashData83[[#This Row],[Total Expense]]/SimpleDashData83[[#This Row],[Total Patients]]</f>
        <v>1.285140562248996</v>
      </c>
      <c r="CA75">
        <v>0</v>
      </c>
    </row>
    <row r="76" spans="6:79" x14ac:dyDescent="0.3">
      <c r="F76" s="2"/>
      <c r="G76" s="2"/>
      <c r="H76" s="13"/>
      <c r="I76" s="13"/>
      <c r="BA76">
        <f t="shared" si="1"/>
        <v>75</v>
      </c>
      <c r="BB76" s="12" t="s">
        <v>141</v>
      </c>
      <c r="BD76" t="s">
        <v>33</v>
      </c>
      <c r="BE76" t="s">
        <v>135</v>
      </c>
      <c r="BF76" t="s">
        <v>35</v>
      </c>
      <c r="BG76">
        <v>0</v>
      </c>
      <c r="BH76">
        <v>1384</v>
      </c>
      <c r="BI76">
        <v>500</v>
      </c>
      <c r="BJ76">
        <v>0</v>
      </c>
      <c r="BK76">
        <v>0</v>
      </c>
      <c r="BL76">
        <v>100</v>
      </c>
      <c r="BM76">
        <v>0</v>
      </c>
      <c r="BN76">
        <v>5725</v>
      </c>
      <c r="BO76">
        <v>980</v>
      </c>
      <c r="BP76">
        <v>0</v>
      </c>
      <c r="BQ76">
        <f>SUM(SimpleDashData83[[#This Row],[Convayance]:[Misc]])</f>
        <v>8689</v>
      </c>
      <c r="BR76">
        <v>978</v>
      </c>
      <c r="BS76">
        <v>596</v>
      </c>
      <c r="BT76">
        <v>270</v>
      </c>
      <c r="BU76">
        <f>SUM(SimpleDashData83[[#This Row],[Male]:[Child]])</f>
        <v>1844</v>
      </c>
      <c r="BV76">
        <v>73.760000000000005</v>
      </c>
      <c r="BW76">
        <v>1500</v>
      </c>
      <c r="BZ76">
        <f>SimpleDashData83[[#This Row],[Total Expense]]/SimpleDashData83[[#This Row],[Total Patients]]</f>
        <v>4.7120390455531451</v>
      </c>
      <c r="CA76">
        <v>0</v>
      </c>
    </row>
    <row r="77" spans="6:79" x14ac:dyDescent="0.3">
      <c r="F77" s="2"/>
      <c r="G77" s="2"/>
      <c r="H77" s="13"/>
      <c r="I77" s="13"/>
      <c r="BA77">
        <f t="shared" si="1"/>
        <v>76</v>
      </c>
      <c r="BB77" s="12" t="s">
        <v>142</v>
      </c>
      <c r="BD77" t="s">
        <v>33</v>
      </c>
      <c r="BE77" t="s">
        <v>135</v>
      </c>
      <c r="BF77" t="s">
        <v>64</v>
      </c>
      <c r="BG77">
        <v>0</v>
      </c>
      <c r="BH77">
        <v>0</v>
      </c>
      <c r="BI77">
        <v>0</v>
      </c>
      <c r="BJ77">
        <v>5970</v>
      </c>
      <c r="BK77">
        <v>150</v>
      </c>
      <c r="BL77">
        <v>400</v>
      </c>
      <c r="BM77">
        <v>0</v>
      </c>
      <c r="BN77">
        <v>0</v>
      </c>
      <c r="BO77">
        <v>0</v>
      </c>
      <c r="BP77">
        <v>0</v>
      </c>
      <c r="BQ77">
        <f>SUM(SimpleDashData83[[#This Row],[Convayance]:[Misc]])</f>
        <v>6520</v>
      </c>
      <c r="BR77">
        <v>2892</v>
      </c>
      <c r="BS77">
        <v>0</v>
      </c>
      <c r="BT77">
        <v>0</v>
      </c>
      <c r="BU77">
        <f>SUM(SimpleDashData83[[#This Row],[Male]:[Child]])</f>
        <v>2892</v>
      </c>
      <c r="BV77">
        <v>115.68</v>
      </c>
      <c r="BW77">
        <v>9215</v>
      </c>
      <c r="BZ77">
        <f>SimpleDashData83[[#This Row],[Total Expense]]/SimpleDashData83[[#This Row],[Total Patients]]</f>
        <v>2.2544951590594744</v>
      </c>
      <c r="CA77">
        <v>0</v>
      </c>
    </row>
    <row r="78" spans="6:79" x14ac:dyDescent="0.3">
      <c r="F78" s="2"/>
      <c r="G78" s="2"/>
      <c r="H78" s="13"/>
      <c r="I78" s="13"/>
      <c r="BA78">
        <f t="shared" si="1"/>
        <v>77</v>
      </c>
      <c r="BB78" s="12" t="s">
        <v>143</v>
      </c>
      <c r="BD78" t="s">
        <v>33</v>
      </c>
      <c r="BE78" t="s">
        <v>135</v>
      </c>
      <c r="BF78" t="s">
        <v>64</v>
      </c>
      <c r="BG78">
        <v>0</v>
      </c>
      <c r="BH78">
        <v>0</v>
      </c>
      <c r="BI78">
        <v>0</v>
      </c>
      <c r="BJ78">
        <v>4830</v>
      </c>
      <c r="BK78">
        <v>105</v>
      </c>
      <c r="BL78">
        <v>470</v>
      </c>
      <c r="BM78">
        <v>0</v>
      </c>
      <c r="BN78">
        <v>770</v>
      </c>
      <c r="BO78">
        <v>0</v>
      </c>
      <c r="BP78">
        <v>380</v>
      </c>
      <c r="BQ78">
        <f>SUM(SimpleDashData83[[#This Row],[Convayance]:[Misc]])</f>
        <v>6555</v>
      </c>
      <c r="BR78">
        <v>1410</v>
      </c>
      <c r="BS78">
        <v>99</v>
      </c>
      <c r="BT78">
        <v>154</v>
      </c>
      <c r="BU78">
        <f>SUM(SimpleDashData83[[#This Row],[Male]:[Child]])</f>
        <v>1663</v>
      </c>
      <c r="BV78">
        <v>66.52</v>
      </c>
      <c r="BW78">
        <v>5988</v>
      </c>
      <c r="BZ78">
        <f>SimpleDashData83[[#This Row],[Total Expense]]/SimpleDashData83[[#This Row],[Total Patients]]</f>
        <v>3.9416716776909202</v>
      </c>
      <c r="CA78">
        <v>0</v>
      </c>
    </row>
    <row r="79" spans="6:79" x14ac:dyDescent="0.3">
      <c r="F79" s="2"/>
      <c r="G79" s="2"/>
      <c r="H79" s="13"/>
      <c r="I79" s="13"/>
      <c r="BA79">
        <f t="shared" si="1"/>
        <v>78</v>
      </c>
      <c r="BB79" s="12" t="s">
        <v>144</v>
      </c>
      <c r="BD79" t="s">
        <v>33</v>
      </c>
      <c r="BE79" t="s">
        <v>135</v>
      </c>
      <c r="BF79" t="s">
        <v>64</v>
      </c>
      <c r="BG79">
        <v>0</v>
      </c>
      <c r="BH79">
        <v>1000</v>
      </c>
      <c r="BI79">
        <v>0</v>
      </c>
      <c r="BJ79">
        <v>7800</v>
      </c>
      <c r="BK79">
        <v>400</v>
      </c>
      <c r="BL79">
        <v>500</v>
      </c>
      <c r="BM79">
        <v>0</v>
      </c>
      <c r="BN79">
        <v>0</v>
      </c>
      <c r="BO79">
        <v>0</v>
      </c>
      <c r="BP79">
        <v>0</v>
      </c>
      <c r="BQ79">
        <f>SUM(SimpleDashData83[[#This Row],[Convayance]:[Misc]])</f>
        <v>9700</v>
      </c>
      <c r="BR79">
        <v>3537</v>
      </c>
      <c r="BS79">
        <v>0</v>
      </c>
      <c r="BT79">
        <v>0</v>
      </c>
      <c r="BU79">
        <f>SUM(SimpleDashData83[[#This Row],[Male]:[Child]])</f>
        <v>3537</v>
      </c>
      <c r="BV79">
        <v>141.47999999999999</v>
      </c>
      <c r="BW79">
        <v>3326</v>
      </c>
      <c r="BZ79">
        <f>SimpleDashData83[[#This Row],[Total Expense]]/SimpleDashData83[[#This Row],[Total Patients]]</f>
        <v>2.7424370935821316</v>
      </c>
      <c r="CA79">
        <v>0</v>
      </c>
    </row>
    <row r="80" spans="6:79" x14ac:dyDescent="0.3">
      <c r="F80" s="2"/>
      <c r="G80" s="2"/>
      <c r="H80" s="13"/>
      <c r="I80" s="13"/>
      <c r="BA80">
        <f t="shared" si="1"/>
        <v>79</v>
      </c>
      <c r="BB80" s="12" t="s">
        <v>145</v>
      </c>
      <c r="BD80" t="s">
        <v>33</v>
      </c>
      <c r="BE80" t="s">
        <v>135</v>
      </c>
      <c r="BF80" t="s">
        <v>64</v>
      </c>
      <c r="BG80">
        <v>0</v>
      </c>
      <c r="BH80">
        <v>0</v>
      </c>
      <c r="BI80">
        <v>0</v>
      </c>
      <c r="BJ80">
        <v>530</v>
      </c>
      <c r="BK80">
        <v>105</v>
      </c>
      <c r="BL80">
        <v>825</v>
      </c>
      <c r="BM80">
        <v>0</v>
      </c>
      <c r="BN80">
        <v>260</v>
      </c>
      <c r="BO80">
        <v>0</v>
      </c>
      <c r="BP80">
        <v>0</v>
      </c>
      <c r="BQ80">
        <f>SUM(SimpleDashData83[[#This Row],[Convayance]:[Misc]])</f>
        <v>1720</v>
      </c>
      <c r="BR80">
        <v>835</v>
      </c>
      <c r="BS80">
        <v>0</v>
      </c>
      <c r="BT80">
        <v>0</v>
      </c>
      <c r="BU80">
        <f>SUM(SimpleDashData83[[#This Row],[Male]:[Child]])</f>
        <v>835</v>
      </c>
      <c r="BV80">
        <v>33.4</v>
      </c>
      <c r="BW80">
        <v>7336</v>
      </c>
      <c r="BZ80">
        <f>SimpleDashData83[[#This Row],[Total Expense]]/SimpleDashData83[[#This Row],[Total Patients]]</f>
        <v>2.0598802395209579</v>
      </c>
      <c r="CA80">
        <v>0</v>
      </c>
    </row>
    <row r="81" spans="6:79" x14ac:dyDescent="0.3">
      <c r="F81" s="2"/>
      <c r="G81" s="2"/>
      <c r="H81" s="13"/>
      <c r="I81" s="13"/>
      <c r="BA81">
        <f t="shared" si="1"/>
        <v>80</v>
      </c>
      <c r="BB81" s="12" t="s">
        <v>146</v>
      </c>
      <c r="BD81" t="s">
        <v>33</v>
      </c>
      <c r="BE81" t="s">
        <v>135</v>
      </c>
      <c r="BF81" t="s">
        <v>64</v>
      </c>
      <c r="BG81">
        <v>0</v>
      </c>
      <c r="BH81">
        <v>0</v>
      </c>
      <c r="BI81">
        <v>0</v>
      </c>
      <c r="BJ81">
        <v>10000</v>
      </c>
      <c r="BK81">
        <v>0</v>
      </c>
      <c r="BL81">
        <v>270</v>
      </c>
      <c r="BM81">
        <v>0</v>
      </c>
      <c r="BN81">
        <v>0</v>
      </c>
      <c r="BO81">
        <v>0</v>
      </c>
      <c r="BP81">
        <v>0</v>
      </c>
      <c r="BQ81">
        <f>SUM(SimpleDashData83[[#This Row],[Convayance]:[Misc]])</f>
        <v>10270</v>
      </c>
      <c r="BR81">
        <v>2853</v>
      </c>
      <c r="BS81">
        <v>0</v>
      </c>
      <c r="BT81">
        <v>0</v>
      </c>
      <c r="BU81">
        <f>SUM(SimpleDashData83[[#This Row],[Male]:[Child]])</f>
        <v>2853</v>
      </c>
      <c r="BV81">
        <v>114.12</v>
      </c>
      <c r="BW81">
        <v>1670</v>
      </c>
      <c r="BZ81">
        <f>SimpleDashData83[[#This Row],[Total Expense]]/SimpleDashData83[[#This Row],[Total Patients]]</f>
        <v>3.5997195934104451</v>
      </c>
      <c r="CA81">
        <v>0</v>
      </c>
    </row>
    <row r="82" spans="6:79" x14ac:dyDescent="0.3">
      <c r="F82" s="2"/>
      <c r="G82" s="2"/>
      <c r="H82" s="13"/>
      <c r="I82" s="13"/>
      <c r="BA82">
        <f t="shared" si="1"/>
        <v>81</v>
      </c>
      <c r="BB82" s="12" t="s">
        <v>147</v>
      </c>
      <c r="BD82" t="s">
        <v>33</v>
      </c>
      <c r="BE82" t="s">
        <v>135</v>
      </c>
      <c r="BF82" t="s">
        <v>64</v>
      </c>
      <c r="BG82">
        <v>990</v>
      </c>
      <c r="BH82">
        <v>0</v>
      </c>
      <c r="BI82">
        <v>0</v>
      </c>
      <c r="BJ82">
        <v>4900</v>
      </c>
      <c r="BK82">
        <v>495</v>
      </c>
      <c r="BL82">
        <v>0</v>
      </c>
      <c r="BM82">
        <v>0</v>
      </c>
      <c r="BN82">
        <v>340</v>
      </c>
      <c r="BO82">
        <v>0</v>
      </c>
      <c r="BP82">
        <v>0</v>
      </c>
      <c r="BQ82">
        <f>SUM(SimpleDashData83[[#This Row],[Convayance]:[Misc]])</f>
        <v>6725</v>
      </c>
      <c r="BR82">
        <v>2818</v>
      </c>
      <c r="BS82">
        <v>15</v>
      </c>
      <c r="BU82">
        <f>SUM(SimpleDashData83[[#This Row],[Male]:[Child]])</f>
        <v>2833</v>
      </c>
      <c r="BV82">
        <v>113.32</v>
      </c>
      <c r="BW82">
        <v>5706</v>
      </c>
      <c r="BZ82">
        <f>SimpleDashData83[[#This Row],[Total Expense]]/SimpleDashData83[[#This Row],[Total Patients]]</f>
        <v>2.3738086833745147</v>
      </c>
      <c r="CA82">
        <v>0</v>
      </c>
    </row>
    <row r="83" spans="6:79" x14ac:dyDescent="0.3">
      <c r="F83" s="2"/>
      <c r="G83" s="2"/>
      <c r="H83" s="13"/>
      <c r="I83" s="13"/>
      <c r="BA83">
        <f t="shared" si="1"/>
        <v>82</v>
      </c>
      <c r="BB83" s="12" t="s">
        <v>148</v>
      </c>
      <c r="BD83" t="s">
        <v>33</v>
      </c>
      <c r="BE83" t="s">
        <v>135</v>
      </c>
      <c r="BF83" t="s">
        <v>64</v>
      </c>
      <c r="BG83">
        <v>0</v>
      </c>
      <c r="BH83">
        <v>0</v>
      </c>
      <c r="BI83">
        <v>0</v>
      </c>
      <c r="BJ83">
        <v>7000</v>
      </c>
      <c r="BK83">
        <v>620</v>
      </c>
      <c r="BL83">
        <v>620</v>
      </c>
      <c r="BM83">
        <v>0</v>
      </c>
      <c r="BN83">
        <v>400</v>
      </c>
      <c r="BO83">
        <v>1000</v>
      </c>
      <c r="BP83">
        <v>0</v>
      </c>
      <c r="BQ83">
        <f>SUM(SimpleDashData83[[#This Row],[Convayance]:[Misc]])</f>
        <v>9640</v>
      </c>
      <c r="BR83">
        <v>3202</v>
      </c>
      <c r="BS83">
        <v>0</v>
      </c>
      <c r="BT83">
        <v>0</v>
      </c>
      <c r="BU83">
        <f>SUM(SimpleDashData83[[#This Row],[Male]:[Child]])</f>
        <v>3202</v>
      </c>
      <c r="BV83">
        <v>128.08000000000001</v>
      </c>
      <c r="BW83">
        <v>6032</v>
      </c>
      <c r="BZ83">
        <f>SimpleDashData83[[#This Row],[Total Expense]]/SimpleDashData83[[#This Row],[Total Patients]]</f>
        <v>3.0106183635227981</v>
      </c>
      <c r="CA83">
        <v>0</v>
      </c>
    </row>
    <row r="84" spans="6:79" x14ac:dyDescent="0.3">
      <c r="F84" s="2"/>
      <c r="G84" s="2"/>
      <c r="H84" s="13"/>
      <c r="I84" s="13"/>
      <c r="BA84">
        <f t="shared" si="1"/>
        <v>83</v>
      </c>
      <c r="BB84" s="12" t="s">
        <v>149</v>
      </c>
      <c r="BD84" t="s">
        <v>33</v>
      </c>
      <c r="BE84" t="s">
        <v>135</v>
      </c>
      <c r="BF84" t="s">
        <v>64</v>
      </c>
      <c r="BG84">
        <v>0</v>
      </c>
      <c r="BH84">
        <v>0</v>
      </c>
      <c r="BI84">
        <v>500</v>
      </c>
      <c r="BJ84">
        <v>5195</v>
      </c>
      <c r="BK84">
        <v>570</v>
      </c>
      <c r="BL84">
        <v>0</v>
      </c>
      <c r="BM84">
        <v>0</v>
      </c>
      <c r="BN84">
        <v>740</v>
      </c>
      <c r="BO84">
        <v>0</v>
      </c>
      <c r="BP84">
        <v>0</v>
      </c>
      <c r="BQ84">
        <f>SUM(SimpleDashData83[[#This Row],[Convayance]:[Misc]])</f>
        <v>7005</v>
      </c>
      <c r="BR84">
        <v>2053</v>
      </c>
      <c r="BS84">
        <v>0</v>
      </c>
      <c r="BT84">
        <v>0</v>
      </c>
      <c r="BU84">
        <f>SUM(SimpleDashData83[[#This Row],[Male]:[Child]])</f>
        <v>2053</v>
      </c>
      <c r="BV84">
        <v>82.12</v>
      </c>
      <c r="BW84">
        <v>6880</v>
      </c>
      <c r="BZ84">
        <f>SimpleDashData83[[#This Row],[Total Expense]]/SimpleDashData83[[#This Row],[Total Patients]]</f>
        <v>3.4120798830979053</v>
      </c>
      <c r="CA84">
        <v>0</v>
      </c>
    </row>
    <row r="85" spans="6:79" x14ac:dyDescent="0.3">
      <c r="F85" s="2"/>
      <c r="G85" s="2"/>
      <c r="H85" s="13"/>
      <c r="I85" s="13"/>
      <c r="BA85">
        <f t="shared" si="1"/>
        <v>84</v>
      </c>
      <c r="BB85" s="12" t="s">
        <v>150</v>
      </c>
      <c r="BD85" t="s">
        <v>33</v>
      </c>
      <c r="BE85" t="s">
        <v>135</v>
      </c>
      <c r="BF85" t="s">
        <v>64</v>
      </c>
      <c r="BG85">
        <v>1170</v>
      </c>
      <c r="BH85">
        <v>5350</v>
      </c>
      <c r="BI85">
        <v>0</v>
      </c>
      <c r="BJ85">
        <v>0</v>
      </c>
      <c r="BK85">
        <v>630</v>
      </c>
      <c r="BL85">
        <v>530</v>
      </c>
      <c r="BM85">
        <v>0</v>
      </c>
      <c r="BN85">
        <v>280</v>
      </c>
      <c r="BO85">
        <v>0</v>
      </c>
      <c r="BP85">
        <v>0</v>
      </c>
      <c r="BQ85">
        <f>SUM(SimpleDashData83[[#This Row],[Convayance]:[Misc]])</f>
        <v>7960</v>
      </c>
      <c r="BR85">
        <v>3145</v>
      </c>
      <c r="BS85">
        <v>0</v>
      </c>
      <c r="BT85">
        <v>0</v>
      </c>
      <c r="BU85">
        <f>SUM(SimpleDashData83[[#This Row],[Male]:[Child]])</f>
        <v>3145</v>
      </c>
      <c r="BV85">
        <v>125.8</v>
      </c>
      <c r="BW85">
        <v>4106</v>
      </c>
      <c r="BZ85">
        <f>SimpleDashData83[[#This Row],[Total Expense]]/SimpleDashData83[[#This Row],[Total Patients]]</f>
        <v>2.5310015898251192</v>
      </c>
      <c r="CA85">
        <v>0</v>
      </c>
    </row>
    <row r="86" spans="6:79" x14ac:dyDescent="0.3">
      <c r="F86" s="2"/>
      <c r="G86" s="2"/>
      <c r="H86" s="13"/>
      <c r="I86" s="13"/>
      <c r="BA86">
        <f t="shared" si="1"/>
        <v>85</v>
      </c>
      <c r="BB86" s="12" t="s">
        <v>151</v>
      </c>
      <c r="BD86" t="s">
        <v>33</v>
      </c>
      <c r="BE86" t="s">
        <v>135</v>
      </c>
      <c r="BF86" t="s">
        <v>64</v>
      </c>
      <c r="BG86">
        <v>0</v>
      </c>
      <c r="BH86">
        <v>0</v>
      </c>
      <c r="BI86">
        <v>0</v>
      </c>
      <c r="BJ86">
        <v>2200</v>
      </c>
      <c r="BK86">
        <v>0</v>
      </c>
      <c r="BL86">
        <v>0</v>
      </c>
      <c r="BM86">
        <v>0</v>
      </c>
      <c r="BN86">
        <v>1010</v>
      </c>
      <c r="BO86">
        <v>0</v>
      </c>
      <c r="BP86">
        <v>1500</v>
      </c>
      <c r="BQ86">
        <f>SUM(SimpleDashData83[[#This Row],[Convayance]:[Misc]])</f>
        <v>4710</v>
      </c>
      <c r="BR86">
        <v>990</v>
      </c>
      <c r="BS86">
        <v>0</v>
      </c>
      <c r="BT86">
        <v>0</v>
      </c>
      <c r="BU86">
        <f>SUM(SimpleDashData83[[#This Row],[Male]:[Child]])</f>
        <v>990</v>
      </c>
      <c r="BV86">
        <v>39.6</v>
      </c>
      <c r="BW86">
        <v>6444</v>
      </c>
      <c r="BZ86">
        <f>SimpleDashData83[[#This Row],[Total Expense]]/SimpleDashData83[[#This Row],[Total Patients]]</f>
        <v>4.7575757575757578</v>
      </c>
      <c r="CA86">
        <v>0</v>
      </c>
    </row>
    <row r="87" spans="6:79" x14ac:dyDescent="0.3">
      <c r="F87" s="2"/>
      <c r="G87" s="2"/>
      <c r="H87" s="13"/>
      <c r="I87" s="13"/>
      <c r="BA87">
        <f t="shared" si="1"/>
        <v>86</v>
      </c>
      <c r="BB87" s="12" t="s">
        <v>152</v>
      </c>
      <c r="BD87" t="s">
        <v>33</v>
      </c>
      <c r="BE87" t="s">
        <v>135</v>
      </c>
      <c r="BF87" t="s">
        <v>64</v>
      </c>
      <c r="BG87">
        <v>0</v>
      </c>
      <c r="BH87">
        <v>1000</v>
      </c>
      <c r="BI87">
        <v>0</v>
      </c>
      <c r="BJ87">
        <v>2700</v>
      </c>
      <c r="BK87">
        <v>0</v>
      </c>
      <c r="BL87">
        <v>400</v>
      </c>
      <c r="BM87">
        <v>0</v>
      </c>
      <c r="BN87">
        <v>240</v>
      </c>
      <c r="BO87">
        <v>0</v>
      </c>
      <c r="BP87">
        <v>560</v>
      </c>
      <c r="BQ87">
        <f>SUM(SimpleDashData83[[#This Row],[Convayance]:[Misc]])</f>
        <v>4900</v>
      </c>
      <c r="BR87">
        <v>3266</v>
      </c>
      <c r="BS87">
        <v>1</v>
      </c>
      <c r="BT87">
        <v>0</v>
      </c>
      <c r="BU87">
        <f>SUM(SimpleDashData83[[#This Row],[Male]:[Child]])</f>
        <v>3267</v>
      </c>
      <c r="BV87">
        <v>130.68</v>
      </c>
      <c r="BW87">
        <v>2196</v>
      </c>
      <c r="BZ87">
        <f>SimpleDashData83[[#This Row],[Total Expense]]/SimpleDashData83[[#This Row],[Total Patients]]</f>
        <v>1.4998469543924089</v>
      </c>
      <c r="CA87">
        <v>0</v>
      </c>
    </row>
    <row r="88" spans="6:79" x14ac:dyDescent="0.3">
      <c r="F88" s="2"/>
      <c r="G88" s="2"/>
      <c r="H88" s="13"/>
      <c r="I88" s="13"/>
      <c r="BA88">
        <f t="shared" si="1"/>
        <v>87</v>
      </c>
      <c r="BB88" s="12" t="s">
        <v>153</v>
      </c>
      <c r="BD88" t="s">
        <v>33</v>
      </c>
      <c r="BE88" t="s">
        <v>135</v>
      </c>
      <c r="BF88" t="s">
        <v>64</v>
      </c>
      <c r="BG88">
        <v>0</v>
      </c>
      <c r="BH88">
        <v>0</v>
      </c>
      <c r="BI88">
        <v>0</v>
      </c>
      <c r="BJ88">
        <v>200</v>
      </c>
      <c r="BK88">
        <v>0</v>
      </c>
      <c r="BL88">
        <v>90</v>
      </c>
      <c r="BM88">
        <v>0</v>
      </c>
      <c r="BN88">
        <v>0</v>
      </c>
      <c r="BO88">
        <v>0</v>
      </c>
      <c r="BP88">
        <v>0</v>
      </c>
      <c r="BQ88">
        <f>SUM(SimpleDashData83[[#This Row],[Convayance]:[Misc]])</f>
        <v>290</v>
      </c>
      <c r="BR88">
        <v>397</v>
      </c>
      <c r="BS88">
        <v>4</v>
      </c>
      <c r="BT88">
        <v>0</v>
      </c>
      <c r="BU88">
        <f>SUM(SimpleDashData83[[#This Row],[Male]:[Child]])</f>
        <v>401</v>
      </c>
      <c r="BV88">
        <v>16.04</v>
      </c>
      <c r="BW88">
        <v>9801</v>
      </c>
      <c r="BZ88">
        <f>SimpleDashData83[[#This Row],[Total Expense]]/SimpleDashData83[[#This Row],[Total Patients]]</f>
        <v>0.72319201995012472</v>
      </c>
      <c r="CA88">
        <v>0</v>
      </c>
    </row>
    <row r="89" spans="6:79" x14ac:dyDescent="0.3">
      <c r="F89" s="2"/>
      <c r="G89" s="2"/>
      <c r="H89" s="13"/>
      <c r="I89" s="13"/>
      <c r="BA89">
        <f t="shared" si="1"/>
        <v>88</v>
      </c>
      <c r="BB89" s="12" t="s">
        <v>154</v>
      </c>
      <c r="BD89" t="s">
        <v>33</v>
      </c>
      <c r="BE89" t="s">
        <v>135</v>
      </c>
      <c r="BF89" t="s">
        <v>64</v>
      </c>
      <c r="BG89">
        <v>0</v>
      </c>
      <c r="BH89">
        <v>0</v>
      </c>
      <c r="BI89">
        <v>0</v>
      </c>
      <c r="BJ89">
        <v>9900</v>
      </c>
      <c r="BK89">
        <v>0</v>
      </c>
      <c r="BL89">
        <v>1440</v>
      </c>
      <c r="BM89">
        <v>0</v>
      </c>
      <c r="BN89">
        <v>600</v>
      </c>
      <c r="BO89">
        <v>1000</v>
      </c>
      <c r="BP89">
        <v>0</v>
      </c>
      <c r="BQ89">
        <f>SUM(SimpleDashData83[[#This Row],[Convayance]:[Misc]])</f>
        <v>12940</v>
      </c>
      <c r="BR89">
        <v>2403</v>
      </c>
      <c r="BS89">
        <v>29</v>
      </c>
      <c r="BT89">
        <v>49</v>
      </c>
      <c r="BU89">
        <f>SUM(SimpleDashData83[[#This Row],[Male]:[Child]])</f>
        <v>2481</v>
      </c>
      <c r="BV89">
        <v>99.24</v>
      </c>
      <c r="BW89">
        <v>1203</v>
      </c>
      <c r="BZ89">
        <f>SimpleDashData83[[#This Row],[Total Expense]]/SimpleDashData83[[#This Row],[Total Patients]]</f>
        <v>5.2156388553002824</v>
      </c>
      <c r="CA89">
        <v>0</v>
      </c>
    </row>
    <row r="90" spans="6:79" x14ac:dyDescent="0.3">
      <c r="F90" s="2"/>
      <c r="G90" s="2"/>
      <c r="H90" s="13"/>
      <c r="I90" s="13"/>
      <c r="BA90">
        <f t="shared" si="1"/>
        <v>89</v>
      </c>
      <c r="BB90" s="12" t="s">
        <v>155</v>
      </c>
      <c r="BD90" t="s">
        <v>33</v>
      </c>
      <c r="BE90" t="s">
        <v>135</v>
      </c>
      <c r="BF90" t="s">
        <v>64</v>
      </c>
      <c r="BG90">
        <v>0</v>
      </c>
      <c r="BH90">
        <v>0</v>
      </c>
      <c r="BI90">
        <v>0</v>
      </c>
      <c r="BJ90">
        <v>3600</v>
      </c>
      <c r="BK90">
        <v>300</v>
      </c>
      <c r="BL90">
        <v>0</v>
      </c>
      <c r="BM90">
        <v>0</v>
      </c>
      <c r="BN90">
        <v>580</v>
      </c>
      <c r="BO90">
        <v>0</v>
      </c>
      <c r="BP90">
        <v>0</v>
      </c>
      <c r="BQ90">
        <f>SUM(SimpleDashData83[[#This Row],[Convayance]:[Misc]])</f>
        <v>4480</v>
      </c>
      <c r="BR90">
        <v>2150</v>
      </c>
      <c r="BS90">
        <v>0</v>
      </c>
      <c r="BT90">
        <v>0</v>
      </c>
      <c r="BU90">
        <f>SUM(SimpleDashData83[[#This Row],[Male]:[Child]])</f>
        <v>2150</v>
      </c>
      <c r="BV90">
        <v>86</v>
      </c>
      <c r="BW90">
        <v>9924</v>
      </c>
      <c r="BZ90">
        <f>SimpleDashData83[[#This Row],[Total Expense]]/SimpleDashData83[[#This Row],[Total Patients]]</f>
        <v>2.0837209302325581</v>
      </c>
      <c r="CA90">
        <v>0</v>
      </c>
    </row>
    <row r="91" spans="6:79" x14ac:dyDescent="0.3">
      <c r="F91" s="2"/>
      <c r="G91" s="2"/>
      <c r="H91" s="13"/>
      <c r="I91" s="13"/>
      <c r="BA91">
        <f t="shared" si="1"/>
        <v>90</v>
      </c>
      <c r="BB91" s="12" t="s">
        <v>156</v>
      </c>
      <c r="BD91" t="s">
        <v>33</v>
      </c>
      <c r="BE91" t="s">
        <v>135</v>
      </c>
      <c r="BF91" t="s">
        <v>64</v>
      </c>
      <c r="BG91">
        <v>0</v>
      </c>
      <c r="BH91">
        <v>0</v>
      </c>
      <c r="BI91">
        <v>0</v>
      </c>
      <c r="BJ91">
        <v>3730</v>
      </c>
      <c r="BK91">
        <v>570</v>
      </c>
      <c r="BL91">
        <v>0</v>
      </c>
      <c r="BM91">
        <v>0</v>
      </c>
      <c r="BN91">
        <v>360</v>
      </c>
      <c r="BO91">
        <v>0</v>
      </c>
      <c r="BP91">
        <v>0</v>
      </c>
      <c r="BQ91">
        <f>SUM(SimpleDashData83[[#This Row],[Convayance]:[Misc]])</f>
        <v>4660</v>
      </c>
      <c r="BR91">
        <v>2582</v>
      </c>
      <c r="BS91">
        <v>0</v>
      </c>
      <c r="BT91">
        <v>0</v>
      </c>
      <c r="BU91">
        <f>SUM(SimpleDashData83[[#This Row],[Male]:[Child]])</f>
        <v>2582</v>
      </c>
      <c r="BV91">
        <v>103.28</v>
      </c>
      <c r="BW91">
        <v>8600</v>
      </c>
      <c r="BZ91">
        <f>SimpleDashData83[[#This Row],[Total Expense]]/SimpleDashData83[[#This Row],[Total Patients]]</f>
        <v>1.8048024786986832</v>
      </c>
      <c r="CA91">
        <v>0</v>
      </c>
    </row>
    <row r="92" spans="6:79" x14ac:dyDescent="0.3">
      <c r="F92" s="2"/>
      <c r="G92" s="2"/>
      <c r="H92" s="13"/>
      <c r="I92" s="13"/>
      <c r="BA92">
        <f t="shared" si="1"/>
        <v>91</v>
      </c>
      <c r="BB92" s="12" t="s">
        <v>157</v>
      </c>
      <c r="BD92" t="s">
        <v>33</v>
      </c>
      <c r="BE92" t="s">
        <v>135</v>
      </c>
      <c r="BF92" t="s">
        <v>64</v>
      </c>
      <c r="BG92">
        <v>0</v>
      </c>
      <c r="BH92">
        <v>1000</v>
      </c>
      <c r="BI92">
        <v>0</v>
      </c>
      <c r="BJ92">
        <v>2930</v>
      </c>
      <c r="BK92">
        <v>520</v>
      </c>
      <c r="BL92">
        <v>240</v>
      </c>
      <c r="BM92">
        <v>0</v>
      </c>
      <c r="BN92">
        <v>160</v>
      </c>
      <c r="BO92">
        <v>0</v>
      </c>
      <c r="BP92">
        <v>0</v>
      </c>
      <c r="BQ92">
        <f>SUM(SimpleDashData83[[#This Row],[Convayance]:[Misc]])</f>
        <v>4850</v>
      </c>
      <c r="BR92">
        <v>2024</v>
      </c>
      <c r="BS92">
        <v>0</v>
      </c>
      <c r="BT92">
        <v>0</v>
      </c>
      <c r="BU92">
        <f>SUM(SimpleDashData83[[#This Row],[Male]:[Child]])</f>
        <v>2024</v>
      </c>
      <c r="BV92">
        <v>80.959999999999994</v>
      </c>
      <c r="BW92">
        <v>5164</v>
      </c>
      <c r="BZ92">
        <f>SimpleDashData83[[#This Row],[Total Expense]]/SimpleDashData83[[#This Row],[Total Patients]]</f>
        <v>2.3962450592885376</v>
      </c>
      <c r="CA92">
        <v>0</v>
      </c>
    </row>
    <row r="93" spans="6:79" x14ac:dyDescent="0.3">
      <c r="F93" s="2"/>
      <c r="G93" s="2"/>
      <c r="H93" s="13"/>
      <c r="I93" s="13"/>
      <c r="BA93">
        <f t="shared" si="1"/>
        <v>92</v>
      </c>
      <c r="BB93" s="12" t="s">
        <v>158</v>
      </c>
      <c r="BD93" t="s">
        <v>33</v>
      </c>
      <c r="BE93" t="s">
        <v>135</v>
      </c>
      <c r="BF93" t="s">
        <v>64</v>
      </c>
      <c r="BG93">
        <v>0</v>
      </c>
      <c r="BH93">
        <v>1000</v>
      </c>
      <c r="BI93">
        <v>0</v>
      </c>
      <c r="BJ93">
        <v>5540</v>
      </c>
      <c r="BK93">
        <v>570</v>
      </c>
      <c r="BL93">
        <v>0</v>
      </c>
      <c r="BM93">
        <v>0</v>
      </c>
      <c r="BN93">
        <v>0</v>
      </c>
      <c r="BO93">
        <v>1198</v>
      </c>
      <c r="BP93">
        <v>0</v>
      </c>
      <c r="BQ93">
        <f>SUM(SimpleDashData83[[#This Row],[Convayance]:[Misc]])</f>
        <v>8308</v>
      </c>
      <c r="BR93">
        <v>1989</v>
      </c>
      <c r="BS93">
        <v>0</v>
      </c>
      <c r="BT93">
        <v>0</v>
      </c>
      <c r="BU93">
        <f>SUM(SimpleDashData83[[#This Row],[Male]:[Child]])</f>
        <v>1989</v>
      </c>
      <c r="BV93">
        <v>79.56</v>
      </c>
      <c r="BW93">
        <v>4048</v>
      </c>
      <c r="BZ93">
        <f>SimpleDashData83[[#This Row],[Total Expense]]/SimpleDashData83[[#This Row],[Total Patients]]</f>
        <v>4.1769733534439419</v>
      </c>
      <c r="CA93">
        <v>0</v>
      </c>
    </row>
    <row r="94" spans="6:79" x14ac:dyDescent="0.3">
      <c r="F94" s="2"/>
      <c r="G94" s="2"/>
      <c r="H94" s="13"/>
      <c r="I94" s="13"/>
      <c r="BA94">
        <f t="shared" si="1"/>
        <v>93</v>
      </c>
      <c r="BB94" s="12" t="s">
        <v>159</v>
      </c>
      <c r="BD94" t="s">
        <v>33</v>
      </c>
      <c r="BE94" t="s">
        <v>135</v>
      </c>
      <c r="BF94" t="s">
        <v>64</v>
      </c>
      <c r="BG94">
        <v>0</v>
      </c>
      <c r="BH94">
        <v>2330</v>
      </c>
      <c r="BI94">
        <v>1000</v>
      </c>
      <c r="BJ94">
        <v>7300</v>
      </c>
      <c r="BK94">
        <v>0</v>
      </c>
      <c r="BL94">
        <v>120</v>
      </c>
      <c r="BM94">
        <v>0</v>
      </c>
      <c r="BN94">
        <v>980</v>
      </c>
      <c r="BO94">
        <v>0</v>
      </c>
      <c r="BP94">
        <v>0</v>
      </c>
      <c r="BQ94">
        <f>SUM(SimpleDashData83[[#This Row],[Convayance]:[Misc]])</f>
        <v>11730</v>
      </c>
      <c r="BR94">
        <v>3011</v>
      </c>
      <c r="BS94">
        <v>0</v>
      </c>
      <c r="BT94">
        <v>0</v>
      </c>
      <c r="BU94">
        <f>SUM(SimpleDashData83[[#This Row],[Male]:[Child]])</f>
        <v>3011</v>
      </c>
      <c r="BV94">
        <v>120.44</v>
      </c>
      <c r="BW94">
        <v>4148</v>
      </c>
      <c r="BZ94">
        <f>SimpleDashData83[[#This Row],[Total Expense]]/SimpleDashData83[[#This Row],[Total Patients]]</f>
        <v>3.8957157090667551</v>
      </c>
      <c r="CA94">
        <v>0</v>
      </c>
    </row>
    <row r="95" spans="6:79" x14ac:dyDescent="0.3">
      <c r="F95" s="2"/>
      <c r="G95" s="2"/>
      <c r="H95" s="13"/>
      <c r="I95" s="13"/>
      <c r="BA95">
        <f t="shared" si="1"/>
        <v>94</v>
      </c>
      <c r="BB95" s="12" t="s">
        <v>160</v>
      </c>
      <c r="BD95" t="s">
        <v>33</v>
      </c>
      <c r="BE95" t="s">
        <v>135</v>
      </c>
      <c r="BF95" t="s">
        <v>64</v>
      </c>
      <c r="BG95">
        <v>0</v>
      </c>
      <c r="BH95">
        <v>1000</v>
      </c>
      <c r="BI95">
        <v>0</v>
      </c>
      <c r="BJ95">
        <v>0</v>
      </c>
      <c r="BK95">
        <v>570</v>
      </c>
      <c r="BL95">
        <v>410</v>
      </c>
      <c r="BM95">
        <v>0</v>
      </c>
      <c r="BN95">
        <v>2290</v>
      </c>
      <c r="BO95">
        <v>0</v>
      </c>
      <c r="BP95">
        <v>250</v>
      </c>
      <c r="BQ95">
        <f>SUM(SimpleDashData83[[#This Row],[Convayance]:[Misc]])</f>
        <v>4520</v>
      </c>
      <c r="BR95">
        <v>2416</v>
      </c>
      <c r="BS95">
        <v>0</v>
      </c>
      <c r="BT95">
        <v>0</v>
      </c>
      <c r="BU95">
        <f>SUM(SimpleDashData83[[#This Row],[Male]:[Child]])</f>
        <v>2416</v>
      </c>
      <c r="BV95">
        <v>96.64</v>
      </c>
      <c r="BW95">
        <v>6022</v>
      </c>
      <c r="BZ95">
        <f>SimpleDashData83[[#This Row],[Total Expense]]/SimpleDashData83[[#This Row],[Total Patients]]</f>
        <v>1.8708609271523178</v>
      </c>
      <c r="CA95">
        <v>0</v>
      </c>
    </row>
    <row r="96" spans="6:79" x14ac:dyDescent="0.3">
      <c r="F96" s="2"/>
      <c r="G96" s="2"/>
      <c r="H96" s="13"/>
      <c r="I96" s="13"/>
      <c r="BA96">
        <f t="shared" si="1"/>
        <v>95</v>
      </c>
      <c r="BB96" s="12" t="s">
        <v>161</v>
      </c>
      <c r="BD96" t="s">
        <v>33</v>
      </c>
      <c r="BE96" t="s">
        <v>135</v>
      </c>
      <c r="BF96" t="s">
        <v>64</v>
      </c>
      <c r="BG96">
        <v>0</v>
      </c>
      <c r="BH96">
        <v>0</v>
      </c>
      <c r="BI96">
        <v>0</v>
      </c>
      <c r="BJ96">
        <v>730</v>
      </c>
      <c r="BK96">
        <v>570</v>
      </c>
      <c r="BL96">
        <v>600</v>
      </c>
      <c r="BM96">
        <v>0</v>
      </c>
      <c r="BN96">
        <v>260</v>
      </c>
      <c r="BO96">
        <v>1000</v>
      </c>
      <c r="BP96">
        <v>0</v>
      </c>
      <c r="BQ96">
        <f>SUM(SimpleDashData83[[#This Row],[Convayance]:[Misc]])</f>
        <v>3160</v>
      </c>
      <c r="BR96">
        <v>2145</v>
      </c>
      <c r="BS96">
        <v>0</v>
      </c>
      <c r="BT96">
        <v>0</v>
      </c>
      <c r="BU96">
        <f>SUM(SimpleDashData83[[#This Row],[Male]:[Child]])</f>
        <v>2145</v>
      </c>
      <c r="BV96">
        <v>85.8</v>
      </c>
      <c r="BW96">
        <v>5781</v>
      </c>
      <c r="BZ96">
        <f>SimpleDashData83[[#This Row],[Total Expense]]/SimpleDashData83[[#This Row],[Total Patients]]</f>
        <v>1.4731934731934733</v>
      </c>
      <c r="CA96">
        <v>0</v>
      </c>
    </row>
    <row r="97" spans="6:79" x14ac:dyDescent="0.3">
      <c r="F97" s="2"/>
      <c r="G97" s="2"/>
      <c r="H97" s="13"/>
      <c r="I97" s="13"/>
      <c r="BA97">
        <f t="shared" si="1"/>
        <v>96</v>
      </c>
      <c r="BB97" s="12" t="s">
        <v>162</v>
      </c>
      <c r="BD97" t="s">
        <v>33</v>
      </c>
      <c r="BE97" t="s">
        <v>135</v>
      </c>
      <c r="BF97" t="s">
        <v>64</v>
      </c>
      <c r="BG97">
        <v>965</v>
      </c>
      <c r="BH97">
        <v>0</v>
      </c>
      <c r="BI97">
        <v>0</v>
      </c>
      <c r="BJ97">
        <v>5880</v>
      </c>
      <c r="BK97">
        <v>520</v>
      </c>
      <c r="BL97">
        <v>290</v>
      </c>
      <c r="BM97">
        <v>0</v>
      </c>
      <c r="BN97">
        <v>1130</v>
      </c>
      <c r="BO97">
        <v>0</v>
      </c>
      <c r="BP97">
        <v>0</v>
      </c>
      <c r="BQ97">
        <f>SUM(SimpleDashData83[[#This Row],[Convayance]:[Misc]])</f>
        <v>8785</v>
      </c>
      <c r="BR97">
        <v>2197</v>
      </c>
      <c r="BS97">
        <v>0</v>
      </c>
      <c r="BT97">
        <v>0</v>
      </c>
      <c r="BU97">
        <f>SUM(SimpleDashData83[[#This Row],[Male]:[Child]])</f>
        <v>2197</v>
      </c>
      <c r="BV97">
        <v>87.88</v>
      </c>
      <c r="BW97">
        <v>4290</v>
      </c>
      <c r="BZ97">
        <f>SimpleDashData83[[#This Row],[Total Expense]]/SimpleDashData83[[#This Row],[Total Patients]]</f>
        <v>3.9986345015930813</v>
      </c>
      <c r="CA97">
        <v>0</v>
      </c>
    </row>
    <row r="98" spans="6:79" x14ac:dyDescent="0.3">
      <c r="F98" s="2"/>
      <c r="G98" s="2"/>
      <c r="H98" s="13"/>
      <c r="I98" s="13"/>
      <c r="BA98">
        <f t="shared" si="1"/>
        <v>97</v>
      </c>
      <c r="BB98" s="12" t="s">
        <v>163</v>
      </c>
      <c r="BD98" t="s">
        <v>33</v>
      </c>
      <c r="BE98" t="s">
        <v>135</v>
      </c>
      <c r="BF98" t="s">
        <v>64</v>
      </c>
      <c r="BG98">
        <v>0</v>
      </c>
      <c r="BH98">
        <v>1230</v>
      </c>
      <c r="BI98">
        <v>0</v>
      </c>
      <c r="BJ98">
        <v>0</v>
      </c>
      <c r="BK98">
        <v>570</v>
      </c>
      <c r="BL98">
        <v>0</v>
      </c>
      <c r="BM98">
        <v>0</v>
      </c>
      <c r="BN98">
        <v>0</v>
      </c>
      <c r="BO98">
        <v>0</v>
      </c>
      <c r="BP98">
        <v>800</v>
      </c>
      <c r="BQ98">
        <f>SUM(SimpleDashData83[[#This Row],[Convayance]:[Misc]])</f>
        <v>2600</v>
      </c>
      <c r="BR98">
        <v>72</v>
      </c>
      <c r="BS98">
        <v>464</v>
      </c>
      <c r="BT98">
        <v>75</v>
      </c>
      <c r="BU98">
        <f>SUM(SimpleDashData83[[#This Row],[Male]:[Child]])</f>
        <v>611</v>
      </c>
      <c r="BV98">
        <v>24.44</v>
      </c>
      <c r="BW98">
        <v>4540</v>
      </c>
      <c r="BZ98">
        <f>SimpleDashData83[[#This Row],[Total Expense]]/SimpleDashData83[[#This Row],[Total Patients]]</f>
        <v>4.2553191489361701</v>
      </c>
      <c r="CA98">
        <v>0</v>
      </c>
    </row>
    <row r="99" spans="6:79" x14ac:dyDescent="0.3">
      <c r="F99" s="2"/>
      <c r="G99" s="2"/>
      <c r="H99" s="13"/>
      <c r="I99" s="13"/>
      <c r="BA99">
        <f t="shared" si="1"/>
        <v>98</v>
      </c>
      <c r="BB99" s="12" t="s">
        <v>164</v>
      </c>
      <c r="BD99" t="s">
        <v>33</v>
      </c>
      <c r="BE99" t="s">
        <v>135</v>
      </c>
      <c r="BF99" t="s">
        <v>64</v>
      </c>
      <c r="BG99">
        <v>0</v>
      </c>
      <c r="BH99">
        <v>680</v>
      </c>
      <c r="BI99">
        <v>0</v>
      </c>
      <c r="BJ99">
        <v>5880</v>
      </c>
      <c r="BK99">
        <v>150</v>
      </c>
      <c r="BL99">
        <v>100</v>
      </c>
      <c r="BM99">
        <v>0</v>
      </c>
      <c r="BN99">
        <v>1000</v>
      </c>
      <c r="BO99">
        <v>500</v>
      </c>
      <c r="BP99">
        <v>0</v>
      </c>
      <c r="BQ99">
        <f>SUM(SimpleDashData83[[#This Row],[Convayance]:[Misc]])</f>
        <v>8310</v>
      </c>
      <c r="BR99">
        <v>2507</v>
      </c>
      <c r="BS99">
        <v>14</v>
      </c>
      <c r="BT99">
        <v>0</v>
      </c>
      <c r="BU99">
        <f>SUM(SimpleDashData83[[#This Row],[Male]:[Child]])</f>
        <v>2521</v>
      </c>
      <c r="BV99">
        <v>100.84</v>
      </c>
      <c r="BW99">
        <v>1579</v>
      </c>
      <c r="BZ99">
        <f>SimpleDashData83[[#This Row],[Total Expense]]/SimpleDashData83[[#This Row],[Total Patients]]</f>
        <v>3.2963109877032926</v>
      </c>
      <c r="CA99">
        <v>0</v>
      </c>
    </row>
    <row r="100" spans="6:79" x14ac:dyDescent="0.3">
      <c r="F100" s="2"/>
      <c r="G100" s="2"/>
      <c r="H100" s="13"/>
      <c r="I100" s="13"/>
      <c r="BA100">
        <f t="shared" si="1"/>
        <v>99</v>
      </c>
      <c r="BB100" s="12" t="s">
        <v>165</v>
      </c>
      <c r="BD100" t="s">
        <v>33</v>
      </c>
      <c r="BE100" t="s">
        <v>135</v>
      </c>
      <c r="BF100" t="s">
        <v>64</v>
      </c>
      <c r="BG100">
        <v>0</v>
      </c>
      <c r="BH100">
        <v>0</v>
      </c>
      <c r="BI100">
        <v>0</v>
      </c>
      <c r="BJ100">
        <v>2440</v>
      </c>
      <c r="BK100">
        <v>480</v>
      </c>
      <c r="BL100">
        <v>440</v>
      </c>
      <c r="BM100">
        <v>0</v>
      </c>
      <c r="BN100">
        <v>230</v>
      </c>
      <c r="BO100">
        <v>0</v>
      </c>
      <c r="BP100">
        <v>0</v>
      </c>
      <c r="BQ100">
        <f>SUM(SimpleDashData83[[#This Row],[Convayance]:[Misc]])</f>
        <v>3590</v>
      </c>
      <c r="BR100">
        <v>2288</v>
      </c>
      <c r="BS100">
        <v>0</v>
      </c>
      <c r="BT100">
        <v>0</v>
      </c>
      <c r="BU100">
        <f>SUM(SimpleDashData83[[#This Row],[Male]:[Child]])</f>
        <v>2288</v>
      </c>
      <c r="BV100">
        <v>91.52</v>
      </c>
      <c r="BW100">
        <v>3414</v>
      </c>
      <c r="BZ100">
        <f>SimpleDashData83[[#This Row],[Total Expense]]/SimpleDashData83[[#This Row],[Total Patients]]</f>
        <v>1.569055944055944</v>
      </c>
      <c r="CA100">
        <v>0</v>
      </c>
    </row>
    <row r="101" spans="6:79" x14ac:dyDescent="0.3">
      <c r="F101" s="2"/>
      <c r="G101" s="2"/>
      <c r="H101" s="13"/>
      <c r="I101" s="13"/>
      <c r="BA101">
        <f t="shared" si="1"/>
        <v>100</v>
      </c>
      <c r="BB101" s="12" t="s">
        <v>166</v>
      </c>
      <c r="BD101" t="s">
        <v>33</v>
      </c>
      <c r="BE101" t="s">
        <v>135</v>
      </c>
      <c r="BF101" t="s">
        <v>64</v>
      </c>
      <c r="BG101">
        <v>0</v>
      </c>
      <c r="BH101">
        <v>1000</v>
      </c>
      <c r="BI101">
        <v>0</v>
      </c>
      <c r="BJ101">
        <v>9650</v>
      </c>
      <c r="BK101">
        <v>90</v>
      </c>
      <c r="BL101">
        <v>900</v>
      </c>
      <c r="BM101">
        <v>0</v>
      </c>
      <c r="BN101">
        <v>0</v>
      </c>
      <c r="BO101">
        <v>940</v>
      </c>
      <c r="BP101">
        <v>5000</v>
      </c>
      <c r="BQ101">
        <f>SUM(SimpleDashData83[[#This Row],[Convayance]:[Misc]])</f>
        <v>17580</v>
      </c>
      <c r="BR101">
        <v>1648</v>
      </c>
      <c r="BS101">
        <v>0</v>
      </c>
      <c r="BT101">
        <v>0</v>
      </c>
      <c r="BU101">
        <f>SUM(SimpleDashData83[[#This Row],[Male]:[Child]])</f>
        <v>1648</v>
      </c>
      <c r="BV101">
        <v>65.92</v>
      </c>
      <c r="BW101">
        <v>4576</v>
      </c>
      <c r="BZ101">
        <f>SimpleDashData83[[#This Row],[Total Expense]]/SimpleDashData83[[#This Row],[Total Patients]]</f>
        <v>10.66747572815534</v>
      </c>
      <c r="CA101">
        <v>0</v>
      </c>
    </row>
    <row r="102" spans="6:79" x14ac:dyDescent="0.3">
      <c r="F102" s="2"/>
      <c r="G102" s="2"/>
      <c r="H102" s="13"/>
      <c r="I102" s="13"/>
      <c r="BA102">
        <f t="shared" si="1"/>
        <v>101</v>
      </c>
      <c r="BB102" s="12" t="s">
        <v>167</v>
      </c>
      <c r="BD102" t="s">
        <v>33</v>
      </c>
      <c r="BE102" t="s">
        <v>135</v>
      </c>
      <c r="BF102" t="s">
        <v>64</v>
      </c>
      <c r="BG102">
        <v>0</v>
      </c>
      <c r="BH102">
        <v>0</v>
      </c>
      <c r="BI102">
        <v>0</v>
      </c>
      <c r="BJ102">
        <v>3640</v>
      </c>
      <c r="BK102">
        <v>560</v>
      </c>
      <c r="BL102">
        <v>0</v>
      </c>
      <c r="BM102">
        <v>0</v>
      </c>
      <c r="BN102">
        <v>312</v>
      </c>
      <c r="BO102">
        <v>0</v>
      </c>
      <c r="BP102">
        <v>4650</v>
      </c>
      <c r="BQ102">
        <f>SUM(SimpleDashData83[[#This Row],[Convayance]:[Misc]])</f>
        <v>9162</v>
      </c>
      <c r="BR102">
        <v>1482</v>
      </c>
      <c r="BS102">
        <v>2</v>
      </c>
      <c r="BT102">
        <v>7</v>
      </c>
      <c r="BU102">
        <f>SUM(SimpleDashData83[[#This Row],[Male]:[Child]])</f>
        <v>1491</v>
      </c>
      <c r="BV102">
        <v>59.64</v>
      </c>
      <c r="BW102">
        <v>3296</v>
      </c>
      <c r="BZ102">
        <f>SimpleDashData83[[#This Row],[Total Expense]]/SimpleDashData83[[#This Row],[Total Patients]]</f>
        <v>6.1448692152917506</v>
      </c>
      <c r="CA102">
        <v>0</v>
      </c>
    </row>
    <row r="103" spans="6:79" x14ac:dyDescent="0.3">
      <c r="F103" s="2"/>
      <c r="G103" s="2"/>
      <c r="H103" s="13"/>
      <c r="I103" s="13"/>
      <c r="BA103">
        <f t="shared" si="1"/>
        <v>102</v>
      </c>
      <c r="BB103" s="12" t="s">
        <v>168</v>
      </c>
      <c r="BD103" t="s">
        <v>33</v>
      </c>
      <c r="BE103" t="s">
        <v>135</v>
      </c>
      <c r="BF103" t="s">
        <v>64</v>
      </c>
      <c r="BG103">
        <v>0</v>
      </c>
      <c r="BH103">
        <v>0</v>
      </c>
      <c r="BI103">
        <v>0</v>
      </c>
      <c r="BJ103">
        <v>5480</v>
      </c>
      <c r="BK103">
        <v>470</v>
      </c>
      <c r="BL103">
        <v>260</v>
      </c>
      <c r="BM103">
        <v>0</v>
      </c>
      <c r="BN103">
        <v>420</v>
      </c>
      <c r="BO103">
        <v>0</v>
      </c>
      <c r="BP103">
        <v>0</v>
      </c>
      <c r="BQ103">
        <f>SUM(SimpleDashData83[[#This Row],[Convayance]:[Misc]])</f>
        <v>6630</v>
      </c>
      <c r="BR103">
        <v>2502</v>
      </c>
      <c r="BS103">
        <v>0</v>
      </c>
      <c r="BT103">
        <v>0</v>
      </c>
      <c r="BU103">
        <f>SUM(SimpleDashData83[[#This Row],[Male]:[Child]])</f>
        <v>2502</v>
      </c>
      <c r="BV103">
        <v>100.08</v>
      </c>
      <c r="BW103">
        <v>3238</v>
      </c>
      <c r="BZ103">
        <f>SimpleDashData83[[#This Row],[Total Expense]]/SimpleDashData83[[#This Row],[Total Patients]]</f>
        <v>2.6498800959232613</v>
      </c>
      <c r="CA103">
        <v>0</v>
      </c>
    </row>
    <row r="104" spans="6:79" x14ac:dyDescent="0.3">
      <c r="F104" s="2"/>
      <c r="G104" s="2"/>
      <c r="H104" s="13"/>
      <c r="I104" s="13"/>
      <c r="BA104">
        <f t="shared" si="1"/>
        <v>103</v>
      </c>
      <c r="BB104" s="12" t="s">
        <v>169</v>
      </c>
      <c r="BD104" t="s">
        <v>33</v>
      </c>
      <c r="BE104" t="s">
        <v>135</v>
      </c>
      <c r="BF104" t="s">
        <v>64</v>
      </c>
      <c r="BG104">
        <v>0</v>
      </c>
      <c r="BH104">
        <v>0</v>
      </c>
      <c r="BI104">
        <v>0</v>
      </c>
      <c r="BJ104">
        <v>5440</v>
      </c>
      <c r="BK104">
        <v>495</v>
      </c>
      <c r="BL104">
        <v>400</v>
      </c>
      <c r="BM104">
        <v>0</v>
      </c>
      <c r="BN104">
        <v>190</v>
      </c>
      <c r="BO104">
        <v>0</v>
      </c>
      <c r="BP104">
        <v>0</v>
      </c>
      <c r="BQ104">
        <f>SUM(SimpleDashData83[[#This Row],[Convayance]:[Misc]])</f>
        <v>6525</v>
      </c>
      <c r="BR104">
        <v>2795</v>
      </c>
      <c r="BS104">
        <v>0</v>
      </c>
      <c r="BT104">
        <v>0</v>
      </c>
      <c r="BU104">
        <f>SUM(SimpleDashData83[[#This Row],[Male]:[Child]])</f>
        <v>2795</v>
      </c>
      <c r="BV104">
        <v>111.8</v>
      </c>
      <c r="BW104">
        <v>5492</v>
      </c>
      <c r="BZ104">
        <f>SimpleDashData83[[#This Row],[Total Expense]]/SimpleDashData83[[#This Row],[Total Patients]]</f>
        <v>2.334525939177102</v>
      </c>
      <c r="CA104">
        <v>0</v>
      </c>
    </row>
    <row r="105" spans="6:79" x14ac:dyDescent="0.3">
      <c r="F105" s="2"/>
      <c r="G105" s="2"/>
      <c r="H105" s="13"/>
      <c r="I105" s="13"/>
      <c r="BA105">
        <f t="shared" si="1"/>
        <v>104</v>
      </c>
      <c r="BB105" s="12" t="s">
        <v>170</v>
      </c>
      <c r="BD105" t="s">
        <v>33</v>
      </c>
      <c r="BE105" t="s">
        <v>135</v>
      </c>
      <c r="BF105" t="s">
        <v>64</v>
      </c>
      <c r="BG105">
        <v>0</v>
      </c>
      <c r="BH105">
        <v>0</v>
      </c>
      <c r="BI105">
        <v>0</v>
      </c>
      <c r="BJ105">
        <v>7770</v>
      </c>
      <c r="BK105">
        <v>460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f>SUM(SimpleDashData83[[#This Row],[Convayance]:[Misc]])</f>
        <v>8230</v>
      </c>
      <c r="BR105">
        <v>2407</v>
      </c>
      <c r="BS105">
        <v>0</v>
      </c>
      <c r="BT105">
        <v>0</v>
      </c>
      <c r="BU105">
        <f>SUM(SimpleDashData83[[#This Row],[Male]:[Child]])</f>
        <v>2407</v>
      </c>
      <c r="BV105">
        <v>96.28</v>
      </c>
      <c r="BW105">
        <v>5590</v>
      </c>
      <c r="BZ105">
        <f>SimpleDashData83[[#This Row],[Total Expense]]/SimpleDashData83[[#This Row],[Total Patients]]</f>
        <v>3.4191940174491067</v>
      </c>
      <c r="CA105">
        <v>0</v>
      </c>
    </row>
    <row r="106" spans="6:79" x14ac:dyDescent="0.3">
      <c r="F106" s="2"/>
      <c r="G106" s="2"/>
      <c r="H106" s="13"/>
      <c r="I106" s="13"/>
      <c r="BA106">
        <f t="shared" si="1"/>
        <v>105</v>
      </c>
      <c r="BB106" s="12" t="s">
        <v>171</v>
      </c>
      <c r="BD106" t="s">
        <v>33</v>
      </c>
      <c r="BE106" t="s">
        <v>172</v>
      </c>
      <c r="BF106" t="s">
        <v>35</v>
      </c>
      <c r="BG106">
        <v>8500</v>
      </c>
      <c r="BJ106">
        <v>600</v>
      </c>
      <c r="BQ106">
        <f>SUM(SimpleDashData83[[#This Row],[Convayance]:[Misc]])</f>
        <v>9100</v>
      </c>
      <c r="BR106">
        <v>386</v>
      </c>
      <c r="BS106">
        <v>575</v>
      </c>
      <c r="BT106">
        <v>578</v>
      </c>
      <c r="BU106">
        <f>SUM(SimpleDashData83[[#This Row],[Male]:[Child]])</f>
        <v>1539</v>
      </c>
      <c r="BV106">
        <v>61.56</v>
      </c>
      <c r="BW106">
        <v>4814</v>
      </c>
      <c r="BZ106">
        <f>SimpleDashData83[[#This Row],[Total Expense]]/SimpleDashData83[[#This Row],[Total Patients]]</f>
        <v>5.912930474333983</v>
      </c>
      <c r="CA106">
        <v>0</v>
      </c>
    </row>
    <row r="107" spans="6:79" x14ac:dyDescent="0.3">
      <c r="F107" s="2"/>
      <c r="G107" s="2"/>
      <c r="H107" s="13"/>
      <c r="I107" s="13"/>
      <c r="BA107">
        <f t="shared" si="1"/>
        <v>106</v>
      </c>
      <c r="BB107" s="12" t="s">
        <v>173</v>
      </c>
      <c r="BD107" t="s">
        <v>33</v>
      </c>
      <c r="BE107" t="s">
        <v>172</v>
      </c>
      <c r="BF107" t="s">
        <v>35</v>
      </c>
      <c r="BG107">
        <v>1294</v>
      </c>
      <c r="BH107">
        <v>3980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f>SUM(SimpleDashData83[[#This Row],[Convayance]:[Misc]])</f>
        <v>5274</v>
      </c>
      <c r="BR107">
        <v>736</v>
      </c>
      <c r="BS107">
        <v>705</v>
      </c>
      <c r="BT107">
        <v>368</v>
      </c>
      <c r="BU107">
        <f>SUM(SimpleDashData83[[#This Row],[Male]:[Child]])</f>
        <v>1809</v>
      </c>
      <c r="BV107">
        <v>72.36</v>
      </c>
      <c r="BW107">
        <v>5427</v>
      </c>
      <c r="BZ107">
        <f>SimpleDashData83[[#This Row],[Total Expense]]/SimpleDashData83[[#This Row],[Total Patients]]</f>
        <v>2.9154228855721391</v>
      </c>
      <c r="CA107">
        <v>0</v>
      </c>
    </row>
    <row r="108" spans="6:79" x14ac:dyDescent="0.3">
      <c r="F108" s="2"/>
      <c r="G108" s="2"/>
      <c r="H108" s="13"/>
      <c r="I108" s="13"/>
      <c r="BA108">
        <f t="shared" si="1"/>
        <v>107</v>
      </c>
      <c r="BB108" s="12" t="s">
        <v>174</v>
      </c>
      <c r="BD108" t="s">
        <v>33</v>
      </c>
      <c r="BE108" t="s">
        <v>172</v>
      </c>
      <c r="BF108" t="s">
        <v>35</v>
      </c>
      <c r="BG108">
        <v>2104</v>
      </c>
      <c r="BH108">
        <v>1650</v>
      </c>
      <c r="BI108">
        <v>0</v>
      </c>
      <c r="BJ108">
        <v>3100</v>
      </c>
      <c r="BK108">
        <v>570</v>
      </c>
      <c r="BL108">
        <v>620</v>
      </c>
      <c r="BM108">
        <v>0</v>
      </c>
      <c r="BN108">
        <v>0</v>
      </c>
      <c r="BO108">
        <v>0</v>
      </c>
      <c r="BP108">
        <v>0</v>
      </c>
      <c r="BQ108">
        <f>SUM(SimpleDashData83[[#This Row],[Convayance]:[Misc]])</f>
        <v>8044</v>
      </c>
      <c r="BR108">
        <v>542</v>
      </c>
      <c r="BS108">
        <v>379</v>
      </c>
      <c r="BT108">
        <v>176</v>
      </c>
      <c r="BU108">
        <f>SUM(SimpleDashData83[[#This Row],[Male]:[Child]])</f>
        <v>1097</v>
      </c>
      <c r="BV108">
        <v>43.88</v>
      </c>
      <c r="BW108">
        <v>3600</v>
      </c>
      <c r="BZ108">
        <f>SimpleDashData83[[#This Row],[Total Expense]]/SimpleDashData83[[#This Row],[Total Patients]]</f>
        <v>7.3327256153144944</v>
      </c>
      <c r="CA108">
        <v>0</v>
      </c>
    </row>
    <row r="109" spans="6:79" x14ac:dyDescent="0.3">
      <c r="F109" s="2"/>
      <c r="G109" s="2"/>
      <c r="H109" s="13"/>
      <c r="I109" s="13"/>
      <c r="BA109">
        <f t="shared" si="1"/>
        <v>108</v>
      </c>
      <c r="BB109" s="12" t="s">
        <v>175</v>
      </c>
      <c r="BD109" t="s">
        <v>33</v>
      </c>
      <c r="BE109" t="s">
        <v>172</v>
      </c>
      <c r="BF109" t="s">
        <v>35</v>
      </c>
      <c r="BG109">
        <v>5200</v>
      </c>
      <c r="BH109">
        <v>6450</v>
      </c>
      <c r="BQ109">
        <f>SUM(SimpleDashData83[[#This Row],[Convayance]:[Misc]])</f>
        <v>11650</v>
      </c>
      <c r="BR109">
        <v>596</v>
      </c>
      <c r="BS109">
        <v>839</v>
      </c>
      <c r="BT109">
        <v>398</v>
      </c>
      <c r="BU109">
        <f>SUM(SimpleDashData83[[#This Row],[Male]:[Child]])</f>
        <v>1833</v>
      </c>
      <c r="BV109">
        <v>73.319999999999993</v>
      </c>
      <c r="BW109">
        <v>9165</v>
      </c>
      <c r="BZ109">
        <f>SimpleDashData83[[#This Row],[Total Expense]]/SimpleDashData83[[#This Row],[Total Patients]]</f>
        <v>6.3557010365521007</v>
      </c>
      <c r="CA109">
        <v>0</v>
      </c>
    </row>
    <row r="110" spans="6:79" x14ac:dyDescent="0.3">
      <c r="F110" s="2"/>
      <c r="G110" s="2"/>
      <c r="H110" s="13"/>
      <c r="I110" s="13"/>
      <c r="BA110">
        <f t="shared" si="1"/>
        <v>109</v>
      </c>
      <c r="BB110" s="12" t="s">
        <v>176</v>
      </c>
      <c r="BD110" t="s">
        <v>33</v>
      </c>
      <c r="BE110" t="s">
        <v>172</v>
      </c>
      <c r="BF110" t="s">
        <v>35</v>
      </c>
      <c r="BG110">
        <v>2400</v>
      </c>
      <c r="BJ110">
        <v>700</v>
      </c>
      <c r="BL110">
        <v>200</v>
      </c>
      <c r="BN110">
        <v>150</v>
      </c>
      <c r="BQ110">
        <f>SUM(SimpleDashData83[[#This Row],[Convayance]:[Misc]])</f>
        <v>3450</v>
      </c>
      <c r="BR110">
        <v>180</v>
      </c>
      <c r="BS110">
        <v>647</v>
      </c>
      <c r="BT110">
        <v>224</v>
      </c>
      <c r="BU110">
        <f>SUM(SimpleDashData83[[#This Row],[Male]:[Child]])</f>
        <v>1051</v>
      </c>
      <c r="BV110">
        <v>42.04</v>
      </c>
      <c r="BW110">
        <v>5255</v>
      </c>
      <c r="BZ110">
        <f>SimpleDashData83[[#This Row],[Total Expense]]/SimpleDashData83[[#This Row],[Total Patients]]</f>
        <v>3.2825880114176975</v>
      </c>
      <c r="CA110">
        <v>0</v>
      </c>
    </row>
    <row r="111" spans="6:79" x14ac:dyDescent="0.3">
      <c r="F111" s="2"/>
      <c r="G111" s="2"/>
      <c r="H111" s="13"/>
      <c r="I111" s="13"/>
      <c r="BA111">
        <f t="shared" si="1"/>
        <v>110</v>
      </c>
      <c r="BB111" s="12" t="s">
        <v>177</v>
      </c>
      <c r="BD111" t="s">
        <v>33</v>
      </c>
      <c r="BE111" t="s">
        <v>172</v>
      </c>
      <c r="BF111" t="s">
        <v>35</v>
      </c>
      <c r="BG111">
        <v>2750</v>
      </c>
      <c r="BH111">
        <v>2000</v>
      </c>
      <c r="BK111">
        <v>1990</v>
      </c>
      <c r="BN111">
        <v>1500</v>
      </c>
      <c r="BQ111">
        <f>SUM(SimpleDashData83[[#This Row],[Convayance]:[Misc]])</f>
        <v>8240</v>
      </c>
      <c r="BR111">
        <v>795</v>
      </c>
      <c r="BS111">
        <v>802</v>
      </c>
      <c r="BT111">
        <v>262</v>
      </c>
      <c r="BU111">
        <f>SUM(SimpleDashData83[[#This Row],[Male]:[Child]])</f>
        <v>1859</v>
      </c>
      <c r="BV111">
        <v>74.36</v>
      </c>
      <c r="BW111">
        <v>9295</v>
      </c>
      <c r="BZ111">
        <f>SimpleDashData83[[#This Row],[Total Expense]]/SimpleDashData83[[#This Row],[Total Patients]]</f>
        <v>4.4324905863367405</v>
      </c>
      <c r="CA111">
        <v>0</v>
      </c>
    </row>
    <row r="112" spans="6:79" x14ac:dyDescent="0.3">
      <c r="F112" s="2"/>
      <c r="G112" s="2"/>
      <c r="H112" s="13"/>
      <c r="I112" s="13"/>
      <c r="BA112">
        <f t="shared" si="1"/>
        <v>111</v>
      </c>
      <c r="BB112" s="12" t="s">
        <v>178</v>
      </c>
      <c r="BD112" t="s">
        <v>33</v>
      </c>
      <c r="BE112" t="s">
        <v>172</v>
      </c>
      <c r="BF112" t="s">
        <v>35</v>
      </c>
      <c r="BG112">
        <v>900</v>
      </c>
      <c r="BL112">
        <v>240</v>
      </c>
      <c r="BQ112">
        <f>SUM(SimpleDashData83[[#This Row],[Convayance]:[Misc]])</f>
        <v>1140</v>
      </c>
      <c r="BR112">
        <v>281</v>
      </c>
      <c r="BS112">
        <v>753</v>
      </c>
      <c r="BT112">
        <v>471</v>
      </c>
      <c r="BU112">
        <f>SUM(SimpleDashData83[[#This Row],[Male]:[Child]])</f>
        <v>1505</v>
      </c>
      <c r="BV112">
        <v>60.2</v>
      </c>
      <c r="BW112">
        <v>7525</v>
      </c>
      <c r="BZ112">
        <f>SimpleDashData83[[#This Row],[Total Expense]]/SimpleDashData83[[#This Row],[Total Patients]]</f>
        <v>0.75747508305647837</v>
      </c>
      <c r="CA112">
        <v>0</v>
      </c>
    </row>
    <row r="113" spans="6:79" x14ac:dyDescent="0.3">
      <c r="F113" s="2"/>
      <c r="G113" s="2"/>
      <c r="H113" s="13"/>
      <c r="I113" s="13"/>
      <c r="BA113">
        <f t="shared" si="1"/>
        <v>112</v>
      </c>
      <c r="BB113" s="12" t="s">
        <v>179</v>
      </c>
      <c r="BD113" t="s">
        <v>33</v>
      </c>
      <c r="BE113" t="s">
        <v>172</v>
      </c>
      <c r="BF113" t="s">
        <v>35</v>
      </c>
      <c r="BQ113">
        <f>SUM(SimpleDashData83[[#This Row],[Convayance]:[Misc]])</f>
        <v>0</v>
      </c>
      <c r="BR113">
        <v>303</v>
      </c>
      <c r="BS113">
        <v>123</v>
      </c>
      <c r="BT113">
        <v>22</v>
      </c>
      <c r="BU113">
        <f>SUM(SimpleDashData83[[#This Row],[Male]:[Child]])</f>
        <v>448</v>
      </c>
      <c r="BV113">
        <v>17.920000000000002</v>
      </c>
      <c r="BW113">
        <v>2240</v>
      </c>
      <c r="BZ113">
        <f>SimpleDashData83[[#This Row],[Total Expense]]/SimpleDashData83[[#This Row],[Total Patients]]</f>
        <v>0</v>
      </c>
      <c r="CA113">
        <v>0</v>
      </c>
    </row>
    <row r="114" spans="6:79" x14ac:dyDescent="0.3">
      <c r="F114" s="2"/>
      <c r="G114" s="2"/>
      <c r="H114" s="13"/>
      <c r="I114" s="13"/>
      <c r="BA114">
        <f t="shared" si="1"/>
        <v>113</v>
      </c>
      <c r="BB114" s="12" t="s">
        <v>180</v>
      </c>
      <c r="BD114" t="s">
        <v>33</v>
      </c>
      <c r="BE114" t="s">
        <v>172</v>
      </c>
      <c r="BF114" t="s">
        <v>35</v>
      </c>
      <c r="BG114">
        <v>6180</v>
      </c>
      <c r="BH114">
        <v>0</v>
      </c>
      <c r="BI114">
        <v>0</v>
      </c>
      <c r="BJ114">
        <v>6280</v>
      </c>
      <c r="BK114">
        <v>570</v>
      </c>
      <c r="BL114">
        <v>0</v>
      </c>
      <c r="BM114">
        <v>0</v>
      </c>
      <c r="BN114">
        <v>430</v>
      </c>
      <c r="BO114">
        <v>0</v>
      </c>
      <c r="BP114">
        <v>7000</v>
      </c>
      <c r="BQ114">
        <f>SUM(SimpleDashData83[[#This Row],[Convayance]:[Misc]])</f>
        <v>20460</v>
      </c>
      <c r="BR114">
        <v>997</v>
      </c>
      <c r="BS114">
        <v>968</v>
      </c>
      <c r="BT114">
        <v>541</v>
      </c>
      <c r="BU114">
        <f>SUM(SimpleDashData83[[#This Row],[Male]:[Child]])</f>
        <v>2506</v>
      </c>
      <c r="BV114">
        <v>100.24</v>
      </c>
      <c r="BW114">
        <v>12530</v>
      </c>
      <c r="BZ114">
        <f>SimpleDashData83[[#This Row],[Total Expense]]/SimpleDashData83[[#This Row],[Total Patients]]</f>
        <v>8.1644054269752591</v>
      </c>
      <c r="CA114">
        <v>0</v>
      </c>
    </row>
    <row r="115" spans="6:79" x14ac:dyDescent="0.3">
      <c r="F115" s="2"/>
      <c r="G115" s="2"/>
      <c r="H115" s="13"/>
      <c r="I115" s="13"/>
      <c r="BA115">
        <f t="shared" si="1"/>
        <v>114</v>
      </c>
      <c r="BB115" s="12" t="s">
        <v>181</v>
      </c>
      <c r="BD115" t="s">
        <v>33</v>
      </c>
      <c r="BE115" t="s">
        <v>172</v>
      </c>
      <c r="BF115" t="s">
        <v>35</v>
      </c>
      <c r="BG115">
        <v>1500</v>
      </c>
      <c r="BH115">
        <v>5900</v>
      </c>
      <c r="BQ115">
        <f>SUM(SimpleDashData83[[#This Row],[Convayance]:[Misc]])</f>
        <v>7400</v>
      </c>
      <c r="BR115">
        <v>1034</v>
      </c>
      <c r="BS115">
        <v>804</v>
      </c>
      <c r="BT115">
        <v>375</v>
      </c>
      <c r="BU115">
        <f>SUM(SimpleDashData83[[#This Row],[Male]:[Child]])</f>
        <v>2213</v>
      </c>
      <c r="BV115">
        <v>88.52</v>
      </c>
      <c r="BW115">
        <v>11065</v>
      </c>
      <c r="BZ115">
        <f>SimpleDashData83[[#This Row],[Total Expense]]/SimpleDashData83[[#This Row],[Total Patients]]</f>
        <v>3.3438770899231813</v>
      </c>
      <c r="CA115">
        <v>0</v>
      </c>
    </row>
    <row r="116" spans="6:79" x14ac:dyDescent="0.3">
      <c r="F116" s="2"/>
      <c r="G116" s="2"/>
      <c r="H116" s="13"/>
      <c r="I116" s="13"/>
      <c r="BA116">
        <f t="shared" si="1"/>
        <v>115</v>
      </c>
      <c r="BB116" s="29" t="s">
        <v>182</v>
      </c>
      <c r="BD116" t="s">
        <v>33</v>
      </c>
      <c r="BE116" t="s">
        <v>172</v>
      </c>
      <c r="BF116" t="s">
        <v>35</v>
      </c>
      <c r="BG116">
        <v>0</v>
      </c>
      <c r="BH116">
        <v>1490</v>
      </c>
      <c r="BI116">
        <v>0</v>
      </c>
      <c r="BJ116">
        <v>0</v>
      </c>
      <c r="BK116">
        <v>570</v>
      </c>
      <c r="BL116">
        <v>1595</v>
      </c>
      <c r="BM116">
        <v>0</v>
      </c>
      <c r="BN116">
        <v>70</v>
      </c>
      <c r="BO116">
        <v>0</v>
      </c>
      <c r="BP116">
        <v>600</v>
      </c>
      <c r="BQ116">
        <f>SUM(SimpleDashData83[[#This Row],[Convayance]:[Misc]])</f>
        <v>4325</v>
      </c>
      <c r="BR116">
        <v>409</v>
      </c>
      <c r="BS116">
        <v>467</v>
      </c>
      <c r="BT116">
        <v>375</v>
      </c>
      <c r="BU116">
        <f>SUM(SimpleDashData83[[#This Row],[Male]:[Child]])</f>
        <v>1251</v>
      </c>
      <c r="BV116">
        <v>50.04</v>
      </c>
      <c r="BW116">
        <v>3753</v>
      </c>
      <c r="BZ116">
        <f>SimpleDashData83[[#This Row],[Total Expense]]/SimpleDashData83[[#This Row],[Total Patients]]</f>
        <v>3.4572342126298961</v>
      </c>
      <c r="CA116">
        <v>0</v>
      </c>
    </row>
    <row r="117" spans="6:79" x14ac:dyDescent="0.3">
      <c r="F117" s="2"/>
      <c r="G117" s="2"/>
      <c r="H117" s="13"/>
      <c r="I117" s="13"/>
      <c r="BA117">
        <f t="shared" si="1"/>
        <v>116</v>
      </c>
      <c r="BB117" s="12" t="s">
        <v>183</v>
      </c>
      <c r="BD117" t="s">
        <v>33</v>
      </c>
      <c r="BE117" t="s">
        <v>172</v>
      </c>
      <c r="BF117" t="s">
        <v>35</v>
      </c>
      <c r="BQ117">
        <f>SUM(SimpleDashData83[[#This Row],[Convayance]:[Misc]])</f>
        <v>0</v>
      </c>
      <c r="BR117">
        <v>317</v>
      </c>
      <c r="BS117">
        <v>197</v>
      </c>
      <c r="BU117">
        <f>SUM(SimpleDashData83[[#This Row],[Male]:[Child]])</f>
        <v>514</v>
      </c>
      <c r="BV117">
        <v>20.56</v>
      </c>
      <c r="BW117">
        <v>2570</v>
      </c>
      <c r="BZ117">
        <f>SimpleDashData83[[#This Row],[Total Expense]]/SimpleDashData83[[#This Row],[Total Patients]]</f>
        <v>0</v>
      </c>
      <c r="CA117">
        <v>0</v>
      </c>
    </row>
    <row r="118" spans="6:79" x14ac:dyDescent="0.3">
      <c r="F118" s="2"/>
      <c r="G118" s="2"/>
      <c r="H118" s="13"/>
      <c r="I118" s="13"/>
      <c r="BA118">
        <f t="shared" si="1"/>
        <v>117</v>
      </c>
      <c r="BB118" s="12" t="s">
        <v>184</v>
      </c>
      <c r="BD118" t="s">
        <v>33</v>
      </c>
      <c r="BE118" t="s">
        <v>172</v>
      </c>
      <c r="BF118" t="s">
        <v>35</v>
      </c>
      <c r="BG118">
        <v>1000</v>
      </c>
      <c r="BH118">
        <v>280</v>
      </c>
      <c r="BJ118">
        <v>360</v>
      </c>
      <c r="BL118">
        <v>90</v>
      </c>
      <c r="BM118">
        <v>1000</v>
      </c>
      <c r="BQ118">
        <f>SUM(SimpleDashData83[[#This Row],[Convayance]:[Misc]])</f>
        <v>2730</v>
      </c>
      <c r="BR118">
        <v>411</v>
      </c>
      <c r="BS118">
        <v>456</v>
      </c>
      <c r="BT118">
        <v>150</v>
      </c>
      <c r="BU118">
        <f>SUM(SimpleDashData83[[#This Row],[Male]:[Child]])</f>
        <v>1017</v>
      </c>
      <c r="BV118">
        <v>40.68</v>
      </c>
      <c r="BW118">
        <v>5085</v>
      </c>
      <c r="BZ118">
        <f>SimpleDashData83[[#This Row],[Total Expense]]/SimpleDashData83[[#This Row],[Total Patients]]</f>
        <v>2.6843657817109143</v>
      </c>
      <c r="CA118">
        <v>0</v>
      </c>
    </row>
    <row r="119" spans="6:79" x14ac:dyDescent="0.3">
      <c r="F119" s="2"/>
      <c r="G119" s="2"/>
      <c r="H119" s="13"/>
      <c r="I119" s="13"/>
      <c r="BA119">
        <f t="shared" si="1"/>
        <v>118</v>
      </c>
      <c r="BB119" s="12" t="s">
        <v>185</v>
      </c>
      <c r="BD119" t="s">
        <v>33</v>
      </c>
      <c r="BE119" t="s">
        <v>172</v>
      </c>
      <c r="BF119" t="s">
        <v>35</v>
      </c>
      <c r="BJ119">
        <v>5480</v>
      </c>
      <c r="BN119">
        <v>880</v>
      </c>
      <c r="BQ119">
        <f>SUM(SimpleDashData83[[#This Row],[Convayance]:[Misc]])</f>
        <v>6360</v>
      </c>
      <c r="BR119">
        <v>1104</v>
      </c>
      <c r="BS119">
        <v>953</v>
      </c>
      <c r="BT119">
        <v>254</v>
      </c>
      <c r="BU119">
        <f>SUM(SimpleDashData83[[#This Row],[Male]:[Child]])</f>
        <v>2311</v>
      </c>
      <c r="BV119">
        <v>92.44</v>
      </c>
      <c r="BW119">
        <v>11555</v>
      </c>
      <c r="BZ119">
        <f>SimpleDashData83[[#This Row],[Total Expense]]/SimpleDashData83[[#This Row],[Total Patients]]</f>
        <v>2.7520553872782347</v>
      </c>
      <c r="CA119">
        <v>0</v>
      </c>
    </row>
    <row r="120" spans="6:79" x14ac:dyDescent="0.3">
      <c r="F120" s="2"/>
      <c r="G120" s="2"/>
      <c r="H120" s="13"/>
      <c r="I120" s="13"/>
      <c r="BA120">
        <f t="shared" si="1"/>
        <v>119</v>
      </c>
      <c r="BB120" s="12" t="s">
        <v>186</v>
      </c>
      <c r="BD120" t="s">
        <v>68</v>
      </c>
      <c r="BE120" t="s">
        <v>172</v>
      </c>
      <c r="BF120" t="s">
        <v>35</v>
      </c>
      <c r="BG120">
        <v>2300</v>
      </c>
      <c r="BH120">
        <v>500</v>
      </c>
      <c r="BJ120">
        <v>200</v>
      </c>
      <c r="BN120">
        <v>500</v>
      </c>
      <c r="BQ120">
        <f>SUM(SimpleDashData83[[#This Row],[Convayance]:[Misc]])</f>
        <v>3500</v>
      </c>
      <c r="BR120">
        <v>333</v>
      </c>
      <c r="BS120">
        <v>757</v>
      </c>
      <c r="BT120">
        <v>236</v>
      </c>
      <c r="BU120">
        <f>SUM(SimpleDashData83[[#This Row],[Male]:[Child]])</f>
        <v>1326</v>
      </c>
      <c r="BV120">
        <v>53.04</v>
      </c>
      <c r="BW120">
        <v>6630</v>
      </c>
      <c r="BZ120">
        <f>SimpleDashData83[[#This Row],[Total Expense]]/SimpleDashData83[[#This Row],[Total Patients]]</f>
        <v>2.6395173453996983</v>
      </c>
      <c r="CA120">
        <v>0</v>
      </c>
    </row>
    <row r="121" spans="6:79" x14ac:dyDescent="0.3">
      <c r="F121" s="2"/>
      <c r="G121" s="2"/>
      <c r="H121" s="13"/>
      <c r="I121" s="13"/>
      <c r="BA121">
        <f t="shared" si="1"/>
        <v>120</v>
      </c>
      <c r="BB121" s="12" t="s">
        <v>187</v>
      </c>
      <c r="BD121" t="s">
        <v>33</v>
      </c>
      <c r="BE121" t="s">
        <v>172</v>
      </c>
      <c r="BF121" t="s">
        <v>64</v>
      </c>
      <c r="BG121">
        <v>0</v>
      </c>
      <c r="BH121">
        <v>0</v>
      </c>
      <c r="BI121">
        <v>0</v>
      </c>
      <c r="BJ121">
        <v>2988</v>
      </c>
      <c r="BK121">
        <v>600</v>
      </c>
      <c r="BL121">
        <v>120</v>
      </c>
      <c r="BM121">
        <v>0</v>
      </c>
      <c r="BN121">
        <v>580</v>
      </c>
      <c r="BO121">
        <v>0</v>
      </c>
      <c r="BP121">
        <v>803</v>
      </c>
      <c r="BQ121">
        <f>SUM(SimpleDashData83[[#This Row],[Convayance]:[Misc]])</f>
        <v>5091</v>
      </c>
      <c r="BR121">
        <v>1331</v>
      </c>
      <c r="BS121">
        <v>0</v>
      </c>
      <c r="BT121">
        <v>0</v>
      </c>
      <c r="BU121">
        <f>SUM(SimpleDashData83[[#This Row],[Male]:[Child]])</f>
        <v>1331</v>
      </c>
      <c r="BV121">
        <v>53.24</v>
      </c>
      <c r="BW121">
        <v>3953</v>
      </c>
      <c r="BZ121">
        <f>SimpleDashData83[[#This Row],[Total Expense]]/SimpleDashData83[[#This Row],[Total Patients]]</f>
        <v>3.8249436513899324</v>
      </c>
      <c r="CA121">
        <v>0</v>
      </c>
    </row>
    <row r="122" spans="6:79" x14ac:dyDescent="0.3">
      <c r="F122" s="2"/>
      <c r="G122" s="2"/>
      <c r="H122" s="13"/>
      <c r="I122" s="13"/>
      <c r="BA122">
        <f t="shared" si="1"/>
        <v>121</v>
      </c>
      <c r="BB122" s="12" t="s">
        <v>188</v>
      </c>
      <c r="BD122" t="s">
        <v>68</v>
      </c>
      <c r="BE122" t="s">
        <v>172</v>
      </c>
      <c r="BF122" t="s">
        <v>64</v>
      </c>
      <c r="BQ122">
        <f>SUM(SimpleDashData83[[#This Row],[Convayance]:[Misc]])</f>
        <v>0</v>
      </c>
      <c r="BR122">
        <v>217</v>
      </c>
      <c r="BS122">
        <v>23</v>
      </c>
      <c r="BT122">
        <v>69</v>
      </c>
      <c r="BU122">
        <f>SUM(SimpleDashData83[[#This Row],[Male]:[Child]])</f>
        <v>309</v>
      </c>
      <c r="BV122">
        <v>12.36</v>
      </c>
      <c r="BW122">
        <v>927</v>
      </c>
      <c r="BZ122">
        <f>SimpleDashData83[[#This Row],[Total Expense]]/SimpleDashData83[[#This Row],[Total Patients]]</f>
        <v>0</v>
      </c>
      <c r="CA122">
        <v>0</v>
      </c>
    </row>
    <row r="123" spans="6:79" x14ac:dyDescent="0.3">
      <c r="F123" s="2"/>
      <c r="G123" s="2"/>
      <c r="H123" s="13"/>
      <c r="I123" s="13"/>
      <c r="BA123">
        <f t="shared" si="1"/>
        <v>122</v>
      </c>
      <c r="BB123" s="12" t="s">
        <v>189</v>
      </c>
      <c r="BD123" t="s">
        <v>33</v>
      </c>
      <c r="BE123" t="s">
        <v>172</v>
      </c>
      <c r="BF123" t="s">
        <v>64</v>
      </c>
      <c r="BG123">
        <v>0</v>
      </c>
      <c r="BH123">
        <v>0</v>
      </c>
      <c r="BI123">
        <v>0</v>
      </c>
      <c r="BJ123">
        <v>6000</v>
      </c>
      <c r="BK123">
        <v>400</v>
      </c>
      <c r="BL123">
        <v>830</v>
      </c>
      <c r="BM123">
        <v>0</v>
      </c>
      <c r="BN123">
        <v>0</v>
      </c>
      <c r="BO123">
        <v>1000</v>
      </c>
      <c r="BP123">
        <v>0</v>
      </c>
      <c r="BQ123">
        <f>SUM(SimpleDashData83[[#This Row],[Convayance]:[Misc]])</f>
        <v>8230</v>
      </c>
      <c r="BR123">
        <v>2699</v>
      </c>
      <c r="BS123">
        <v>0</v>
      </c>
      <c r="BT123">
        <v>0</v>
      </c>
      <c r="BU123">
        <f>SUM(SimpleDashData83[[#This Row],[Male]:[Child]])</f>
        <v>2699</v>
      </c>
      <c r="BV123">
        <v>107.96</v>
      </c>
      <c r="BW123">
        <v>5392</v>
      </c>
      <c r="BZ123">
        <f>SimpleDashData83[[#This Row],[Total Expense]]/SimpleDashData83[[#This Row],[Total Patients]]</f>
        <v>3.0492775101889591</v>
      </c>
      <c r="CA123">
        <v>0</v>
      </c>
    </row>
    <row r="124" spans="6:79" x14ac:dyDescent="0.3">
      <c r="F124" s="2"/>
      <c r="G124" s="2"/>
      <c r="H124" s="13"/>
      <c r="I124" s="13"/>
      <c r="BA124">
        <f t="shared" si="1"/>
        <v>123</v>
      </c>
      <c r="BB124" s="12" t="s">
        <v>190</v>
      </c>
      <c r="BD124" t="s">
        <v>33</v>
      </c>
      <c r="BE124" t="s">
        <v>172</v>
      </c>
      <c r="BF124" t="s">
        <v>64</v>
      </c>
      <c r="BG124">
        <v>0</v>
      </c>
      <c r="BH124">
        <v>0</v>
      </c>
      <c r="BI124">
        <v>0</v>
      </c>
      <c r="BJ124">
        <v>6700</v>
      </c>
      <c r="BK124">
        <v>570</v>
      </c>
      <c r="BL124">
        <v>0</v>
      </c>
      <c r="BM124">
        <v>0</v>
      </c>
      <c r="BN124">
        <v>1850</v>
      </c>
      <c r="BO124">
        <v>0</v>
      </c>
      <c r="BP124">
        <v>0</v>
      </c>
      <c r="BQ124">
        <f>SUM(SimpleDashData83[[#This Row],[Convayance]:[Misc]])</f>
        <v>9120</v>
      </c>
      <c r="BR124">
        <v>1604</v>
      </c>
      <c r="BS124">
        <v>10</v>
      </c>
      <c r="BT124">
        <v>3</v>
      </c>
      <c r="BU124">
        <f>SUM(SimpleDashData83[[#This Row],[Male]:[Child]])</f>
        <v>1617</v>
      </c>
      <c r="BV124">
        <v>64.680000000000007</v>
      </c>
      <c r="BW124">
        <v>9714</v>
      </c>
      <c r="BZ124">
        <f>SimpleDashData83[[#This Row],[Total Expense]]/SimpleDashData83[[#This Row],[Total Patients]]</f>
        <v>5.6400742115027827</v>
      </c>
      <c r="CA124">
        <v>0</v>
      </c>
    </row>
    <row r="125" spans="6:79" x14ac:dyDescent="0.3">
      <c r="F125" s="2"/>
      <c r="G125" s="2"/>
      <c r="H125" s="13"/>
      <c r="I125" s="13"/>
      <c r="BA125">
        <f t="shared" si="1"/>
        <v>124</v>
      </c>
      <c r="BB125" s="12" t="s">
        <v>191</v>
      </c>
      <c r="BD125" t="s">
        <v>68</v>
      </c>
      <c r="BE125" t="s">
        <v>172</v>
      </c>
      <c r="BF125" t="s">
        <v>64</v>
      </c>
      <c r="BN125">
        <v>340</v>
      </c>
      <c r="BO125">
        <v>400</v>
      </c>
      <c r="BQ125">
        <f>SUM(SimpleDashData83[[#This Row],[Convayance]:[Misc]])</f>
        <v>740</v>
      </c>
      <c r="BR125">
        <v>1253</v>
      </c>
      <c r="BT125">
        <v>2</v>
      </c>
      <c r="BU125">
        <f>SUM(SimpleDashData83[[#This Row],[Male]:[Child]])</f>
        <v>1255</v>
      </c>
      <c r="BV125">
        <v>50.2</v>
      </c>
      <c r="BW125">
        <v>3765</v>
      </c>
      <c r="BZ125">
        <f>SimpleDashData83[[#This Row],[Total Expense]]/SimpleDashData83[[#This Row],[Total Patients]]</f>
        <v>0.58964143426294824</v>
      </c>
      <c r="CA125">
        <v>0</v>
      </c>
    </row>
    <row r="126" spans="6:79" x14ac:dyDescent="0.3">
      <c r="F126" s="2"/>
      <c r="G126" s="2"/>
      <c r="H126" s="13"/>
      <c r="I126" s="13"/>
      <c r="BA126">
        <f t="shared" si="1"/>
        <v>125</v>
      </c>
      <c r="BB126" s="12" t="s">
        <v>192</v>
      </c>
      <c r="BD126" t="s">
        <v>33</v>
      </c>
      <c r="BE126" t="s">
        <v>172</v>
      </c>
      <c r="BF126" t="s">
        <v>64</v>
      </c>
      <c r="BG126">
        <v>0</v>
      </c>
      <c r="BH126">
        <v>0</v>
      </c>
      <c r="BI126">
        <v>0</v>
      </c>
      <c r="BJ126">
        <v>6950</v>
      </c>
      <c r="BK126">
        <v>550</v>
      </c>
      <c r="BL126">
        <v>500</v>
      </c>
      <c r="BM126">
        <v>0</v>
      </c>
      <c r="BN126">
        <v>0</v>
      </c>
      <c r="BO126">
        <v>500</v>
      </c>
      <c r="BP126">
        <v>0</v>
      </c>
      <c r="BQ126">
        <f>SUM(SimpleDashData83[[#This Row],[Convayance]:[Misc]])</f>
        <v>8500</v>
      </c>
      <c r="BR126">
        <v>2500</v>
      </c>
      <c r="BS126">
        <v>0</v>
      </c>
      <c r="BT126">
        <v>0</v>
      </c>
      <c r="BU126">
        <f>SUM(SimpleDashData83[[#This Row],[Male]:[Child]])</f>
        <v>2500</v>
      </c>
      <c r="BV126">
        <v>100</v>
      </c>
      <c r="BW126">
        <v>7500</v>
      </c>
      <c r="BZ126">
        <f>SimpleDashData83[[#This Row],[Total Expense]]/SimpleDashData83[[#This Row],[Total Patients]]</f>
        <v>3.4</v>
      </c>
      <c r="CA126">
        <v>0</v>
      </c>
    </row>
    <row r="127" spans="6:79" x14ac:dyDescent="0.3">
      <c r="F127" s="2"/>
      <c r="G127" s="2"/>
      <c r="H127" s="13"/>
      <c r="I127" s="13"/>
      <c r="BA127">
        <f t="shared" si="1"/>
        <v>126</v>
      </c>
      <c r="BB127" s="12" t="s">
        <v>193</v>
      </c>
      <c r="BD127" t="s">
        <v>68</v>
      </c>
      <c r="BE127" t="s">
        <v>172</v>
      </c>
      <c r="BF127" t="s">
        <v>64</v>
      </c>
      <c r="BL127">
        <v>350</v>
      </c>
      <c r="BO127">
        <v>500</v>
      </c>
      <c r="BQ127">
        <f>SUM(SimpleDashData83[[#This Row],[Convayance]:[Misc]])</f>
        <v>850</v>
      </c>
      <c r="BR127">
        <v>547</v>
      </c>
      <c r="BS127">
        <v>488</v>
      </c>
      <c r="BT127">
        <v>335</v>
      </c>
      <c r="BU127">
        <f>SUM(SimpleDashData83[[#This Row],[Male]:[Child]])</f>
        <v>1370</v>
      </c>
      <c r="BV127">
        <v>54.8</v>
      </c>
      <c r="BW127">
        <v>4110</v>
      </c>
      <c r="BZ127">
        <f>SimpleDashData83[[#This Row],[Total Expense]]/SimpleDashData83[[#This Row],[Total Patients]]</f>
        <v>0.62043795620437958</v>
      </c>
      <c r="CA127">
        <v>0</v>
      </c>
    </row>
    <row r="128" spans="6:79" x14ac:dyDescent="0.3">
      <c r="F128" s="2"/>
      <c r="G128" s="2"/>
      <c r="H128" s="13"/>
      <c r="I128" s="13"/>
      <c r="BA128">
        <f t="shared" si="1"/>
        <v>127</v>
      </c>
      <c r="BB128" s="12" t="s">
        <v>194</v>
      </c>
      <c r="BD128" t="s">
        <v>33</v>
      </c>
      <c r="BE128" t="s">
        <v>172</v>
      </c>
      <c r="BF128" t="s">
        <v>64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f>SUM(SimpleDashData83[[#This Row],[Convayance]:[Misc]])</f>
        <v>0</v>
      </c>
      <c r="BR128">
        <v>20</v>
      </c>
      <c r="BS128">
        <v>917</v>
      </c>
      <c r="BT128">
        <v>137</v>
      </c>
      <c r="BU128">
        <f>SUM(SimpleDashData83[[#This Row],[Male]:[Child]])</f>
        <v>1074</v>
      </c>
      <c r="BV128">
        <v>42.96</v>
      </c>
      <c r="BW128">
        <v>2176</v>
      </c>
      <c r="BZ128">
        <f>SimpleDashData83[[#This Row],[Total Expense]]/SimpleDashData83[[#This Row],[Total Patients]]</f>
        <v>0</v>
      </c>
      <c r="CA128">
        <v>0</v>
      </c>
    </row>
    <row r="129" spans="6:79" x14ac:dyDescent="0.3">
      <c r="F129" s="2"/>
      <c r="G129" s="2"/>
      <c r="H129" s="13"/>
      <c r="I129" s="13"/>
      <c r="BA129">
        <f t="shared" si="1"/>
        <v>128</v>
      </c>
      <c r="BB129" s="12" t="s">
        <v>195</v>
      </c>
      <c r="BD129" t="s">
        <v>33</v>
      </c>
      <c r="BE129" t="s">
        <v>172</v>
      </c>
      <c r="BF129" t="s">
        <v>64</v>
      </c>
      <c r="BG129">
        <v>0</v>
      </c>
      <c r="BH129">
        <v>0</v>
      </c>
      <c r="BI129">
        <v>0</v>
      </c>
      <c r="BJ129">
        <v>1600</v>
      </c>
      <c r="BK129">
        <v>535</v>
      </c>
      <c r="BL129">
        <v>0</v>
      </c>
      <c r="BM129">
        <v>0</v>
      </c>
      <c r="BN129">
        <v>1160</v>
      </c>
      <c r="BO129">
        <v>0</v>
      </c>
      <c r="BP129">
        <v>0</v>
      </c>
      <c r="BQ129">
        <f>SUM(SimpleDashData83[[#This Row],[Convayance]:[Misc]])</f>
        <v>3295</v>
      </c>
      <c r="BR129">
        <v>1483</v>
      </c>
      <c r="BS129">
        <v>0</v>
      </c>
      <c r="BT129">
        <v>0</v>
      </c>
      <c r="BU129">
        <f>SUM(SimpleDashData83[[#This Row],[Male]:[Child]])</f>
        <v>1483</v>
      </c>
      <c r="BV129">
        <v>59.32</v>
      </c>
      <c r="BW129">
        <v>3300</v>
      </c>
      <c r="BZ129">
        <f>SimpleDashData83[[#This Row],[Total Expense]]/SimpleDashData83[[#This Row],[Total Patients]]</f>
        <v>2.2218476062036414</v>
      </c>
      <c r="CA129">
        <v>0</v>
      </c>
    </row>
    <row r="130" spans="6:79" x14ac:dyDescent="0.3">
      <c r="F130" s="2"/>
      <c r="G130" s="2"/>
      <c r="H130" s="13"/>
      <c r="I130" s="13"/>
      <c r="BA130">
        <f t="shared" si="1"/>
        <v>129</v>
      </c>
      <c r="BB130" s="12" t="s">
        <v>196</v>
      </c>
      <c r="BD130" t="s">
        <v>68</v>
      </c>
      <c r="BE130" t="s">
        <v>172</v>
      </c>
      <c r="BF130" t="s">
        <v>64</v>
      </c>
      <c r="BL130">
        <v>360</v>
      </c>
      <c r="BO130">
        <v>500</v>
      </c>
      <c r="BQ130">
        <f>SUM(SimpleDashData83[[#This Row],[Convayance]:[Misc]])</f>
        <v>860</v>
      </c>
      <c r="BR130">
        <v>1257</v>
      </c>
      <c r="BU130">
        <f>SUM(SimpleDashData83[[#This Row],[Male]:[Child]])</f>
        <v>1257</v>
      </c>
      <c r="BV130">
        <v>50.28</v>
      </c>
      <c r="BW130">
        <v>3771</v>
      </c>
      <c r="BZ130">
        <f>SimpleDashData83[[#This Row],[Total Expense]]/SimpleDashData83[[#This Row],[Total Patients]]</f>
        <v>0.68416865552903738</v>
      </c>
      <c r="CA130">
        <v>0</v>
      </c>
    </row>
    <row r="131" spans="6:79" x14ac:dyDescent="0.3">
      <c r="F131" s="2"/>
      <c r="G131" s="2"/>
      <c r="H131" s="13"/>
      <c r="I131" s="13"/>
      <c r="BA131">
        <f t="shared" si="1"/>
        <v>130</v>
      </c>
      <c r="BB131" s="12" t="s">
        <v>197</v>
      </c>
      <c r="BD131" t="s">
        <v>33</v>
      </c>
      <c r="BE131" t="s">
        <v>172</v>
      </c>
      <c r="BF131" t="s">
        <v>64</v>
      </c>
      <c r="BG131">
        <v>0</v>
      </c>
      <c r="BH131">
        <v>0</v>
      </c>
      <c r="BI131">
        <v>0</v>
      </c>
      <c r="BJ131">
        <v>1500</v>
      </c>
      <c r="BK131">
        <v>600</v>
      </c>
      <c r="BL131">
        <v>0</v>
      </c>
      <c r="BM131">
        <v>0</v>
      </c>
      <c r="BN131">
        <v>1240</v>
      </c>
      <c r="BO131">
        <v>0</v>
      </c>
      <c r="BP131">
        <v>0</v>
      </c>
      <c r="BQ131">
        <f>SUM(SimpleDashData83[[#This Row],[Convayance]:[Misc]])</f>
        <v>3340</v>
      </c>
      <c r="BR131">
        <v>1390</v>
      </c>
      <c r="BS131">
        <v>0</v>
      </c>
      <c r="BT131">
        <v>0</v>
      </c>
      <c r="BU131">
        <f>SUM(SimpleDashData83[[#This Row],[Male]:[Child]])</f>
        <v>1390</v>
      </c>
      <c r="BV131">
        <v>55.6</v>
      </c>
      <c r="BW131">
        <v>4161</v>
      </c>
      <c r="BZ131">
        <f>SimpleDashData83[[#This Row],[Total Expense]]/SimpleDashData83[[#This Row],[Total Patients]]</f>
        <v>2.4028776978417268</v>
      </c>
      <c r="CA131">
        <v>0</v>
      </c>
    </row>
    <row r="132" spans="6:79" x14ac:dyDescent="0.3">
      <c r="F132" s="2"/>
      <c r="G132" s="2"/>
      <c r="H132" s="13"/>
      <c r="I132" s="13"/>
      <c r="BA132">
        <f t="shared" ref="BA132:BA138" si="2">1+BA131</f>
        <v>131</v>
      </c>
      <c r="BB132" s="12" t="s">
        <v>198</v>
      </c>
      <c r="BD132" t="s">
        <v>68</v>
      </c>
      <c r="BE132" t="s">
        <v>172</v>
      </c>
      <c r="BF132" t="s">
        <v>64</v>
      </c>
      <c r="BQ132">
        <f>SUM(SimpleDashData83[[#This Row],[Convayance]:[Misc]])</f>
        <v>0</v>
      </c>
      <c r="BR132">
        <v>1184</v>
      </c>
      <c r="BU132">
        <f>SUM(SimpleDashData83[[#This Row],[Male]:[Child]])</f>
        <v>1184</v>
      </c>
      <c r="BV132">
        <v>47.36</v>
      </c>
      <c r="BW132">
        <v>3552</v>
      </c>
      <c r="BZ132">
        <f>SimpleDashData83[[#This Row],[Total Expense]]/SimpleDashData83[[#This Row],[Total Patients]]</f>
        <v>0</v>
      </c>
      <c r="CA132">
        <v>0</v>
      </c>
    </row>
    <row r="133" spans="6:79" x14ac:dyDescent="0.3">
      <c r="F133" s="2"/>
      <c r="G133" s="2"/>
      <c r="H133" s="13"/>
      <c r="I133" s="13"/>
      <c r="BA133">
        <f t="shared" si="2"/>
        <v>132</v>
      </c>
      <c r="BB133" s="12" t="s">
        <v>199</v>
      </c>
      <c r="BD133" t="s">
        <v>33</v>
      </c>
      <c r="BE133" t="s">
        <v>172</v>
      </c>
      <c r="BF133" t="s">
        <v>64</v>
      </c>
      <c r="BG133">
        <v>0</v>
      </c>
      <c r="BH133">
        <v>0</v>
      </c>
      <c r="BI133">
        <v>0</v>
      </c>
      <c r="BJ133">
        <v>3790</v>
      </c>
      <c r="BK133">
        <v>600</v>
      </c>
      <c r="BL133">
        <v>0</v>
      </c>
      <c r="BM133">
        <v>0</v>
      </c>
      <c r="BN133">
        <v>0</v>
      </c>
      <c r="BO133">
        <v>500</v>
      </c>
      <c r="BQ133">
        <f>SUM(SimpleDashData83[[#This Row],[Convayance]:[Misc]])</f>
        <v>4890</v>
      </c>
      <c r="BR133">
        <v>1233</v>
      </c>
      <c r="BS133">
        <v>7</v>
      </c>
      <c r="BT133">
        <v>19</v>
      </c>
      <c r="BU133">
        <f>SUM(SimpleDashData83[[#This Row],[Male]:[Child]])</f>
        <v>1259</v>
      </c>
      <c r="BV133">
        <v>50.36</v>
      </c>
      <c r="BW133">
        <v>2390</v>
      </c>
      <c r="BZ133">
        <f>SimpleDashData83[[#This Row],[Total Expense]]/SimpleDashData83[[#This Row],[Total Patients]]</f>
        <v>3.8840349483717236</v>
      </c>
      <c r="CA133">
        <v>0</v>
      </c>
    </row>
    <row r="134" spans="6:79" x14ac:dyDescent="0.3">
      <c r="F134" s="2"/>
      <c r="G134" s="2"/>
      <c r="H134" s="13"/>
      <c r="I134" s="13"/>
      <c r="BA134">
        <f t="shared" si="2"/>
        <v>133</v>
      </c>
      <c r="BB134" s="12" t="s">
        <v>200</v>
      </c>
      <c r="BD134" t="s">
        <v>89</v>
      </c>
      <c r="BE134" t="s">
        <v>172</v>
      </c>
      <c r="BF134" t="s">
        <v>64</v>
      </c>
      <c r="BG134">
        <v>800</v>
      </c>
      <c r="BJ134">
        <v>1100</v>
      </c>
      <c r="BN134">
        <v>530</v>
      </c>
      <c r="BO134">
        <v>500</v>
      </c>
      <c r="BQ134">
        <f>SUM(SimpleDashData83[[#This Row],[Convayance]:[Misc]])</f>
        <v>2930</v>
      </c>
      <c r="BR134">
        <v>515</v>
      </c>
      <c r="BS134">
        <v>147</v>
      </c>
      <c r="BT134">
        <v>74</v>
      </c>
      <c r="BU134">
        <f>SUM(SimpleDashData83[[#This Row],[Male]:[Child]])</f>
        <v>736</v>
      </c>
      <c r="BV134">
        <v>29.44</v>
      </c>
      <c r="BW134">
        <v>2208</v>
      </c>
      <c r="BZ134">
        <f>SimpleDashData83[[#This Row],[Total Expense]]/SimpleDashData83[[#This Row],[Total Patients]]</f>
        <v>3.9809782608695654</v>
      </c>
      <c r="CA134">
        <v>0</v>
      </c>
    </row>
    <row r="135" spans="6:79" x14ac:dyDescent="0.3">
      <c r="F135" s="2"/>
      <c r="G135" s="2"/>
      <c r="H135" s="13"/>
      <c r="I135" s="13"/>
      <c r="BA135">
        <f t="shared" si="2"/>
        <v>134</v>
      </c>
      <c r="BB135" s="12" t="s">
        <v>201</v>
      </c>
      <c r="BD135" t="s">
        <v>89</v>
      </c>
      <c r="BE135" t="s">
        <v>172</v>
      </c>
      <c r="BF135" t="s">
        <v>64</v>
      </c>
      <c r="BH135">
        <v>960</v>
      </c>
      <c r="BJ135">
        <v>6840</v>
      </c>
      <c r="BQ135">
        <f>SUM(SimpleDashData83[[#This Row],[Convayance]:[Misc]])</f>
        <v>7800</v>
      </c>
      <c r="BR135">
        <v>1740</v>
      </c>
      <c r="BS135">
        <v>2</v>
      </c>
      <c r="BU135">
        <f>SUM(SimpleDashData83[[#This Row],[Male]:[Child]])</f>
        <v>1742</v>
      </c>
      <c r="BV135">
        <v>69.680000000000007</v>
      </c>
      <c r="BW135">
        <v>5226</v>
      </c>
      <c r="BZ135">
        <f>SimpleDashData83[[#This Row],[Total Expense]]/SimpleDashData83[[#This Row],[Total Patients]]</f>
        <v>4.4776119402985071</v>
      </c>
      <c r="CA135">
        <v>0</v>
      </c>
    </row>
    <row r="136" spans="6:79" x14ac:dyDescent="0.3">
      <c r="F136" s="2"/>
      <c r="G136" s="2"/>
      <c r="H136" s="13"/>
      <c r="I136" s="13"/>
      <c r="BA136">
        <f t="shared" si="2"/>
        <v>135</v>
      </c>
      <c r="BB136" s="12" t="s">
        <v>202</v>
      </c>
      <c r="BD136" t="s">
        <v>89</v>
      </c>
      <c r="BE136" t="s">
        <v>172</v>
      </c>
      <c r="BF136" t="s">
        <v>64</v>
      </c>
      <c r="BJ136">
        <v>1200</v>
      </c>
      <c r="BL136">
        <v>2000</v>
      </c>
      <c r="BQ136">
        <f>SUM(SimpleDashData83[[#This Row],[Convayance]:[Misc]])</f>
        <v>3200</v>
      </c>
      <c r="BR136">
        <v>1656</v>
      </c>
      <c r="BS136">
        <v>92</v>
      </c>
      <c r="BT136">
        <v>25</v>
      </c>
      <c r="BU136">
        <f>SUM(SimpleDashData83[[#This Row],[Male]:[Child]])</f>
        <v>1773</v>
      </c>
      <c r="BV136">
        <v>70.92</v>
      </c>
      <c r="BW136">
        <v>5319</v>
      </c>
      <c r="BZ136">
        <f>SimpleDashData83[[#This Row],[Total Expense]]/SimpleDashData83[[#This Row],[Total Patients]]</f>
        <v>1.8048505358150029</v>
      </c>
      <c r="CA136">
        <v>0</v>
      </c>
    </row>
    <row r="137" spans="6:79" ht="15" thickBot="1" x14ac:dyDescent="0.35">
      <c r="F137" s="2"/>
      <c r="G137" s="2"/>
      <c r="H137" s="13"/>
      <c r="I137" s="13"/>
      <c r="BA137">
        <f t="shared" si="2"/>
        <v>136</v>
      </c>
      <c r="BB137" s="30" t="s">
        <v>203</v>
      </c>
      <c r="BD137" t="s">
        <v>89</v>
      </c>
      <c r="BE137" t="s">
        <v>172</v>
      </c>
      <c r="BF137" t="s">
        <v>64</v>
      </c>
      <c r="BG137">
        <v>0</v>
      </c>
      <c r="BH137">
        <v>0</v>
      </c>
      <c r="BQ137">
        <f>SUM(SimpleDashData83[[#This Row],[Convayance]:[Misc]])</f>
        <v>0</v>
      </c>
      <c r="BR137">
        <v>525</v>
      </c>
      <c r="BS137">
        <v>5</v>
      </c>
      <c r="BU137">
        <f>SUM(SimpleDashData83[[#This Row],[Male]:[Child]])</f>
        <v>530</v>
      </c>
      <c r="BV137">
        <v>21.2</v>
      </c>
      <c r="BW137">
        <v>1590</v>
      </c>
      <c r="BZ137">
        <f>SimpleDashData83[[#This Row],[Total Expense]]/SimpleDashData83[[#This Row],[Total Patients]]</f>
        <v>0</v>
      </c>
      <c r="CA137">
        <v>0</v>
      </c>
    </row>
    <row r="138" spans="6:79" ht="15" thickTop="1" x14ac:dyDescent="0.3">
      <c r="F138" s="2"/>
      <c r="G138" s="2"/>
      <c r="H138" s="13"/>
      <c r="I138" s="13"/>
      <c r="BA138">
        <f t="shared" si="2"/>
        <v>137</v>
      </c>
      <c r="BB138" s="45" t="s">
        <v>222</v>
      </c>
      <c r="BC138" s="42"/>
      <c r="BD138" t="s">
        <v>33</v>
      </c>
      <c r="BE138" t="s">
        <v>172</v>
      </c>
      <c r="BF138" t="s">
        <v>64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300</v>
      </c>
      <c r="BM138">
        <v>0</v>
      </c>
      <c r="BN138">
        <v>0</v>
      </c>
      <c r="BO138">
        <v>0</v>
      </c>
      <c r="BP138">
        <v>0</v>
      </c>
      <c r="BQ138">
        <f>SUM(SimpleDashData83[[#This Row],[Convayance]:[Misc]])</f>
        <v>300</v>
      </c>
      <c r="BR138">
        <v>301</v>
      </c>
      <c r="BS138">
        <v>0</v>
      </c>
      <c r="BT138">
        <v>0</v>
      </c>
      <c r="BU138">
        <f>SUM(SimpleDashData83[[#This Row],[Male]:[Child]])</f>
        <v>301</v>
      </c>
      <c r="BV138">
        <v>12.04</v>
      </c>
      <c r="BW138">
        <v>602</v>
      </c>
      <c r="BX138" s="42"/>
      <c r="BY138" s="42"/>
      <c r="BZ138">
        <f>SimpleDashData83[[#This Row],[Total Expense]]/SimpleDashData83[[#This Row],[Total Patients]]</f>
        <v>0.99667774086378735</v>
      </c>
      <c r="CA138">
        <v>0</v>
      </c>
    </row>
    <row r="139" spans="6:79" x14ac:dyDescent="0.3">
      <c r="F139" s="2"/>
      <c r="G139" s="2"/>
      <c r="H139" s="13"/>
      <c r="I139" s="13"/>
      <c r="BQ139" s="46">
        <f>SUBTOTAL(109,SimpleDashData83[Total Expense])</f>
        <v>924829</v>
      </c>
      <c r="BU139">
        <f>SUBTOTAL(109,SimpleDashData83[Total Patients])</f>
        <v>243065</v>
      </c>
    </row>
    <row r="140" spans="6:79" ht="15" thickBot="1" x14ac:dyDescent="0.35">
      <c r="F140" s="2"/>
      <c r="G140" s="2"/>
      <c r="H140" s="13"/>
      <c r="I140" s="13"/>
    </row>
    <row r="141" spans="6:79" ht="15" thickTop="1" x14ac:dyDescent="0.3">
      <c r="F141" s="2"/>
      <c r="G141" s="2"/>
      <c r="H141" s="13"/>
      <c r="I141" s="13"/>
      <c r="BA141" s="44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3"/>
    </row>
    <row r="142" spans="6:79" x14ac:dyDescent="0.3">
      <c r="F142" s="2"/>
      <c r="G142" s="2"/>
      <c r="H142" s="13"/>
      <c r="I142" s="13"/>
    </row>
    <row r="143" spans="6:79" x14ac:dyDescent="0.3">
      <c r="F143" s="2"/>
      <c r="G143" s="2"/>
      <c r="H143" s="13"/>
      <c r="I143" s="13"/>
    </row>
    <row r="144" spans="6:79" x14ac:dyDescent="0.3">
      <c r="F144" s="2"/>
      <c r="G144" s="2"/>
      <c r="H144" s="13"/>
      <c r="I144" s="13"/>
    </row>
    <row r="145" spans="6:59" x14ac:dyDescent="0.3">
      <c r="F145" s="2"/>
      <c r="G145" s="2"/>
      <c r="H145" s="13"/>
      <c r="I145" s="13"/>
    </row>
    <row r="146" spans="6:59" x14ac:dyDescent="0.3">
      <c r="F146" s="2"/>
      <c r="G146" s="2"/>
      <c r="H146" s="13"/>
      <c r="I146" s="13"/>
    </row>
    <row r="147" spans="6:59" x14ac:dyDescent="0.3">
      <c r="G147" s="2"/>
      <c r="H147" s="13"/>
      <c r="I147" s="13"/>
    </row>
    <row r="148" spans="6:59" x14ac:dyDescent="0.3">
      <c r="F148" s="2"/>
      <c r="G148" s="2"/>
      <c r="H148" s="13"/>
      <c r="I148" s="13"/>
    </row>
    <row r="149" spans="6:59" x14ac:dyDescent="0.3">
      <c r="F149" s="2"/>
      <c r="G149" s="2"/>
      <c r="H149" s="13"/>
      <c r="I149" s="13"/>
    </row>
    <row r="150" spans="6:59" x14ac:dyDescent="0.3">
      <c r="F150" s="2"/>
      <c r="G150" s="31"/>
    </row>
    <row r="151" spans="6:59" x14ac:dyDescent="0.3">
      <c r="F151" s="2"/>
      <c r="G151" s="31"/>
      <c r="BB151" t="s">
        <v>204</v>
      </c>
      <c r="BC151" t="s">
        <v>205</v>
      </c>
      <c r="BD151" t="s">
        <v>206</v>
      </c>
      <c r="BE151" t="s">
        <v>207</v>
      </c>
    </row>
    <row r="152" spans="6:59" x14ac:dyDescent="0.3">
      <c r="BB152" t="s">
        <v>42</v>
      </c>
      <c r="BC152" t="s">
        <v>43</v>
      </c>
      <c r="BD152" t="s">
        <v>43</v>
      </c>
      <c r="BF152" t="s">
        <v>9</v>
      </c>
      <c r="BG152" cm="1">
        <f t="array" ref="BG152">SUMPRODUCT((IF($D$4&lt;&gt;"",1,IF($B$4="All Regions",1,SimpleDashData83[Region]=$B$4)))*(IF($D$4&lt;&gt;"",SimpleDashData83[QCNM Name]=$D$4,IF($G$4="All Clinics",1,SimpleDashData83[QCNM Name]=$G$4)))*(IF($A$4="All Sections",1,SimpleDashData83[Section]=$A$4))*SimpleDashData83[Convayance])</f>
        <v>0</v>
      </c>
    </row>
    <row r="153" spans="6:59" x14ac:dyDescent="0.3">
      <c r="BB153" t="s">
        <v>34</v>
      </c>
      <c r="BC153" t="s">
        <v>107</v>
      </c>
      <c r="BD153" t="str" cm="1">
        <f t="array" ref="BD153">IFERROR(INDEX(_xlfn._xlws.SORT(_xlfn._xlws.FILTER(SimpleDashData83[QCNM Name],IF($D$4&lt;&gt;"",SimpleDashData83[QCNM Name]=$D$4,IF($B$4="All Regions",1,SimpleDashData83[Region]=$B$4))*IF($A$4="All Sections",1,SimpleDashData83[Section]=$A$4))),ROWS($BD$153:BD153)),"")</f>
        <v>QCNM DP &amp; CF Malir, Karachi</v>
      </c>
      <c r="BF153" t="s">
        <v>10</v>
      </c>
      <c r="BG153" cm="1">
        <f t="array" ref="BG153">SUMPRODUCT((IF($D$4&lt;&gt;"",1,IF($B$4="All Regions",1,SimpleDashData83[Region]=$B$4)))*(IF($D$4&lt;&gt;"",SimpleDashData83[QCNM Name]=$D$4,IF($G$4="All Clinics",1,SimpleDashData83[QCNM Name]=$G$4)))*(IF($A$4="All Sections",1,SimpleDashData83[Section]=$A$4))*SimpleDashData83[Purchasing])</f>
        <v>0</v>
      </c>
    </row>
    <row r="154" spans="6:59" x14ac:dyDescent="0.3">
      <c r="BB154" t="s">
        <v>100</v>
      </c>
      <c r="BC154" t="s">
        <v>104</v>
      </c>
      <c r="BD154" t="str" cm="1">
        <f t="array" ref="BD154">IFERROR(INDEX(_xlfn._xlws.SORT(_xlfn._xlws.FILTER(SimpleDashData83[QCNM Name],IF($D$4&lt;&gt;"",SimpleDashData83[QCNM Name]=$D$4,IF($B$4="All Regions",1,SimpleDashData83[Region]=$B$4))*IF($A$4="All Sections",1,SimpleDashData83[Section]=$A$4))),ROWS($BD$153:BD154)),"")</f>
        <v/>
      </c>
      <c r="BF154" t="s">
        <v>11</v>
      </c>
      <c r="BG154" cm="1">
        <f t="array" ref="BG154">SUMPRODUCT((IF($D$4&lt;&gt;"",1,IF($B$4="All Regions",1,SimpleDashData83[Region]=$B$4)))*(IF($D$4&lt;&gt;"",SimpleDashData83[QCNM Name]=$D$4,IF($G$4="All Clinics",1,SimpleDashData83[QCNM Name]=$G$4)))*(IF($A$4="All Sections",1,SimpleDashData83[Section]=$A$4))*SimpleDashData83[Freight])</f>
        <v>0</v>
      </c>
    </row>
    <row r="155" spans="6:59" x14ac:dyDescent="0.3">
      <c r="BB155" t="s">
        <v>172</v>
      </c>
      <c r="BC155" t="s">
        <v>179</v>
      </c>
      <c r="BD155" t="str" cm="1">
        <f t="array" ref="BD155">IFERROR(INDEX(_xlfn._xlws.SORT(_xlfn._xlws.FILTER(SimpleDashData83[QCNM Name],IF($D$4&lt;&gt;"",SimpleDashData83[QCNM Name]=$D$4,IF($B$4="All Regions",1,SimpleDashData83[Region]=$B$4))*IF($A$4="All Sections",1,SimpleDashData83[Section]=$A$4))),ROWS($BD$153:BD155)),"")</f>
        <v/>
      </c>
      <c r="BF155" t="s">
        <v>12</v>
      </c>
      <c r="BG155" cm="1">
        <f t="array" ref="BG155">SUMPRODUCT((IF($D$4&lt;&gt;"",1,IF($B$4="All Regions",1,SimpleDashData83[Region]=$B$4)))*(IF($D$4&lt;&gt;"",SimpleDashData83[QCNM Name]=$D$4,IF($G$4="All Clinics",1,SimpleDashData83[QCNM Name]=$G$4)))*(IF($A$4="All Sections",1,SimpleDashData83[Section]=$A$4))*SimpleDashData83[Packing])</f>
        <v>0</v>
      </c>
    </row>
    <row r="156" spans="6:59" x14ac:dyDescent="0.3">
      <c r="BB156" t="s">
        <v>135</v>
      </c>
      <c r="BC156" t="s">
        <v>113</v>
      </c>
      <c r="BD156" t="str" cm="1">
        <f t="array" ref="BD156">IFERROR(INDEX(_xlfn._xlws.SORT(_xlfn._xlws.FILTER(SimpleDashData83[QCNM Name],IF($D$4&lt;&gt;"",SimpleDashData83[QCNM Name]=$D$4,IF($B$4="All Regions",1,SimpleDashData83[Region]=$B$4))*IF($A$4="All Sections",1,SimpleDashData83[Section]=$A$4))),ROWS($BD$153:BD156)),"")</f>
        <v/>
      </c>
      <c r="BF156" t="s">
        <v>13</v>
      </c>
      <c r="BG156" cm="1">
        <f t="array" ref="BG156">SUMPRODUCT((IF($D$4&lt;&gt;"",1,IF($B$4="All Regions",1,SimpleDashData83[Region]=$B$4)))*(IF($D$4&lt;&gt;"",SimpleDashData83[QCNM Name]=$D$4,IF($G$4="All Clinics",1,SimpleDashData83[QCNM Name]=$G$4)))*(IF($A$4="All Sections",1,SimpleDashData83[Section]=$A$4))*SimpleDashData83[Postage])</f>
        <v>0</v>
      </c>
    </row>
    <row r="157" spans="6:59" x14ac:dyDescent="0.3">
      <c r="BC157" t="s">
        <v>63</v>
      </c>
      <c r="BD157" t="str" cm="1">
        <f t="array" ref="BD157">IFERROR(INDEX(_xlfn._xlws.SORT(_xlfn._xlws.FILTER(SimpleDashData83[QCNM Name],IF($D$4&lt;&gt;"",SimpleDashData83[QCNM Name]=$D$4,IF($B$4="All Regions",1,SimpleDashData83[Region]=$B$4))*IF($A$4="All Sections",1,SimpleDashData83[Section]=$A$4))),ROWS($BD$153:BD157)),"")</f>
        <v/>
      </c>
      <c r="BF157" t="s">
        <v>14</v>
      </c>
      <c r="BG157" cm="1">
        <f t="array" ref="BG157">SUMPRODUCT((IF($D$4&lt;&gt;"",1,IF($B$4="All Regions",1,SimpleDashData83[Region]=$B$4)))*(IF($D$4&lt;&gt;"",SimpleDashData83[QCNM Name]=$D$4,IF($G$4="All Clinics",1,SimpleDashData83[QCNM Name]=$G$4)))*(IF($A$4="All Sections",1,SimpleDashData83[Section]=$A$4))*SimpleDashData83[Printing])</f>
        <v>300</v>
      </c>
    </row>
    <row r="158" spans="6:59" x14ac:dyDescent="0.3">
      <c r="BC158" t="s">
        <v>142</v>
      </c>
      <c r="BD158" t="str" cm="1">
        <f t="array" ref="BD158">IFERROR(INDEX(_xlfn._xlws.SORT(_xlfn._xlws.FILTER(SimpleDashData83[QCNM Name],IF($D$4&lt;&gt;"",SimpleDashData83[QCNM Name]=$D$4,IF($B$4="All Regions",1,SimpleDashData83[Region]=$B$4))*IF($A$4="All Sections",1,SimpleDashData83[Section]=$A$4))),ROWS($BD$153:BD158)),"")</f>
        <v/>
      </c>
      <c r="BF158" t="s">
        <v>15</v>
      </c>
      <c r="BG158" cm="1">
        <f t="array" ref="BG158">SUMPRODUCT((IF($D$4&lt;&gt;"",1,IF($B$4="All Regions",1,SimpleDashData83[Region]=$B$4)))*(IF($D$4&lt;&gt;"",SimpleDashData83[QCNM Name]=$D$4,IF($G$4="All Clinics",1,SimpleDashData83[QCNM Name]=$G$4)))*(IF($A$4="All Sections",1,SimpleDashData83[Section]=$A$4))*SimpleDashData83[Repair])</f>
        <v>0</v>
      </c>
    </row>
    <row r="159" spans="6:59" x14ac:dyDescent="0.3">
      <c r="BC159" t="s">
        <v>154</v>
      </c>
      <c r="BD159" t="str" cm="1">
        <f t="array" ref="BD159">IFERROR(INDEX(_xlfn._xlws.SORT(_xlfn._xlws.FILTER(SimpleDashData83[QCNM Name],IF($D$4&lt;&gt;"",SimpleDashData83[QCNM Name]=$D$4,IF($B$4="All Regions",1,SimpleDashData83[Region]=$B$4))*IF($A$4="All Sections",1,SimpleDashData83[Section]=$A$4))),ROWS($BD$153:BD159)),"")</f>
        <v/>
      </c>
      <c r="BF159" t="s">
        <v>16</v>
      </c>
      <c r="BG159" cm="1">
        <f t="array" ref="BG159">SUMPRODUCT((IF($D$4&lt;&gt;"",1,IF($B$4="All Regions",1,SimpleDashData83[Region]=$B$4)))*(IF($D$4&lt;&gt;"",SimpleDashData83[QCNM Name]=$D$4,IF($G$4="All Clinics",1,SimpleDashData83[QCNM Name]=$G$4)))*(IF($A$4="All Sections",1,SimpleDashData83[Section]=$A$4))*SimpleDashData83[Stationary])</f>
        <v>0</v>
      </c>
    </row>
    <row r="160" spans="6:59" x14ac:dyDescent="0.3">
      <c r="BC160" t="s">
        <v>136</v>
      </c>
      <c r="BD160" t="str" cm="1">
        <f t="array" ref="BD160">IFERROR(INDEX(_xlfn._xlws.SORT(_xlfn._xlws.FILTER(SimpleDashData83[QCNM Name],IF($D$4&lt;&gt;"",SimpleDashData83[QCNM Name]=$D$4,IF($B$4="All Regions",1,SimpleDashData83[Region]=$B$4))*IF($A$4="All Sections",1,SimpleDashData83[Section]=$A$4))),ROWS($BD$153:BD160)),"")</f>
        <v/>
      </c>
      <c r="BF160" t="s">
        <v>17</v>
      </c>
      <c r="BG160" cm="1">
        <f t="array" ref="BG160">SUMPRODUCT((IF($D$4&lt;&gt;"",1,IF($B$4="All Regions",1,SimpleDashData83[Region]=$B$4)))*(IF($D$4&lt;&gt;"",SimpleDashData83[QCNM Name]=$D$4,IF($G$4="All Clinics",1,SimpleDashData83[QCNM Name]=$G$4)))*(IF($A$4="All Sections",1,SimpleDashData83[Section]=$A$4))*SimpleDashData83[Utilities])</f>
        <v>0</v>
      </c>
    </row>
    <row r="161" spans="55:59" x14ac:dyDescent="0.3">
      <c r="BC161" t="s">
        <v>137</v>
      </c>
      <c r="BD161" t="str" cm="1">
        <f t="array" ref="BD161">IFERROR(INDEX(_xlfn._xlws.SORT(_xlfn._xlws.FILTER(SimpleDashData83[QCNM Name],IF($D$4&lt;&gt;"",SimpleDashData83[QCNM Name]=$D$4,IF($B$4="All Regions",1,SimpleDashData83[Region]=$B$4))*IF($A$4="All Sections",1,SimpleDashData83[Section]=$A$4))),ROWS($BD$153:BD161)),"")</f>
        <v/>
      </c>
      <c r="BF161" t="s">
        <v>18</v>
      </c>
      <c r="BG161" cm="1">
        <f t="array" ref="BG161">SUMPRODUCT((IF($D$4&lt;&gt;"",1,IF($B$4="All Regions",1,SimpleDashData83[Region]=$B$4)))*(IF($D$4&lt;&gt;"",SimpleDashData83[QCNM Name]=$D$4,IF($G$4="All Clinics",1,SimpleDashData83[QCNM Name]=$G$4)))*(IF($A$4="All Sections",1,SimpleDashData83[Section]=$A$4))*SimpleDashData83[Misc])</f>
        <v>0</v>
      </c>
    </row>
    <row r="162" spans="55:59" x14ac:dyDescent="0.3">
      <c r="BC162" t="s">
        <v>153</v>
      </c>
      <c r="BD162" t="str" cm="1">
        <f t="array" ref="BD162">IFERROR(INDEX(_xlfn._xlws.SORT(_xlfn._xlws.FILTER(SimpleDashData83[QCNM Name],IF($D$4&lt;&gt;"",SimpleDashData83[QCNM Name]=$D$4,IF($B$4="All Regions",1,SimpleDashData83[Region]=$B$4))*IF($A$4="All Sections",1,SimpleDashData83[Section]=$A$4))),ROWS($BD$153:BD162)),"")</f>
        <v/>
      </c>
    </row>
    <row r="163" spans="55:59" x14ac:dyDescent="0.3">
      <c r="BC163" t="s">
        <v>152</v>
      </c>
      <c r="BD163" t="str" cm="1">
        <f t="array" ref="BD163">IFERROR(INDEX(_xlfn._xlws.SORT(_xlfn._xlws.FILTER(SimpleDashData83[QCNM Name],IF($D$4&lt;&gt;"",SimpleDashData83[QCNM Name]=$D$4,IF($B$4="All Regions",1,SimpleDashData83[Region]=$B$4))*IF($A$4="All Sections",1,SimpleDashData83[Section]=$A$4))),ROWS($BD$153:BD163)),"")</f>
        <v/>
      </c>
    </row>
    <row r="164" spans="55:59" x14ac:dyDescent="0.3">
      <c r="BC164" t="s">
        <v>65</v>
      </c>
      <c r="BD164" t="str" cm="1">
        <f t="array" ref="BD164">IFERROR(INDEX(_xlfn._xlws.SORT(_xlfn._xlws.FILTER(SimpleDashData83[QCNM Name],IF($D$4&lt;&gt;"",SimpleDashData83[QCNM Name]=$D$4,IF($B$4="All Regions",1,SimpleDashData83[Region]=$B$4))*IF($A$4="All Sections",1,SimpleDashData83[Section]=$A$4))),ROWS($BD$153:BD164)),"")</f>
        <v/>
      </c>
    </row>
    <row r="165" spans="55:59" x14ac:dyDescent="0.3">
      <c r="BC165" t="s">
        <v>48</v>
      </c>
      <c r="BD165" t="str" cm="1">
        <f t="array" ref="BD165">IFERROR(INDEX(_xlfn._xlws.SORT(_xlfn._xlws.FILTER(SimpleDashData83[QCNM Name],IF($D$4&lt;&gt;"",SimpleDashData83[QCNM Name]=$D$4,IF($B$4="All Regions",1,SimpleDashData83[Region]=$B$4))*IF($A$4="All Sections",1,SimpleDashData83[Section]=$A$4))),ROWS($BD$153:BD165)),"")</f>
        <v/>
      </c>
    </row>
    <row r="166" spans="55:59" x14ac:dyDescent="0.3">
      <c r="BC166" t="s">
        <v>155</v>
      </c>
      <c r="BD166" t="str" cm="1">
        <f t="array" ref="BD166">IFERROR(INDEX(_xlfn._xlws.SORT(_xlfn._xlws.FILTER(SimpleDashData83[QCNM Name],IF($D$4&lt;&gt;"",SimpleDashData83[QCNM Name]=$D$4,IF($B$4="All Regions",1,SimpleDashData83[Region]=$B$4))*IF($A$4="All Sections",1,SimpleDashData83[Section]=$A$4))),ROWS($BD$153:BD166)),"")</f>
        <v/>
      </c>
    </row>
    <row r="167" spans="55:59" x14ac:dyDescent="0.3">
      <c r="BC167" t="s">
        <v>96</v>
      </c>
      <c r="BD167" t="str" cm="1">
        <f t="array" ref="BD167">IFERROR(INDEX(_xlfn._xlws.SORT(_xlfn._xlws.FILTER(SimpleDashData83[QCNM Name],IF($D$4&lt;&gt;"",SimpleDashData83[QCNM Name]=$D$4,IF($B$4="All Regions",1,SimpleDashData83[Region]=$B$4))*IF($A$4="All Sections",1,SimpleDashData83[Section]=$A$4))),ROWS($BD$153:BD167)),"")</f>
        <v/>
      </c>
    </row>
    <row r="168" spans="55:59" x14ac:dyDescent="0.3">
      <c r="BC168" t="s">
        <v>134</v>
      </c>
      <c r="BD168" t="str" cm="1">
        <f t="array" ref="BD168">IFERROR(INDEX(_xlfn._xlws.SORT(_xlfn._xlws.FILTER(SimpleDashData83[QCNM Name],IF($D$4&lt;&gt;"",SimpleDashData83[QCNM Name]=$D$4,IF($B$4="All Regions",1,SimpleDashData83[Region]=$B$4))*IF($A$4="All Sections",1,SimpleDashData83[Section]=$A$4))),ROWS($BD$153:BD168)),"")</f>
        <v/>
      </c>
    </row>
    <row r="169" spans="55:59" x14ac:dyDescent="0.3">
      <c r="BC169" t="s">
        <v>196</v>
      </c>
      <c r="BD169" t="str" cm="1">
        <f t="array" ref="BD169">IFERROR(INDEX(_xlfn._xlws.SORT(_xlfn._xlws.FILTER(SimpleDashData83[QCNM Name],IF($D$4&lt;&gt;"",SimpleDashData83[QCNM Name]=$D$4,IF($B$4="All Regions",1,SimpleDashData83[Region]=$B$4))*IF($A$4="All Sections",1,SimpleDashData83[Section]=$A$4))),ROWS($BD$153:BD169)),"")</f>
        <v/>
      </c>
    </row>
    <row r="170" spans="55:59" x14ac:dyDescent="0.3">
      <c r="BC170" t="s">
        <v>193</v>
      </c>
      <c r="BD170" t="str" cm="1">
        <f t="array" ref="BD170">IFERROR(INDEX(_xlfn._xlws.SORT(_xlfn._xlws.FILTER(SimpleDashData83[QCNM Name],IF($D$4&lt;&gt;"",SimpleDashData83[QCNM Name]=$D$4,IF($B$4="All Regions",1,SimpleDashData83[Region]=$B$4))*IF($A$4="All Sections",1,SimpleDashData83[Section]=$A$4))),ROWS($BD$153:BD170)),"")</f>
        <v/>
      </c>
    </row>
    <row r="171" spans="55:59" x14ac:dyDescent="0.3">
      <c r="BC171" t="s">
        <v>94</v>
      </c>
      <c r="BD171" t="str" cm="1">
        <f t="array" ref="BD171">IFERROR(INDEX(_xlfn._xlws.SORT(_xlfn._xlws.FILTER(SimpleDashData83[QCNM Name],IF($D$4&lt;&gt;"",SimpleDashData83[QCNM Name]=$D$4,IF($B$4="All Regions",1,SimpleDashData83[Region]=$B$4))*IF($A$4="All Sections",1,SimpleDashData83[Section]=$A$4))),ROWS($BD$153:BD171)),"")</f>
        <v/>
      </c>
    </row>
    <row r="172" spans="55:59" x14ac:dyDescent="0.3">
      <c r="BC172" t="s">
        <v>86</v>
      </c>
      <c r="BD172" t="str" cm="1">
        <f t="array" ref="BD172">IFERROR(INDEX(_xlfn._xlws.SORT(_xlfn._xlws.FILTER(SimpleDashData83[QCNM Name],IF($D$4&lt;&gt;"",SimpleDashData83[QCNM Name]=$D$4,IF($B$4="All Regions",1,SimpleDashData83[Region]=$B$4))*IF($A$4="All Sections",1,SimpleDashData83[Section]=$A$4))),ROWS($BD$153:BD172)),"")</f>
        <v/>
      </c>
    </row>
    <row r="173" spans="55:59" x14ac:dyDescent="0.3">
      <c r="BC173" t="s">
        <v>97</v>
      </c>
      <c r="BD173" t="str" cm="1">
        <f t="array" ref="BD173">IFERROR(INDEX(_xlfn._xlws.SORT(_xlfn._xlws.FILTER(SimpleDashData83[QCNM Name],IF($D$4&lt;&gt;"",SimpleDashData83[QCNM Name]=$D$4,IF($B$4="All Regions",1,SimpleDashData83[Region]=$B$4))*IF($A$4="All Sections",1,SimpleDashData83[Section]=$A$4))),ROWS($BD$153:BD173)),"")</f>
        <v/>
      </c>
    </row>
    <row r="174" spans="55:59" x14ac:dyDescent="0.3">
      <c r="BC174" t="s">
        <v>156</v>
      </c>
      <c r="BD174" t="str" cm="1">
        <f t="array" ref="BD174">IFERROR(INDEX(_xlfn._xlws.SORT(_xlfn._xlws.FILTER(SimpleDashData83[QCNM Name],IF($D$4&lt;&gt;"",SimpleDashData83[QCNM Name]=$D$4,IF($B$4="All Regions",1,SimpleDashData83[Region]=$B$4))*IF($A$4="All Sections",1,SimpleDashData83[Section]=$A$4))),ROWS($BD$153:BD174)),"")</f>
        <v/>
      </c>
    </row>
    <row r="175" spans="55:59" x14ac:dyDescent="0.3">
      <c r="BC175" t="s">
        <v>66</v>
      </c>
      <c r="BD175" t="str" cm="1">
        <f t="array" ref="BD175">IFERROR(INDEX(_xlfn._xlws.SORT(_xlfn._xlws.FILTER(SimpleDashData83[QCNM Name],IF($D$4&lt;&gt;"",SimpleDashData83[QCNM Name]=$D$4,IF($B$4="All Regions",1,SimpleDashData83[Region]=$B$4))*IF($A$4="All Sections",1,SimpleDashData83[Section]=$A$4))),ROWS($BD$153:BD175)),"")</f>
        <v/>
      </c>
    </row>
    <row r="176" spans="55:59" x14ac:dyDescent="0.3">
      <c r="BC176" t="s">
        <v>182</v>
      </c>
      <c r="BD176" t="str" cm="1">
        <f t="array" ref="BD176">IFERROR(INDEX(_xlfn._xlws.SORT(_xlfn._xlws.FILTER(SimpleDashData83[QCNM Name],IF($D$4&lt;&gt;"",SimpleDashData83[QCNM Name]=$D$4,IF($B$4="All Regions",1,SimpleDashData83[Region]=$B$4))*IF($A$4="All Sections",1,SimpleDashData83[Section]=$A$4))),ROWS($BD$153:BD176)),"")</f>
        <v/>
      </c>
    </row>
    <row r="177" spans="55:56" x14ac:dyDescent="0.3">
      <c r="BC177" t="s">
        <v>47</v>
      </c>
      <c r="BD177" t="str" cm="1">
        <f t="array" ref="BD177">IFERROR(INDEX(_xlfn._xlws.SORT(_xlfn._xlws.FILTER(SimpleDashData83[QCNM Name],IF($D$4&lt;&gt;"",SimpleDashData83[QCNM Name]=$D$4,IF($B$4="All Regions",1,SimpleDashData83[Region]=$B$4))*IF($A$4="All Sections",1,SimpleDashData83[Section]=$A$4))),ROWS($BD$153:BD177)),"")</f>
        <v/>
      </c>
    </row>
    <row r="178" spans="55:56" x14ac:dyDescent="0.3">
      <c r="BC178" t="s">
        <v>121</v>
      </c>
      <c r="BD178" t="str" cm="1">
        <f t="array" ref="BD178">IFERROR(INDEX(_xlfn._xlws.SORT(_xlfn._xlws.FILTER(SimpleDashData83[QCNM Name],IF($D$4&lt;&gt;"",SimpleDashData83[QCNM Name]=$D$4,IF($B$4="All Regions",1,SimpleDashData83[Region]=$B$4))*IF($A$4="All Sections",1,SimpleDashData83[Section]=$A$4))),ROWS($BD$153:BD178)),"")</f>
        <v/>
      </c>
    </row>
    <row r="179" spans="55:56" x14ac:dyDescent="0.3">
      <c r="BC179" t="s">
        <v>119</v>
      </c>
      <c r="BD179" t="str" cm="1">
        <f t="array" ref="BD179">IFERROR(INDEX(_xlfn._xlws.SORT(_xlfn._xlws.FILTER(SimpleDashData83[QCNM Name],IF($D$4&lt;&gt;"",SimpleDashData83[QCNM Name]=$D$4,IF($B$4="All Regions",1,SimpleDashData83[Region]=$B$4))*IF($A$4="All Sections",1,SimpleDashData83[Section]=$A$4))),ROWS($BD$153:BD179)),"")</f>
        <v/>
      </c>
    </row>
    <row r="180" spans="55:56" x14ac:dyDescent="0.3">
      <c r="BC180" t="s">
        <v>120</v>
      </c>
      <c r="BD180" t="str" cm="1">
        <f t="array" ref="BD180">IFERROR(INDEX(_xlfn._xlws.SORT(_xlfn._xlws.FILTER(SimpleDashData83[QCNM Name],IF($D$4&lt;&gt;"",SimpleDashData83[QCNM Name]=$D$4,IF($B$4="All Regions",1,SimpleDashData83[Region]=$B$4))*IF($A$4="All Sections",1,SimpleDashData83[Section]=$A$4))),ROWS($BD$153:BD180)),"")</f>
        <v/>
      </c>
    </row>
    <row r="181" spans="55:56" x14ac:dyDescent="0.3">
      <c r="BC181" t="s">
        <v>109</v>
      </c>
      <c r="BD181" t="str" cm="1">
        <f t="array" ref="BD181">IFERROR(INDEX(_xlfn._xlws.SORT(_xlfn._xlws.FILTER(SimpleDashData83[QCNM Name],IF($D$4&lt;&gt;"",SimpleDashData83[QCNM Name]=$D$4,IF($B$4="All Regions",1,SimpleDashData83[Region]=$B$4))*IF($A$4="All Sections",1,SimpleDashData83[Section]=$A$4))),ROWS($BD$153:BD181)),"")</f>
        <v/>
      </c>
    </row>
    <row r="182" spans="55:56" x14ac:dyDescent="0.3">
      <c r="BC182" t="s">
        <v>110</v>
      </c>
      <c r="BD182" t="str" cm="1">
        <f t="array" ref="BD182">IFERROR(INDEX(_xlfn._xlws.SORT(_xlfn._xlws.FILTER(SimpleDashData83[QCNM Name],IF($D$4&lt;&gt;"",SimpleDashData83[QCNM Name]=$D$4,IF($B$4="All Regions",1,SimpleDashData83[Region]=$B$4))*IF($A$4="All Sections",1,SimpleDashData83[Section]=$A$4))),ROWS($BD$153:BD182)),"")</f>
        <v/>
      </c>
    </row>
    <row r="183" spans="55:56" x14ac:dyDescent="0.3">
      <c r="BC183" t="s">
        <v>132</v>
      </c>
      <c r="BD183" t="str" cm="1">
        <f t="array" ref="BD183">IFERROR(INDEX(_xlfn._xlws.SORT(_xlfn._xlws.FILTER(SimpleDashData83[QCNM Name],IF($D$4&lt;&gt;"",SimpleDashData83[QCNM Name]=$D$4,IF($B$4="All Regions",1,SimpleDashData83[Region]=$B$4))*IF($A$4="All Sections",1,SimpleDashData83[Section]=$A$4))),ROWS($BD$153:BD183)),"")</f>
        <v/>
      </c>
    </row>
    <row r="184" spans="55:56" x14ac:dyDescent="0.3">
      <c r="BC184" t="s">
        <v>69</v>
      </c>
      <c r="BD184" t="str" cm="1">
        <f t="array" ref="BD184">IFERROR(INDEX(_xlfn._xlws.SORT(_xlfn._xlws.FILTER(SimpleDashData83[QCNM Name],IF($D$4&lt;&gt;"",SimpleDashData83[QCNM Name]=$D$4,IF($B$4="All Regions",1,SimpleDashData83[Region]=$B$4))*IF($A$4="All Sections",1,SimpleDashData83[Section]=$A$4))),ROWS($BD$153:BD184)),"")</f>
        <v/>
      </c>
    </row>
    <row r="185" spans="55:56" x14ac:dyDescent="0.3">
      <c r="BC185" t="s">
        <v>114</v>
      </c>
      <c r="BD185" t="str" cm="1">
        <f t="array" ref="BD185">IFERROR(INDEX(_xlfn._xlws.SORT(_xlfn._xlws.FILTER(SimpleDashData83[QCNM Name],IF($D$4&lt;&gt;"",SimpleDashData83[QCNM Name]=$D$4,IF($B$4="All Regions",1,SimpleDashData83[Region]=$B$4))*IF($A$4="All Sections",1,SimpleDashData83[Section]=$A$4))),ROWS($BD$153:BD185)),"")</f>
        <v/>
      </c>
    </row>
    <row r="186" spans="55:56" x14ac:dyDescent="0.3">
      <c r="BC186" t="s">
        <v>115</v>
      </c>
      <c r="BD186" t="str" cm="1">
        <f t="array" ref="BD186">IFERROR(INDEX(_xlfn._xlws.SORT(_xlfn._xlws.FILTER(SimpleDashData83[QCNM Name],IF($D$4&lt;&gt;"",SimpleDashData83[QCNM Name]=$D$4,IF($B$4="All Regions",1,SimpleDashData83[Region]=$B$4))*IF($A$4="All Sections",1,SimpleDashData83[Section]=$A$4))),ROWS($BD$153:BD186)),"")</f>
        <v/>
      </c>
    </row>
    <row r="187" spans="55:56" x14ac:dyDescent="0.3">
      <c r="BC187" t="s">
        <v>67</v>
      </c>
      <c r="BD187" t="str" cm="1">
        <f t="array" ref="BD187">IFERROR(INDEX(_xlfn._xlws.SORT(_xlfn._xlws.FILTER(SimpleDashData83[QCNM Name],IF($D$4&lt;&gt;"",SimpleDashData83[QCNM Name]=$D$4,IF($B$4="All Regions",1,SimpleDashData83[Region]=$B$4))*IF($A$4="All Sections",1,SimpleDashData83[Section]=$A$4))),ROWS($BD$153:BD187)),"")</f>
        <v/>
      </c>
    </row>
    <row r="188" spans="55:56" x14ac:dyDescent="0.3">
      <c r="BC188" t="s">
        <v>122</v>
      </c>
      <c r="BD188" t="str" cm="1">
        <f t="array" ref="BD188">IFERROR(INDEX(_xlfn._xlws.SORT(_xlfn._xlws.FILTER(SimpleDashData83[QCNM Name],IF($D$4&lt;&gt;"",SimpleDashData83[QCNM Name]=$D$4,IF($B$4="All Regions",1,SimpleDashData83[Region]=$B$4))*IF($A$4="All Sections",1,SimpleDashData83[Section]=$A$4))),ROWS($BD$153:BD188)),"")</f>
        <v/>
      </c>
    </row>
    <row r="189" spans="55:56" x14ac:dyDescent="0.3">
      <c r="BC189" t="s">
        <v>133</v>
      </c>
      <c r="BD189" t="str" cm="1">
        <f t="array" ref="BD189">IFERROR(INDEX(_xlfn._xlws.SORT(_xlfn._xlws.FILTER(SimpleDashData83[QCNM Name],IF($D$4&lt;&gt;"",SimpleDashData83[QCNM Name]=$D$4,IF($B$4="All Regions",1,SimpleDashData83[Region]=$B$4))*IF($A$4="All Sections",1,SimpleDashData83[Section]=$A$4))),ROWS($BD$153:BD189)),"")</f>
        <v/>
      </c>
    </row>
    <row r="190" spans="55:56" x14ac:dyDescent="0.3">
      <c r="BC190" t="s">
        <v>208</v>
      </c>
      <c r="BD190" t="str" cm="1">
        <f t="array" ref="BD190">IFERROR(INDEX(_xlfn._xlws.SORT(_xlfn._xlws.FILTER(SimpleDashData83[QCNM Name],IF($D$4&lt;&gt;"",SimpleDashData83[QCNM Name]=$D$4,IF($B$4="All Regions",1,SimpleDashData83[Region]=$B$4))*IF($A$4="All Sections",1,SimpleDashData83[Section]=$A$4))),ROWS($BD$153:BD190)),"")</f>
        <v/>
      </c>
    </row>
    <row r="191" spans="55:56" x14ac:dyDescent="0.3">
      <c r="BC191" t="s">
        <v>111</v>
      </c>
      <c r="BD191" t="str" cm="1">
        <f t="array" ref="BD191">IFERROR(INDEX(_xlfn._xlws.SORT(_xlfn._xlws.FILTER(SimpleDashData83[QCNM Name],IF($D$4&lt;&gt;"",SimpleDashData83[QCNM Name]=$D$4,IF($B$4="All Regions",1,SimpleDashData83[Region]=$B$4))*IF($A$4="All Sections",1,SimpleDashData83[Section]=$A$4))),ROWS($BD$153:BD191)),"")</f>
        <v/>
      </c>
    </row>
    <row r="192" spans="55:56" x14ac:dyDescent="0.3">
      <c r="BC192" t="s">
        <v>144</v>
      </c>
      <c r="BD192" t="str" cm="1">
        <f t="array" ref="BD192">IFERROR(INDEX(_xlfn._xlws.SORT(_xlfn._xlws.FILTER(SimpleDashData83[QCNM Name],IF($D$4&lt;&gt;"",SimpleDashData83[QCNM Name]=$D$4,IF($B$4="All Regions",1,SimpleDashData83[Region]=$B$4))*IF($A$4="All Sections",1,SimpleDashData83[Section]=$A$4))),ROWS($BD$153:BD192)),"")</f>
        <v/>
      </c>
    </row>
    <row r="193" spans="55:56" x14ac:dyDescent="0.3">
      <c r="BC193" t="s">
        <v>91</v>
      </c>
      <c r="BD193" t="str" cm="1">
        <f t="array" ref="BD193">IFERROR(INDEX(_xlfn._xlws.SORT(_xlfn._xlws.FILTER(SimpleDashData83[QCNM Name],IF($D$4&lt;&gt;"",SimpleDashData83[QCNM Name]=$D$4,IF($B$4="All Regions",1,SimpleDashData83[Region]=$B$4))*IF($A$4="All Sections",1,SimpleDashData83[Section]=$A$4))),ROWS($BD$153:BD193)),"")</f>
        <v/>
      </c>
    </row>
    <row r="194" spans="55:56" x14ac:dyDescent="0.3">
      <c r="BC194" t="s">
        <v>72</v>
      </c>
      <c r="BD194" t="str" cm="1">
        <f t="array" ref="BD194">IFERROR(INDEX(_xlfn._xlws.SORT(_xlfn._xlws.FILTER(SimpleDashData83[QCNM Name],IF($D$4&lt;&gt;"",SimpleDashData83[QCNM Name]=$D$4,IF($B$4="All Regions",1,SimpleDashData83[Region]=$B$4))*IF($A$4="All Sections",1,SimpleDashData83[Section]=$A$4))),ROWS($BD$153:BD194)),"")</f>
        <v/>
      </c>
    </row>
    <row r="195" spans="55:56" x14ac:dyDescent="0.3">
      <c r="BC195" t="s">
        <v>32</v>
      </c>
      <c r="BD195" t="str" cm="1">
        <f t="array" ref="BD195">IFERROR(INDEX(_xlfn._xlws.SORT(_xlfn._xlws.FILTER(SimpleDashData83[QCNM Name],IF($D$4&lt;&gt;"",SimpleDashData83[QCNM Name]=$D$4,IF($B$4="All Regions",1,SimpleDashData83[Region]=$B$4))*IF($A$4="All Sections",1,SimpleDashData83[Section]=$A$4))),ROWS($BD$153:BD195)),"")</f>
        <v/>
      </c>
    </row>
    <row r="196" spans="55:56" x14ac:dyDescent="0.3">
      <c r="BC196" t="s">
        <v>187</v>
      </c>
      <c r="BD196" t="str" cm="1">
        <f t="array" ref="BD196">IFERROR(INDEX(_xlfn._xlws.SORT(_xlfn._xlws.FILTER(SimpleDashData83[QCNM Name],IF($D$4&lt;&gt;"",SimpleDashData83[QCNM Name]=$D$4,IF($B$4="All Regions",1,SimpleDashData83[Region]=$B$4))*IF($A$4="All Sections",1,SimpleDashData83[Section]=$A$4))),ROWS($BD$153:BD196)),"")</f>
        <v/>
      </c>
    </row>
    <row r="197" spans="55:56" x14ac:dyDescent="0.3">
      <c r="BC197" t="s">
        <v>41</v>
      </c>
      <c r="BD197" t="str" cm="1">
        <f t="array" ref="BD197">IFERROR(INDEX(_xlfn._xlws.SORT(_xlfn._xlws.FILTER(SimpleDashData83[QCNM Name],IF($D$4&lt;&gt;"",SimpleDashData83[QCNM Name]=$D$4,IF($B$4="All Regions",1,SimpleDashData83[Region]=$B$4))*IF($A$4="All Sections",1,SimpleDashData83[Section]=$A$4))),ROWS($BD$153:BD197)),"")</f>
        <v/>
      </c>
    </row>
    <row r="198" spans="55:56" x14ac:dyDescent="0.3">
      <c r="BC198" t="s">
        <v>143</v>
      </c>
      <c r="BD198" t="str" cm="1">
        <f t="array" ref="BD198">IFERROR(INDEX(_xlfn._xlws.SORT(_xlfn._xlws.FILTER(SimpleDashData83[QCNM Name],IF($D$4&lt;&gt;"",SimpleDashData83[QCNM Name]=$D$4,IF($B$4="All Regions",1,SimpleDashData83[Region]=$B$4))*IF($A$4="All Sections",1,SimpleDashData83[Section]=$A$4))),ROWS($BD$153:BD198)),"")</f>
        <v/>
      </c>
    </row>
    <row r="199" spans="55:56" x14ac:dyDescent="0.3">
      <c r="BC199" t="s">
        <v>123</v>
      </c>
      <c r="BD199" t="str" cm="1">
        <f t="array" ref="BD199">IFERROR(INDEX(_xlfn._xlws.SORT(_xlfn._xlws.FILTER(SimpleDashData83[QCNM Name],IF($D$4&lt;&gt;"",SimpleDashData83[QCNM Name]=$D$4,IF($B$4="All Regions",1,SimpleDashData83[Region]=$B$4))*IF($A$4="All Sections",1,SimpleDashData83[Section]=$A$4))),ROWS($BD$153:BD199)),"")</f>
        <v/>
      </c>
    </row>
    <row r="200" spans="55:56" x14ac:dyDescent="0.3">
      <c r="BC200" t="s">
        <v>190</v>
      </c>
      <c r="BD200" t="str" cm="1">
        <f t="array" ref="BD200">IFERROR(INDEX(_xlfn._xlws.SORT(_xlfn._xlws.FILTER(SimpleDashData83[QCNM Name],IF($D$4&lt;&gt;"",SimpleDashData83[QCNM Name]=$D$4,IF($B$4="All Regions",1,SimpleDashData83[Region]=$B$4))*IF($A$4="All Sections",1,SimpleDashData83[Section]=$A$4))),ROWS($BD$153:BD200)),"")</f>
        <v/>
      </c>
    </row>
    <row r="201" spans="55:56" x14ac:dyDescent="0.3">
      <c r="BC201" t="s">
        <v>74</v>
      </c>
      <c r="BD201" t="str" cm="1">
        <f t="array" ref="BD201">IFERROR(INDEX(_xlfn._xlws.SORT(_xlfn._xlws.FILTER(SimpleDashData83[QCNM Name],IF($D$4&lt;&gt;"",SimpleDashData83[QCNM Name]=$D$4,IF($B$4="All Regions",1,SimpleDashData83[Region]=$B$4))*IF($A$4="All Sections",1,SimpleDashData83[Section]=$A$4))),ROWS($BD$153:BD201)),"")</f>
        <v/>
      </c>
    </row>
    <row r="202" spans="55:56" x14ac:dyDescent="0.3">
      <c r="BC202" t="s">
        <v>124</v>
      </c>
      <c r="BD202" t="str" cm="1">
        <f t="array" ref="BD202">IFERROR(INDEX(_xlfn._xlws.SORT(_xlfn._xlws.FILTER(SimpleDashData83[QCNM Name],IF($D$4&lt;&gt;"",SimpleDashData83[QCNM Name]=$D$4,IF($B$4="All Regions",1,SimpleDashData83[Region]=$B$4))*IF($A$4="All Sections",1,SimpleDashData83[Section]=$A$4))),ROWS($BD$153:BD202)),"")</f>
        <v/>
      </c>
    </row>
    <row r="203" spans="55:56" x14ac:dyDescent="0.3">
      <c r="BC203" t="s">
        <v>197</v>
      </c>
      <c r="BD203" t="str" cm="1">
        <f t="array" ref="BD203">IFERROR(INDEX(_xlfn._xlws.SORT(_xlfn._xlws.FILTER(SimpleDashData83[QCNM Name],IF($D$4&lt;&gt;"",SimpleDashData83[QCNM Name]=$D$4,IF($B$4="All Regions",1,SimpleDashData83[Region]=$B$4))*IF($A$4="All Sections",1,SimpleDashData83[Section]=$A$4))),ROWS($BD$153:BD203)),"")</f>
        <v/>
      </c>
    </row>
    <row r="204" spans="55:56" x14ac:dyDescent="0.3">
      <c r="BC204" t="s">
        <v>157</v>
      </c>
      <c r="BD204" t="str" cm="1">
        <f t="array" ref="BD204">IFERROR(INDEX(_xlfn._xlws.SORT(_xlfn._xlws.FILTER(SimpleDashData83[QCNM Name],IF($D$4&lt;&gt;"",SimpleDashData83[QCNM Name]=$D$4,IF($B$4="All Regions",1,SimpleDashData83[Region]=$B$4))*IF($A$4="All Sections",1,SimpleDashData83[Section]=$A$4))),ROWS($BD$153:BD204)),"")</f>
        <v/>
      </c>
    </row>
    <row r="205" spans="55:56" x14ac:dyDescent="0.3">
      <c r="BC205" t="s">
        <v>178</v>
      </c>
      <c r="BD205" t="str" cm="1">
        <f t="array" ref="BD205">IFERROR(INDEX(_xlfn._xlws.SORT(_xlfn._xlws.FILTER(SimpleDashData83[QCNM Name],IF($D$4&lt;&gt;"",SimpleDashData83[QCNM Name]=$D$4,IF($B$4="All Regions",1,SimpleDashData83[Region]=$B$4))*IF($A$4="All Sections",1,SimpleDashData83[Section]=$A$4))),ROWS($BD$153:BD205)),"")</f>
        <v/>
      </c>
    </row>
    <row r="206" spans="55:56" x14ac:dyDescent="0.3">
      <c r="BC206" t="s">
        <v>198</v>
      </c>
      <c r="BD206" t="str" cm="1">
        <f t="array" ref="BD206">IFERROR(INDEX(_xlfn._xlws.SORT(_xlfn._xlws.FILTER(SimpleDashData83[QCNM Name],IF($D$4&lt;&gt;"",SimpleDashData83[QCNM Name]=$D$4,IF($B$4="All Regions",1,SimpleDashData83[Region]=$B$4))*IF($A$4="All Sections",1,SimpleDashData83[Section]=$A$4))),ROWS($BD$153:BD206)),"")</f>
        <v/>
      </c>
    </row>
    <row r="207" spans="55:56" x14ac:dyDescent="0.3">
      <c r="BC207" t="s">
        <v>112</v>
      </c>
      <c r="BD207" t="str" cm="1">
        <f t="array" ref="BD207">IFERROR(INDEX(_xlfn._xlws.SORT(_xlfn._xlws.FILTER(SimpleDashData83[QCNM Name],IF($D$4&lt;&gt;"",SimpleDashData83[QCNM Name]=$D$4,IF($B$4="All Regions",1,SimpleDashData83[Region]=$B$4))*IF($A$4="All Sections",1,SimpleDashData83[Section]=$A$4))),ROWS($BD$153:BD207)),"")</f>
        <v/>
      </c>
    </row>
    <row r="208" spans="55:56" x14ac:dyDescent="0.3">
      <c r="BC208" t="s">
        <v>73</v>
      </c>
      <c r="BD208" t="str" cm="1">
        <f t="array" ref="BD208">IFERROR(INDEX(_xlfn._xlws.SORT(_xlfn._xlws.FILTER(SimpleDashData83[QCNM Name],IF($D$4&lt;&gt;"",SimpleDashData83[QCNM Name]=$D$4,IF($B$4="All Regions",1,SimpleDashData83[Region]=$B$4))*IF($A$4="All Sections",1,SimpleDashData83[Section]=$A$4))),ROWS($BD$153:BD208)),"")</f>
        <v/>
      </c>
    </row>
    <row r="209" spans="55:56" x14ac:dyDescent="0.3">
      <c r="BC209" t="s">
        <v>202</v>
      </c>
      <c r="BD209" t="str" cm="1">
        <f t="array" ref="BD209">IFERROR(INDEX(_xlfn._xlws.SORT(_xlfn._xlws.FILTER(SimpleDashData83[QCNM Name],IF($D$4&lt;&gt;"",SimpleDashData83[QCNM Name]=$D$4,IF($B$4="All Regions",1,SimpleDashData83[Region]=$B$4))*IF($A$4="All Sections",1,SimpleDashData83[Section]=$A$4))),ROWS($BD$153:BD209)),"")</f>
        <v/>
      </c>
    </row>
    <row r="210" spans="55:56" x14ac:dyDescent="0.3">
      <c r="BC210" t="s">
        <v>105</v>
      </c>
      <c r="BD210" t="str" cm="1">
        <f t="array" ref="BD210">IFERROR(INDEX(_xlfn._xlws.SORT(_xlfn._xlws.FILTER(SimpleDashData83[QCNM Name],IF($D$4&lt;&gt;"",SimpleDashData83[QCNM Name]=$D$4,IF($B$4="All Regions",1,SimpleDashData83[Region]=$B$4))*IF($A$4="All Sections",1,SimpleDashData83[Section]=$A$4))),ROWS($BD$153:BD210)),"")</f>
        <v/>
      </c>
    </row>
    <row r="211" spans="55:56" x14ac:dyDescent="0.3">
      <c r="BC211" t="s">
        <v>106</v>
      </c>
      <c r="BD211" t="str" cm="1">
        <f t="array" ref="BD211">IFERROR(INDEX(_xlfn._xlws.SORT(_xlfn._xlws.FILTER(SimpleDashData83[QCNM Name],IF($D$4&lt;&gt;"",SimpleDashData83[QCNM Name]=$D$4,IF($B$4="All Regions",1,SimpleDashData83[Region]=$B$4))*IF($A$4="All Sections",1,SimpleDashData83[Section]=$A$4))),ROWS($BD$153:BD211)),"")</f>
        <v/>
      </c>
    </row>
    <row r="212" spans="55:56" x14ac:dyDescent="0.3">
      <c r="BC212" t="s">
        <v>101</v>
      </c>
      <c r="BD212" t="str" cm="1">
        <f t="array" ref="BD212">IFERROR(INDEX(_xlfn._xlws.SORT(_xlfn._xlws.FILTER(SimpleDashData83[QCNM Name],IF($D$4&lt;&gt;"",SimpleDashData83[QCNM Name]=$D$4,IF($B$4="All Regions",1,SimpleDashData83[Region]=$B$4))*IF($A$4="All Sections",1,SimpleDashData83[Section]=$A$4))),ROWS($BD$153:BD212)),"")</f>
        <v/>
      </c>
    </row>
    <row r="213" spans="55:56" x14ac:dyDescent="0.3">
      <c r="BC213" t="s">
        <v>125</v>
      </c>
      <c r="BD213" t="str" cm="1">
        <f t="array" ref="BD213">IFERROR(INDEX(_xlfn._xlws.SORT(_xlfn._xlws.FILTER(SimpleDashData83[QCNM Name],IF($D$4&lt;&gt;"",SimpleDashData83[QCNM Name]=$D$4,IF($B$4="All Regions",1,SimpleDashData83[Region]=$B$4))*IF($A$4="All Sections",1,SimpleDashData83[Section]=$A$4))),ROWS($BD$153:BD213)),"")</f>
        <v/>
      </c>
    </row>
    <row r="214" spans="55:56" x14ac:dyDescent="0.3">
      <c r="BC214" t="s">
        <v>126</v>
      </c>
      <c r="BD214" t="str" cm="1">
        <f t="array" ref="BD214">IFERROR(INDEX(_xlfn._xlws.SORT(_xlfn._xlws.FILTER(SimpleDashData83[QCNM Name],IF($D$4&lt;&gt;"",SimpleDashData83[QCNM Name]=$D$4,IF($B$4="All Regions",1,SimpleDashData83[Region]=$B$4))*IF($A$4="All Sections",1,SimpleDashData83[Section]=$A$4))),ROWS($BD$153:BD214)),"")</f>
        <v/>
      </c>
    </row>
    <row r="215" spans="55:56" x14ac:dyDescent="0.3">
      <c r="BC215" t="s">
        <v>103</v>
      </c>
      <c r="BD215" t="str" cm="1">
        <f t="array" ref="BD215">IFERROR(INDEX(_xlfn._xlws.SORT(_xlfn._xlws.FILTER(SimpleDashData83[QCNM Name],IF($D$4&lt;&gt;"",SimpleDashData83[QCNM Name]=$D$4,IF($B$4="All Regions",1,SimpleDashData83[Region]=$B$4))*IF($A$4="All Sections",1,SimpleDashData83[Section]=$A$4))),ROWS($BD$153:BD215)),"")</f>
        <v/>
      </c>
    </row>
    <row r="216" spans="55:56" x14ac:dyDescent="0.3">
      <c r="BC216" t="s">
        <v>102</v>
      </c>
      <c r="BD216" t="str" cm="1">
        <f t="array" ref="BD216">IFERROR(INDEX(_xlfn._xlws.SORT(_xlfn._xlws.FILTER(SimpleDashData83[QCNM Name],IF($D$4&lt;&gt;"",SimpleDashData83[QCNM Name]=$D$4,IF($B$4="All Regions",1,SimpleDashData83[Region]=$B$4))*IF($A$4="All Sections",1,SimpleDashData83[Section]=$A$4))),ROWS($BD$153:BD216)),"")</f>
        <v/>
      </c>
    </row>
    <row r="217" spans="55:56" x14ac:dyDescent="0.3">
      <c r="BC217" t="s">
        <v>131</v>
      </c>
      <c r="BD217" t="str" cm="1">
        <f t="array" ref="BD217">IFERROR(INDEX(_xlfn._xlws.SORT(_xlfn._xlws.FILTER(SimpleDashData83[QCNM Name],IF($D$4&lt;&gt;"",SimpleDashData83[QCNM Name]=$D$4,IF($B$4="All Regions",1,SimpleDashData83[Region]=$B$4))*IF($A$4="All Sections",1,SimpleDashData83[Section]=$A$4))),ROWS($BD$153:BD217)),"")</f>
        <v/>
      </c>
    </row>
    <row r="218" spans="55:56" x14ac:dyDescent="0.3">
      <c r="BC218" t="s">
        <v>82</v>
      </c>
      <c r="BD218" t="str" cm="1">
        <f t="array" ref="BD218">IFERROR(INDEX(_xlfn._xlws.SORT(_xlfn._xlws.FILTER(SimpleDashData83[QCNM Name],IF($D$4&lt;&gt;"",SimpleDashData83[QCNM Name]=$D$4,IF($B$4="All Regions",1,SimpleDashData83[Region]=$B$4))*IF($A$4="All Sections",1,SimpleDashData83[Section]=$A$4))),ROWS($BD$153:BD218)),"")</f>
        <v/>
      </c>
    </row>
    <row r="219" spans="55:56" x14ac:dyDescent="0.3">
      <c r="BC219" t="s">
        <v>189</v>
      </c>
      <c r="BD219" t="str" cm="1">
        <f t="array" ref="BD219">IFERROR(INDEX(_xlfn._xlws.SORT(_xlfn._xlws.FILTER(SimpleDashData83[QCNM Name],IF($D$4&lt;&gt;"",SimpleDashData83[QCNM Name]=$D$4,IF($B$4="All Regions",1,SimpleDashData83[Region]=$B$4))*IF($A$4="All Sections",1,SimpleDashData83[Section]=$A$4))),ROWS($BD$153:BD219)),"")</f>
        <v/>
      </c>
    </row>
    <row r="220" spans="55:56" x14ac:dyDescent="0.3">
      <c r="BC220" t="s">
        <v>199</v>
      </c>
      <c r="BD220" t="str" cm="1">
        <f t="array" ref="BD220">IFERROR(INDEX(_xlfn._xlws.SORT(_xlfn._xlws.FILTER(SimpleDashData83[QCNM Name],IF($D$4&lt;&gt;"",SimpleDashData83[QCNM Name]=$D$4,IF($B$4="All Regions",1,SimpleDashData83[Region]=$B$4))*IF($A$4="All Sections",1,SimpleDashData83[Section]=$A$4))),ROWS($BD$153:BD220)),"")</f>
        <v/>
      </c>
    </row>
    <row r="221" spans="55:56" x14ac:dyDescent="0.3">
      <c r="BC221" t="s">
        <v>177</v>
      </c>
      <c r="BD221" t="str" cm="1">
        <f t="array" ref="BD221">IFERROR(INDEX(_xlfn._xlws.SORT(_xlfn._xlws.FILTER(SimpleDashData83[QCNM Name],IF($D$4&lt;&gt;"",SimpleDashData83[QCNM Name]=$D$4,IF($B$4="All Regions",1,SimpleDashData83[Region]=$B$4))*IF($A$4="All Sections",1,SimpleDashData83[Section]=$A$4))),ROWS($BD$153:BD221)),"")</f>
        <v/>
      </c>
    </row>
    <row r="222" spans="55:56" x14ac:dyDescent="0.3">
      <c r="BC222" t="s">
        <v>158</v>
      </c>
      <c r="BD222" t="str" cm="1">
        <f t="array" ref="BD222">IFERROR(INDEX(_xlfn._xlws.SORT(_xlfn._xlws.FILTER(SimpleDashData83[QCNM Name],IF($D$4&lt;&gt;"",SimpleDashData83[QCNM Name]=$D$4,IF($B$4="All Regions",1,SimpleDashData83[Region]=$B$4))*IF($A$4="All Sections",1,SimpleDashData83[Section]=$A$4))),ROWS($BD$153:BD222)),"")</f>
        <v/>
      </c>
    </row>
    <row r="223" spans="55:56" x14ac:dyDescent="0.3">
      <c r="BC223" t="s">
        <v>159</v>
      </c>
      <c r="BD223" t="str" cm="1">
        <f t="array" ref="BD223">IFERROR(INDEX(_xlfn._xlws.SORT(_xlfn._xlws.FILTER(SimpleDashData83[QCNM Name],IF($D$4&lt;&gt;"",SimpleDashData83[QCNM Name]=$D$4,IF($B$4="All Regions",1,SimpleDashData83[Region]=$B$4))*IF($A$4="All Sections",1,SimpleDashData83[Section]=$A$4))),ROWS($BD$153:BD223)),"")</f>
        <v/>
      </c>
    </row>
    <row r="224" spans="55:56" x14ac:dyDescent="0.3">
      <c r="BC224" t="s">
        <v>171</v>
      </c>
      <c r="BD224" t="str" cm="1">
        <f t="array" ref="BD224">IFERROR(INDEX(_xlfn._xlws.SORT(_xlfn._xlws.FILTER(SimpleDashData83[QCNM Name],IF($D$4&lt;&gt;"",SimpleDashData83[QCNM Name]=$D$4,IF($B$4="All Regions",1,SimpleDashData83[Region]=$B$4))*IF($A$4="All Sections",1,SimpleDashData83[Section]=$A$4))),ROWS($BD$153:BD224)),"")</f>
        <v/>
      </c>
    </row>
    <row r="225" spans="55:56" x14ac:dyDescent="0.3">
      <c r="BC225" t="s">
        <v>188</v>
      </c>
      <c r="BD225" t="str" cm="1">
        <f t="array" ref="BD225">IFERROR(INDEX(_xlfn._xlws.SORT(_xlfn._xlws.FILTER(SimpleDashData83[QCNM Name],IF($D$4&lt;&gt;"",SimpleDashData83[QCNM Name]=$D$4,IF($B$4="All Regions",1,SimpleDashData83[Region]=$B$4))*IF($A$4="All Sections",1,SimpleDashData83[Section]=$A$4))),ROWS($BD$153:BD225)),"")</f>
        <v/>
      </c>
    </row>
    <row r="226" spans="55:56" x14ac:dyDescent="0.3">
      <c r="BC226" t="s">
        <v>99</v>
      </c>
      <c r="BD226" t="str" cm="1">
        <f t="array" ref="BD226">IFERROR(INDEX(_xlfn._xlws.SORT(_xlfn._xlws.FILTER(SimpleDashData83[QCNM Name],IF($D$4&lt;&gt;"",SimpleDashData83[QCNM Name]=$D$4,IF($B$4="All Regions",1,SimpleDashData83[Region]=$B$4))*IF($A$4="All Sections",1,SimpleDashData83[Section]=$A$4))),ROWS($BD$153:BD226)),"")</f>
        <v/>
      </c>
    </row>
    <row r="227" spans="55:56" x14ac:dyDescent="0.3">
      <c r="BC227" t="s">
        <v>146</v>
      </c>
      <c r="BD227" t="str" cm="1">
        <f t="array" ref="BD227">IFERROR(INDEX(_xlfn._xlws.SORT(_xlfn._xlws.FILTER(SimpleDashData83[QCNM Name],IF($D$4&lt;&gt;"",SimpleDashData83[QCNM Name]=$D$4,IF($B$4="All Regions",1,SimpleDashData83[Region]=$B$4))*IF($A$4="All Sections",1,SimpleDashData83[Section]=$A$4))),ROWS($BD$153:BD227)),"")</f>
        <v/>
      </c>
    </row>
    <row r="228" spans="55:56" x14ac:dyDescent="0.3">
      <c r="BC228" t="s">
        <v>75</v>
      </c>
      <c r="BD228" t="str" cm="1">
        <f t="array" ref="BD228">IFERROR(INDEX(_xlfn._xlws.SORT(_xlfn._xlws.FILTER(SimpleDashData83[QCNM Name],IF($D$4&lt;&gt;"",SimpleDashData83[QCNM Name]=$D$4,IF($B$4="All Regions",1,SimpleDashData83[Region]=$B$4))*IF($A$4="All Sections",1,SimpleDashData83[Section]=$A$4))),ROWS($BD$153:BD228)),"")</f>
        <v/>
      </c>
    </row>
    <row r="229" spans="55:56" x14ac:dyDescent="0.3">
      <c r="BC229" t="s">
        <v>76</v>
      </c>
      <c r="BD229" t="str" cm="1">
        <f t="array" ref="BD229">IFERROR(INDEX(_xlfn._xlws.SORT(_xlfn._xlws.FILTER(SimpleDashData83[QCNM Name],IF($D$4&lt;&gt;"",SimpleDashData83[QCNM Name]=$D$4,IF($B$4="All Regions",1,SimpleDashData83[Region]=$B$4))*IF($A$4="All Sections",1,SimpleDashData83[Section]=$A$4))),ROWS($BD$153:BD229)),"")</f>
        <v/>
      </c>
    </row>
    <row r="230" spans="55:56" x14ac:dyDescent="0.3">
      <c r="BC230" t="s">
        <v>209</v>
      </c>
      <c r="BD230" t="str" cm="1">
        <f t="array" ref="BD230">IFERROR(INDEX(_xlfn._xlws.SORT(_xlfn._xlws.FILTER(SimpleDashData83[QCNM Name],IF($D$4&lt;&gt;"",SimpleDashData83[QCNM Name]=$D$4,IF($B$4="All Regions",1,SimpleDashData83[Region]=$B$4))*IF($A$4="All Sections",1,SimpleDashData83[Section]=$A$4))),ROWS($BD$153:BD230)),"")</f>
        <v/>
      </c>
    </row>
    <row r="231" spans="55:56" x14ac:dyDescent="0.3">
      <c r="BC231" t="s">
        <v>147</v>
      </c>
      <c r="BD231" t="str" cm="1">
        <f t="array" ref="BD231">IFERROR(INDEX(_xlfn._xlws.SORT(_xlfn._xlws.FILTER(SimpleDashData83[QCNM Name],IF($D$4&lt;&gt;"",SimpleDashData83[QCNM Name]=$D$4,IF($B$4="All Regions",1,SimpleDashData83[Region]=$B$4))*IF($A$4="All Sections",1,SimpleDashData83[Section]=$A$4))),ROWS($BD$153:BD231)),"")</f>
        <v/>
      </c>
    </row>
    <row r="232" spans="55:56" x14ac:dyDescent="0.3">
      <c r="BC232" t="s">
        <v>138</v>
      </c>
      <c r="BD232" t="str" cm="1">
        <f t="array" ref="BD232">IFERROR(INDEX(_xlfn._xlws.SORT(_xlfn._xlws.FILTER(SimpleDashData83[QCNM Name],IF($D$4&lt;&gt;"",SimpleDashData83[QCNM Name]=$D$4,IF($B$4="All Regions",1,SimpleDashData83[Region]=$B$4))*IF($A$4="All Sections",1,SimpleDashData83[Section]=$A$4))),ROWS($BD$153:BD232)),"")</f>
        <v/>
      </c>
    </row>
    <row r="233" spans="55:56" x14ac:dyDescent="0.3">
      <c r="BC233" t="s">
        <v>201</v>
      </c>
      <c r="BD233" t="str" cm="1">
        <f t="array" ref="BD233">IFERROR(INDEX(_xlfn._xlws.SORT(_xlfn._xlws.FILTER(SimpleDashData83[QCNM Name],IF($D$4&lt;&gt;"",SimpleDashData83[QCNM Name]=$D$4,IF($B$4="All Regions",1,SimpleDashData83[Region]=$B$4))*IF($A$4="All Sections",1,SimpleDashData83[Section]=$A$4))),ROWS($BD$153:BD233)),"")</f>
        <v/>
      </c>
    </row>
    <row r="234" spans="55:56" x14ac:dyDescent="0.3">
      <c r="BC234" t="s">
        <v>195</v>
      </c>
      <c r="BD234" t="str" cm="1">
        <f t="array" ref="BD234">IFERROR(INDEX(_xlfn._xlws.SORT(_xlfn._xlws.FILTER(SimpleDashData83[QCNM Name],IF($D$4&lt;&gt;"",SimpleDashData83[QCNM Name]=$D$4,IF($B$4="All Regions",1,SimpleDashData83[Region]=$B$4))*IF($A$4="All Sections",1,SimpleDashData83[Section]=$A$4))),ROWS($BD$153:BD234)),"")</f>
        <v/>
      </c>
    </row>
    <row r="235" spans="55:56" x14ac:dyDescent="0.3">
      <c r="BC235" t="s">
        <v>160</v>
      </c>
      <c r="BD235" t="str" cm="1">
        <f t="array" ref="BD235">IFERROR(INDEX(_xlfn._xlws.SORT(_xlfn._xlws.FILTER(SimpleDashData83[QCNM Name],IF($D$4&lt;&gt;"",SimpleDashData83[QCNM Name]=$D$4,IF($B$4="All Regions",1,SimpleDashData83[Region]=$B$4))*IF($A$4="All Sections",1,SimpleDashData83[Section]=$A$4))),ROWS($BD$153:BD235)),"")</f>
        <v/>
      </c>
    </row>
    <row r="236" spans="55:56" x14ac:dyDescent="0.3">
      <c r="BC236" t="s">
        <v>161</v>
      </c>
      <c r="BD236" t="str" cm="1">
        <f t="array" ref="BD236">IFERROR(INDEX(_xlfn._xlws.SORT(_xlfn._xlws.FILTER(SimpleDashData83[QCNM Name],IF($D$4&lt;&gt;"",SimpleDashData83[QCNM Name]=$D$4,IF($B$4="All Regions",1,SimpleDashData83[Region]=$B$4))*IF($A$4="All Sections",1,SimpleDashData83[Section]=$A$4))),ROWS($BD$153:BD236)),"")</f>
        <v/>
      </c>
    </row>
    <row r="237" spans="55:56" x14ac:dyDescent="0.3">
      <c r="BC237" t="s">
        <v>108</v>
      </c>
      <c r="BD237" t="str" cm="1">
        <f t="array" ref="BD237">IFERROR(INDEX(_xlfn._xlws.SORT(_xlfn._xlws.FILTER(SimpleDashData83[QCNM Name],IF($D$4&lt;&gt;"",SimpleDashData83[QCNM Name]=$D$4,IF($B$4="All Regions",1,SimpleDashData83[Region]=$B$4))*IF($A$4="All Sections",1,SimpleDashData83[Section]=$A$4))),ROWS($BD$153:BD237)),"")</f>
        <v/>
      </c>
    </row>
    <row r="238" spans="55:56" x14ac:dyDescent="0.3">
      <c r="BC238" t="s">
        <v>200</v>
      </c>
      <c r="BD238" t="str" cm="1">
        <f t="array" ref="BD238">IFERROR(INDEX(_xlfn._xlws.SORT(_xlfn._xlws.FILTER(SimpleDashData83[QCNM Name],IF($D$4&lt;&gt;"",SimpleDashData83[QCNM Name]=$D$4,IF($B$4="All Regions",1,SimpleDashData83[Region]=$B$4))*IF($A$4="All Sections",1,SimpleDashData83[Section]=$A$4))),ROWS($BD$153:BD238)),"")</f>
        <v/>
      </c>
    </row>
    <row r="239" spans="55:56" x14ac:dyDescent="0.3">
      <c r="BC239" t="s">
        <v>162</v>
      </c>
      <c r="BD239" t="str" cm="1">
        <f t="array" ref="BD239">IFERROR(INDEX(_xlfn._xlws.SORT(_xlfn._xlws.FILTER(SimpleDashData83[QCNM Name],IF($D$4&lt;&gt;"",SimpleDashData83[QCNM Name]=$D$4,IF($B$4="All Regions",1,SimpleDashData83[Region]=$B$4))*IF($A$4="All Sections",1,SimpleDashData83[Section]=$A$4))),ROWS($BD$153:BD239)),"")</f>
        <v/>
      </c>
    </row>
    <row r="240" spans="55:56" x14ac:dyDescent="0.3">
      <c r="BC240" t="s">
        <v>127</v>
      </c>
      <c r="BD240" t="str" cm="1">
        <f t="array" ref="BD240">IFERROR(INDEX(_xlfn._xlws.SORT(_xlfn._xlws.FILTER(SimpleDashData83[QCNM Name],IF($D$4&lt;&gt;"",SimpleDashData83[QCNM Name]=$D$4,IF($B$4="All Regions",1,SimpleDashData83[Region]=$B$4))*IF($A$4="All Sections",1,SimpleDashData83[Section]=$A$4))),ROWS($BD$153:BD240)),"")</f>
        <v/>
      </c>
    </row>
    <row r="241" spans="55:56" x14ac:dyDescent="0.3">
      <c r="BC241" t="s">
        <v>93</v>
      </c>
      <c r="BD241" t="str" cm="1">
        <f t="array" ref="BD241">IFERROR(INDEX(_xlfn._xlws.SORT(_xlfn._xlws.FILTER(SimpleDashData83[QCNM Name],IF($D$4&lt;&gt;"",SimpleDashData83[QCNM Name]=$D$4,IF($B$4="All Regions",1,SimpleDashData83[Region]=$B$4))*IF($A$4="All Sections",1,SimpleDashData83[Section]=$A$4))),ROWS($BD$153:BD241)),"")</f>
        <v/>
      </c>
    </row>
    <row r="242" spans="55:56" x14ac:dyDescent="0.3">
      <c r="BC242" t="s">
        <v>164</v>
      </c>
      <c r="BD242" t="str" cm="1">
        <f t="array" ref="BD242">IFERROR(INDEX(_xlfn._xlws.SORT(_xlfn._xlws.FILTER(SimpleDashData83[QCNM Name],IF($D$4&lt;&gt;"",SimpleDashData83[QCNM Name]=$D$4,IF($B$4="All Regions",1,SimpleDashData83[Region]=$B$4))*IF($A$4="All Sections",1,SimpleDashData83[Section]=$A$4))),ROWS($BD$153:BD242)),"")</f>
        <v/>
      </c>
    </row>
    <row r="243" spans="55:56" x14ac:dyDescent="0.3">
      <c r="BC243" t="s">
        <v>55</v>
      </c>
      <c r="BD243" t="str" cm="1">
        <f t="array" ref="BD243">IFERROR(INDEX(_xlfn._xlws.SORT(_xlfn._xlws.FILTER(SimpleDashData83[QCNM Name],IF($D$4&lt;&gt;"",SimpleDashData83[QCNM Name]=$D$4,IF($B$4="All Regions",1,SimpleDashData83[Region]=$B$4))*IF($A$4="All Sections",1,SimpleDashData83[Section]=$A$4))),ROWS($BD$153:BD243)),"")</f>
        <v/>
      </c>
    </row>
    <row r="244" spans="55:56" x14ac:dyDescent="0.3">
      <c r="BC244" t="s">
        <v>44</v>
      </c>
      <c r="BD244" t="str" cm="1">
        <f t="array" ref="BD244">IFERROR(INDEX(_xlfn._xlws.SORT(_xlfn._xlws.FILTER(SimpleDashData83[QCNM Name],IF($D$4&lt;&gt;"",SimpleDashData83[QCNM Name]=$D$4,IF($B$4="All Regions",1,SimpleDashData83[Region]=$B$4))*IF($A$4="All Sections",1,SimpleDashData83[Section]=$A$4))),ROWS($BD$153:BD244)),"")</f>
        <v/>
      </c>
    </row>
    <row r="245" spans="55:56" x14ac:dyDescent="0.3">
      <c r="BC245" t="s">
        <v>165</v>
      </c>
      <c r="BD245" t="str" cm="1">
        <f t="array" ref="BD245">IFERROR(INDEX(_xlfn._xlws.SORT(_xlfn._xlws.FILTER(SimpleDashData83[QCNM Name],IF($D$4&lt;&gt;"",SimpleDashData83[QCNM Name]=$D$4,IF($B$4="All Regions",1,SimpleDashData83[Region]=$B$4))*IF($A$4="All Sections",1,SimpleDashData83[Section]=$A$4))),ROWS($BD$153:BD245)),"")</f>
        <v/>
      </c>
    </row>
    <row r="246" spans="55:56" x14ac:dyDescent="0.3">
      <c r="BC246" t="s">
        <v>77</v>
      </c>
      <c r="BD246" t="str" cm="1">
        <f t="array" ref="BD246">IFERROR(INDEX(_xlfn._xlws.SORT(_xlfn._xlws.FILTER(SimpleDashData83[QCNM Name],IF($D$4&lt;&gt;"",SimpleDashData83[QCNM Name]=$D$4,IF($B$4="All Regions",1,SimpleDashData83[Region]=$B$4))*IF($A$4="All Sections",1,SimpleDashData83[Section]=$A$4))),ROWS($BD$153:BD246)),"")</f>
        <v/>
      </c>
    </row>
    <row r="247" spans="55:56" x14ac:dyDescent="0.3">
      <c r="BC247" t="s">
        <v>210</v>
      </c>
      <c r="BD247" t="str" cm="1">
        <f t="array" ref="BD247">IFERROR(INDEX(_xlfn._xlws.SORT(_xlfn._xlws.FILTER(SimpleDashData83[QCNM Name],IF($D$4&lt;&gt;"",SimpleDashData83[QCNM Name]=$D$4,IF($B$4="All Regions",1,SimpleDashData83[Region]=$B$4))*IF($A$4="All Sections",1,SimpleDashData83[Section]=$A$4))),ROWS($BD$153:BD247)),"")</f>
        <v/>
      </c>
    </row>
    <row r="248" spans="55:56" x14ac:dyDescent="0.3">
      <c r="BC248" t="s">
        <v>191</v>
      </c>
      <c r="BD248" t="str" cm="1">
        <f t="array" ref="BD248">IFERROR(INDEX(_xlfn._xlws.SORT(_xlfn._xlws.FILTER(SimpleDashData83[QCNM Name],IF($D$4&lt;&gt;"",SimpleDashData83[QCNM Name]=$D$4,IF($B$4="All Regions",1,SimpleDashData83[Region]=$B$4))*IF($A$4="All Sections",1,SimpleDashData83[Section]=$A$4))),ROWS($BD$153:BD248)),"")</f>
        <v/>
      </c>
    </row>
    <row r="249" spans="55:56" x14ac:dyDescent="0.3">
      <c r="BC249" t="s">
        <v>139</v>
      </c>
      <c r="BD249" t="str" cm="1">
        <f t="array" ref="BD249">IFERROR(INDEX(_xlfn._xlws.SORT(_xlfn._xlws.FILTER(SimpleDashData83[QCNM Name],IF($D$4&lt;&gt;"",SimpleDashData83[QCNM Name]=$D$4,IF($B$4="All Regions",1,SimpleDashData83[Region]=$B$4))*IF($A$4="All Sections",1,SimpleDashData83[Section]=$A$4))),ROWS($BD$153:BD249)),"")</f>
        <v/>
      </c>
    </row>
    <row r="250" spans="55:56" x14ac:dyDescent="0.3">
      <c r="BC250" t="s">
        <v>186</v>
      </c>
      <c r="BD250" t="str" cm="1">
        <f t="array" ref="BD250">IFERROR(INDEX(_xlfn._xlws.SORT(_xlfn._xlws.FILTER(SimpleDashData83[QCNM Name],IF($D$4&lt;&gt;"",SimpleDashData83[QCNM Name]=$D$4,IF($B$4="All Regions",1,SimpleDashData83[Region]=$B$4))*IF($A$4="All Sections",1,SimpleDashData83[Section]=$A$4))),ROWS($BD$153:BD250)),"")</f>
        <v/>
      </c>
    </row>
    <row r="251" spans="55:56" x14ac:dyDescent="0.3">
      <c r="BC251" t="s">
        <v>54</v>
      </c>
      <c r="BD251" t="str" cm="1">
        <f t="array" ref="BD251">IFERROR(INDEX(_xlfn._xlws.SORT(_xlfn._xlws.FILTER(SimpleDashData83[QCNM Name],IF($D$4&lt;&gt;"",SimpleDashData83[QCNM Name]=$D$4,IF($B$4="All Regions",1,SimpleDashData83[Region]=$B$4))*IF($A$4="All Sections",1,SimpleDashData83[Section]=$A$4))),ROWS($BD$153:BD251)),"")</f>
        <v/>
      </c>
    </row>
    <row r="252" spans="55:56" x14ac:dyDescent="0.3">
      <c r="BC252" t="s">
        <v>56</v>
      </c>
      <c r="BD252" t="str" cm="1">
        <f t="array" ref="BD252">IFERROR(INDEX(_xlfn._xlws.SORT(_xlfn._xlws.FILTER(SimpleDashData83[QCNM Name],IF($D$4&lt;&gt;"",SimpleDashData83[QCNM Name]=$D$4,IF($B$4="All Regions",1,SimpleDashData83[Region]=$B$4))*IF($A$4="All Sections",1,SimpleDashData83[Section]=$A$4))),ROWS($BD$153:BD252)),"")</f>
        <v/>
      </c>
    </row>
    <row r="253" spans="55:56" x14ac:dyDescent="0.3">
      <c r="BC253" t="s">
        <v>167</v>
      </c>
      <c r="BD253" t="str" cm="1">
        <f t="array" ref="BD253">IFERROR(INDEX(_xlfn._xlws.SORT(_xlfn._xlws.FILTER(SimpleDashData83[QCNM Name],IF($D$4&lt;&gt;"",SimpleDashData83[QCNM Name]=$D$4,IF($B$4="All Regions",1,SimpleDashData83[Region]=$B$4))*IF($A$4="All Sections",1,SimpleDashData83[Section]=$A$4))),ROWS($BD$153:BD253)),"")</f>
        <v/>
      </c>
    </row>
    <row r="254" spans="55:56" x14ac:dyDescent="0.3">
      <c r="BC254" t="s">
        <v>166</v>
      </c>
      <c r="BD254" t="str" cm="1">
        <f t="array" ref="BD254">IFERROR(INDEX(_xlfn._xlws.SORT(_xlfn._xlws.FILTER(SimpleDashData83[QCNM Name],IF($D$4&lt;&gt;"",SimpleDashData83[QCNM Name]=$D$4,IF($B$4="All Regions",1,SimpleDashData83[Region]=$B$4))*IF($A$4="All Sections",1,SimpleDashData83[Section]=$A$4))),ROWS($BD$153:BD254)),"")</f>
        <v/>
      </c>
    </row>
    <row r="255" spans="55:56" x14ac:dyDescent="0.3">
      <c r="BC255" t="s">
        <v>203</v>
      </c>
      <c r="BD255" t="str" cm="1">
        <f t="array" ref="BD255">IFERROR(INDEX(_xlfn._xlws.SORT(_xlfn._xlws.FILTER(SimpleDashData83[QCNM Name],IF($D$4&lt;&gt;"",SimpleDashData83[QCNM Name]=$D$4,IF($B$4="All Regions",1,SimpleDashData83[Region]=$B$4))*IF($A$4="All Sections",1,SimpleDashData83[Section]=$A$4))),ROWS($BD$153:BD255)),"")</f>
        <v/>
      </c>
    </row>
    <row r="256" spans="55:56" x14ac:dyDescent="0.3">
      <c r="BC256" t="s">
        <v>183</v>
      </c>
      <c r="BD256" t="str" cm="1">
        <f t="array" ref="BD256">IFERROR(INDEX(_xlfn._xlws.SORT(_xlfn._xlws.FILTER(SimpleDashData83[QCNM Name],IF($D$4&lt;&gt;"",SimpleDashData83[QCNM Name]=$D$4,IF($B$4="All Regions",1,SimpleDashData83[Region]=$B$4))*IF($A$4="All Sections",1,SimpleDashData83[Section]=$A$4))),ROWS($BD$153:BD256)),"")</f>
        <v/>
      </c>
    </row>
    <row r="257" spans="55:56" x14ac:dyDescent="0.3">
      <c r="BC257" t="s">
        <v>148</v>
      </c>
      <c r="BD257" t="str" cm="1">
        <f t="array" ref="BD257">IFERROR(INDEX(_xlfn._xlws.SORT(_xlfn._xlws.FILTER(SimpleDashData83[QCNM Name],IF($D$4&lt;&gt;"",SimpleDashData83[QCNM Name]=$D$4,IF($B$4="All Regions",1,SimpleDashData83[Region]=$B$4))*IF($A$4="All Sections",1,SimpleDashData83[Section]=$A$4))),ROWS($BD$153:BD257)),"")</f>
        <v/>
      </c>
    </row>
    <row r="258" spans="55:56" x14ac:dyDescent="0.3">
      <c r="BC258" t="s">
        <v>57</v>
      </c>
      <c r="BD258" t="str" cm="1">
        <f t="array" ref="BD258">IFERROR(INDEX(_xlfn._xlws.SORT(_xlfn._xlws.FILTER(SimpleDashData83[QCNM Name],IF($D$4&lt;&gt;"",SimpleDashData83[QCNM Name]=$D$4,IF($B$4="All Regions",1,SimpleDashData83[Region]=$B$4))*IF($A$4="All Sections",1,SimpleDashData83[Section]=$A$4))),ROWS($BD$153:BD258)),"")</f>
        <v/>
      </c>
    </row>
    <row r="259" spans="55:56" x14ac:dyDescent="0.3">
      <c r="BC259" t="s">
        <v>92</v>
      </c>
      <c r="BD259" t="str" cm="1">
        <f t="array" ref="BD259">IFERROR(INDEX(_xlfn._xlws.SORT(_xlfn._xlws.FILTER(SimpleDashData83[QCNM Name],IF($D$4&lt;&gt;"",SimpleDashData83[QCNM Name]=$D$4,IF($B$4="All Regions",1,SimpleDashData83[Region]=$B$4))*IF($A$4="All Sections",1,SimpleDashData83[Section]=$A$4))),ROWS($BD$153:BD259)),"")</f>
        <v/>
      </c>
    </row>
    <row r="260" spans="55:56" x14ac:dyDescent="0.3">
      <c r="BC260" t="s">
        <v>168</v>
      </c>
      <c r="BD260" t="str" cm="1">
        <f t="array" ref="BD260">IFERROR(INDEX(_xlfn._xlws.SORT(_xlfn._xlws.FILTER(SimpleDashData83[QCNM Name],IF($D$4&lt;&gt;"",SimpleDashData83[QCNM Name]=$D$4,IF($B$4="All Regions",1,SimpleDashData83[Region]=$B$4))*IF($A$4="All Sections",1,SimpleDashData83[Section]=$A$4))),ROWS($BD$153:BD260)),"")</f>
        <v/>
      </c>
    </row>
    <row r="261" spans="55:56" x14ac:dyDescent="0.3">
      <c r="BC261" t="s">
        <v>170</v>
      </c>
      <c r="BD261" t="str" cm="1">
        <f t="array" ref="BD261">IFERROR(INDEX(_xlfn._xlws.SORT(_xlfn._xlws.FILTER(SimpleDashData83[QCNM Name],IF($D$4&lt;&gt;"",SimpleDashData83[QCNM Name]=$D$4,IF($B$4="All Regions",1,SimpleDashData83[Region]=$B$4))*IF($A$4="All Sections",1,SimpleDashData83[Section]=$A$4))),ROWS($BD$153:BD261)),"")</f>
        <v/>
      </c>
    </row>
    <row r="262" spans="55:56" x14ac:dyDescent="0.3">
      <c r="BC262" t="s">
        <v>176</v>
      </c>
      <c r="BD262" t="str" cm="1">
        <f t="array" ref="BD262">IFERROR(INDEX(_xlfn._xlws.SORT(_xlfn._xlws.FILTER(SimpleDashData83[QCNM Name],IF($D$4&lt;&gt;"",SimpleDashData83[QCNM Name]=$D$4,IF($B$4="All Regions",1,SimpleDashData83[Region]=$B$4))*IF($A$4="All Sections",1,SimpleDashData83[Section]=$A$4))),ROWS($BD$153:BD262)),"")</f>
        <v/>
      </c>
    </row>
    <row r="263" spans="55:56" x14ac:dyDescent="0.3">
      <c r="BC263" t="s">
        <v>149</v>
      </c>
      <c r="BD263" t="str" cm="1">
        <f t="array" ref="BD263">IFERROR(INDEX(_xlfn._xlws.SORT(_xlfn._xlws.FILTER(SimpleDashData83[QCNM Name],IF($D$4&lt;&gt;"",SimpleDashData83[QCNM Name]=$D$4,IF($B$4="All Regions",1,SimpleDashData83[Region]=$B$4))*IF($A$4="All Sections",1,SimpleDashData83[Section]=$A$4))),ROWS($BD$153:BD263)),"")</f>
        <v/>
      </c>
    </row>
    <row r="264" spans="55:56" x14ac:dyDescent="0.3">
      <c r="BC264" t="s">
        <v>150</v>
      </c>
      <c r="BD264" t="str" cm="1">
        <f t="array" ref="BD264">IFERROR(INDEX(_xlfn._xlws.SORT(_xlfn._xlws.FILTER(SimpleDashData83[QCNM Name],IF($D$4&lt;&gt;"",SimpleDashData83[QCNM Name]=$D$4,IF($B$4="All Regions",1,SimpleDashData83[Region]=$B$4))*IF($A$4="All Sections",1,SimpleDashData83[Section]=$A$4))),ROWS($BD$153:BD264)),"")</f>
        <v/>
      </c>
    </row>
    <row r="265" spans="55:56" x14ac:dyDescent="0.3">
      <c r="BC265" t="s">
        <v>128</v>
      </c>
      <c r="BD265" t="str" cm="1">
        <f t="array" ref="BD265">IFERROR(INDEX(_xlfn._xlws.SORT(_xlfn._xlws.FILTER(SimpleDashData83[QCNM Name],IF($D$4&lt;&gt;"",SimpleDashData83[QCNM Name]=$D$4,IF($B$4="All Regions",1,SimpleDashData83[Region]=$B$4))*IF($A$4="All Sections",1,SimpleDashData83[Section]=$A$4))),ROWS($BD$153:BD265)),"")</f>
        <v/>
      </c>
    </row>
    <row r="266" spans="55:56" x14ac:dyDescent="0.3">
      <c r="BC266" t="s">
        <v>129</v>
      </c>
      <c r="BD266" t="str" cm="1">
        <f t="array" ref="BD266">IFERROR(INDEX(_xlfn._xlws.SORT(_xlfn._xlws.FILTER(SimpleDashData83[QCNM Name],IF($D$4&lt;&gt;"",SimpleDashData83[QCNM Name]=$D$4,IF($B$4="All Regions",1,SimpleDashData83[Region]=$B$4))*IF($A$4="All Sections",1,SimpleDashData83[Section]=$A$4))),ROWS($BD$153:BD266)),"")</f>
        <v/>
      </c>
    </row>
    <row r="267" spans="55:56" x14ac:dyDescent="0.3">
      <c r="BC267" t="s">
        <v>85</v>
      </c>
      <c r="BD267" t="str" cm="1">
        <f t="array" ref="BD267">IFERROR(INDEX(_xlfn._xlws.SORT(_xlfn._xlws.FILTER(SimpleDashData83[QCNM Name],IF($D$4&lt;&gt;"",SimpleDashData83[QCNM Name]=$D$4,IF($B$4="All Regions",1,SimpleDashData83[Region]=$B$4))*IF($A$4="All Sections",1,SimpleDashData83[Section]=$A$4))),ROWS($BD$153:BD267)),"")</f>
        <v/>
      </c>
    </row>
    <row r="268" spans="55:56" x14ac:dyDescent="0.3">
      <c r="BC268" t="s">
        <v>145</v>
      </c>
      <c r="BD268" t="str" cm="1">
        <f t="array" ref="BD268">IFERROR(INDEX(_xlfn._xlws.SORT(_xlfn._xlws.FILTER(SimpleDashData83[QCNM Name],IF($D$4&lt;&gt;"",SimpleDashData83[QCNM Name]=$D$4,IF($B$4="All Regions",1,SimpleDashData83[Region]=$B$4))*IF($A$4="All Sections",1,SimpleDashData83[Section]=$A$4))),ROWS($BD$153:BD268)),"")</f>
        <v/>
      </c>
    </row>
    <row r="269" spans="55:56" x14ac:dyDescent="0.3">
      <c r="BC269" t="s">
        <v>98</v>
      </c>
      <c r="BD269" t="str" cm="1">
        <f t="array" ref="BD269">IFERROR(INDEX(_xlfn._xlws.SORT(_xlfn._xlws.FILTER(SimpleDashData83[QCNM Name],IF($D$4&lt;&gt;"",SimpleDashData83[QCNM Name]=$D$4,IF($B$4="All Regions",1,SimpleDashData83[Region]=$B$4))*IF($A$4="All Sections",1,SimpleDashData83[Section]=$A$4))),ROWS($BD$153:BD269)),"")</f>
        <v/>
      </c>
    </row>
    <row r="270" spans="55:56" x14ac:dyDescent="0.3">
      <c r="BC270" t="s">
        <v>192</v>
      </c>
      <c r="BD270" t="str" cm="1">
        <f t="array" ref="BD270">IFERROR(INDEX(_xlfn._xlws.SORT(_xlfn._xlws.FILTER(SimpleDashData83[QCNM Name],IF($D$4&lt;&gt;"",SimpleDashData83[QCNM Name]=$D$4,IF($B$4="All Regions",1,SimpleDashData83[Region]=$B$4))*IF($A$4="All Sections",1,SimpleDashData83[Section]=$A$4))),ROWS($BD$153:BD270)),"")</f>
        <v/>
      </c>
    </row>
    <row r="271" spans="55:56" x14ac:dyDescent="0.3">
      <c r="BC271" t="s">
        <v>88</v>
      </c>
      <c r="BD271" t="str" cm="1">
        <f t="array" ref="BD271">IFERROR(INDEX(_xlfn._xlws.SORT(_xlfn._xlws.FILTER(SimpleDashData83[QCNM Name],IF($D$4&lt;&gt;"",SimpleDashData83[QCNM Name]=$D$4,IF($B$4="All Regions",1,SimpleDashData83[Region]=$B$4))*IF($A$4="All Sections",1,SimpleDashData83[Section]=$A$4))),ROWS($BD$153:BD271)),"")</f>
        <v/>
      </c>
    </row>
    <row r="272" spans="55:56" x14ac:dyDescent="0.3">
      <c r="BC272" t="s">
        <v>78</v>
      </c>
      <c r="BD272" t="str" cm="1">
        <f t="array" ref="BD272">IFERROR(INDEX(_xlfn._xlws.SORT(_xlfn._xlws.FILTER(SimpleDashData83[QCNM Name],IF($D$4&lt;&gt;"",SimpleDashData83[QCNM Name]=$D$4,IF($B$4="All Regions",1,SimpleDashData83[Region]=$B$4))*IF($A$4="All Sections",1,SimpleDashData83[Section]=$A$4))),ROWS($BD$153:BD272)),"")</f>
        <v/>
      </c>
    </row>
    <row r="273" spans="55:56" x14ac:dyDescent="0.3">
      <c r="BC273" t="s">
        <v>95</v>
      </c>
      <c r="BD273" t="str" cm="1">
        <f t="array" ref="BD273">IFERROR(INDEX(_xlfn._xlws.SORT(_xlfn._xlws.FILTER(SimpleDashData83[QCNM Name],IF($D$4&lt;&gt;"",SimpleDashData83[QCNM Name]=$D$4,IF($B$4="All Regions",1,SimpleDashData83[Region]=$B$4))*IF($A$4="All Sections",1,SimpleDashData83[Section]=$A$4))),ROWS($BD$153:BD273)),"")</f>
        <v/>
      </c>
    </row>
    <row r="274" spans="55:56" x14ac:dyDescent="0.3">
      <c r="BC274" t="s">
        <v>141</v>
      </c>
      <c r="BD274" t="str" cm="1">
        <f t="array" ref="BD274">IFERROR(INDEX(_xlfn._xlws.SORT(_xlfn._xlws.FILTER(SimpleDashData83[QCNM Name],IF($D$4&lt;&gt;"",SimpleDashData83[QCNM Name]=$D$4,IF($B$4="All Regions",1,SimpleDashData83[Region]=$B$4))*IF($A$4="All Sections",1,SimpleDashData83[Section]=$A$4))),ROWS($BD$153:BD274)),"")</f>
        <v/>
      </c>
    </row>
    <row r="275" spans="55:56" x14ac:dyDescent="0.3">
      <c r="BC275" t="s">
        <v>90</v>
      </c>
      <c r="BD275" t="str" cm="1">
        <f t="array" ref="BD275">IFERROR(INDEX(_xlfn._xlws.SORT(_xlfn._xlws.FILTER(SimpleDashData83[QCNM Name],IF($D$4&lt;&gt;"",SimpleDashData83[QCNM Name]=$D$4,IF($B$4="All Regions",1,SimpleDashData83[Region]=$B$4))*IF($A$4="All Sections",1,SimpleDashData83[Section]=$A$4))),ROWS($BD$153:BD275)),"")</f>
        <v/>
      </c>
    </row>
    <row r="276" spans="55:56" x14ac:dyDescent="0.3">
      <c r="BC276" t="s">
        <v>130</v>
      </c>
      <c r="BD276" t="str" cm="1">
        <f t="array" ref="BD276">IFERROR(INDEX(_xlfn._xlws.SORT(_xlfn._xlws.FILTER(SimpleDashData83[QCNM Name],IF($D$4&lt;&gt;"",SimpleDashData83[QCNM Name]=$D$4,IF($B$4="All Regions",1,SimpleDashData83[Region]=$B$4))*IF($A$4="All Sections",1,SimpleDashData83[Section]=$A$4))),ROWS($BD$153:BD276)),"")</f>
        <v/>
      </c>
    </row>
    <row r="277" spans="55:56" x14ac:dyDescent="0.3">
      <c r="BC277" t="s">
        <v>184</v>
      </c>
      <c r="BD277" t="str" cm="1">
        <f t="array" ref="BD277">IFERROR(INDEX(_xlfn._xlws.SORT(_xlfn._xlws.FILTER(SimpleDashData83[QCNM Name],IF($D$4&lt;&gt;"",SimpleDashData83[QCNM Name]=$D$4,IF($B$4="All Regions",1,SimpleDashData83[Region]=$B$4))*IF($A$4="All Sections",1,SimpleDashData83[Section]=$A$4))),ROWS($BD$153:BD277)),"")</f>
        <v/>
      </c>
    </row>
    <row r="278" spans="55:56" x14ac:dyDescent="0.3">
      <c r="BC278" t="s">
        <v>211</v>
      </c>
      <c r="BD278" t="str" cm="1">
        <f t="array" ref="BD278">IFERROR(INDEX(_xlfn._xlws.SORT(_xlfn._xlws.FILTER(SimpleDashData83[QCNM Name],IF($D$4&lt;&gt;"",SimpleDashData83[QCNM Name]=$D$4,IF($B$4="All Regions",1,SimpleDashData83[Region]=$B$4))*IF($A$4="All Sections",1,SimpleDashData83[Section]=$A$4))),ROWS($BD$153:BD278)),"")</f>
        <v/>
      </c>
    </row>
    <row r="279" spans="55:56" x14ac:dyDescent="0.3">
      <c r="BC279" t="s">
        <v>174</v>
      </c>
      <c r="BD279" t="str" cm="1">
        <f t="array" ref="BD279">IFERROR(INDEX(_xlfn._xlws.SORT(_xlfn._xlws.FILTER(SimpleDashData83[QCNM Name],IF($D$4&lt;&gt;"",SimpleDashData83[QCNM Name]=$D$4,IF($B$4="All Regions",1,SimpleDashData83[Region]=$B$4))*IF($A$4="All Sections",1,SimpleDashData83[Section]=$A$4))),ROWS($BD$153:BD279)),"")</f>
        <v/>
      </c>
    </row>
    <row r="280" spans="55:56" x14ac:dyDescent="0.3">
      <c r="BC280" t="s">
        <v>185</v>
      </c>
      <c r="BD280" t="str" cm="1">
        <f t="array" ref="BD280">IFERROR(INDEX(_xlfn._xlws.SORT(_xlfn._xlws.FILTER(SimpleDashData83[QCNM Name],IF($D$4&lt;&gt;"",SimpleDashData83[QCNM Name]=$D$4,IF($B$4="All Regions",1,SimpleDashData83[Region]=$B$4))*IF($A$4="All Sections",1,SimpleDashData83[Section]=$A$4))),ROWS($BD$153:BD280)),"")</f>
        <v/>
      </c>
    </row>
    <row r="281" spans="55:56" x14ac:dyDescent="0.3">
      <c r="BC281" t="s">
        <v>181</v>
      </c>
      <c r="BD281" t="str" cm="1">
        <f t="array" ref="BD281">IFERROR(INDEX(_xlfn._xlws.SORT(_xlfn._xlws.FILTER(SimpleDashData83[QCNM Name],IF($D$4&lt;&gt;"",SimpleDashData83[QCNM Name]=$D$4,IF($B$4="All Regions",1,SimpleDashData83[Region]=$B$4))*IF($A$4="All Sections",1,SimpleDashData83[Section]=$A$4))),ROWS($BD$153:BD281)),"")</f>
        <v/>
      </c>
    </row>
    <row r="282" spans="55:56" x14ac:dyDescent="0.3">
      <c r="BC282" t="s">
        <v>140</v>
      </c>
      <c r="BD282" t="str" cm="1">
        <f t="array" ref="BD282">IFERROR(INDEX(_xlfn._xlws.SORT(_xlfn._xlws.FILTER(SimpleDashData83[QCNM Name],IF($D$4&lt;&gt;"",SimpleDashData83[QCNM Name]=$D$4,IF($B$4="All Regions",1,SimpleDashData83[Region]=$B$4))*IF($A$4="All Sections",1,SimpleDashData83[Section]=$A$4))),ROWS($BD$153:BD282)),"")</f>
        <v/>
      </c>
    </row>
    <row r="283" spans="55:56" x14ac:dyDescent="0.3">
      <c r="BC283" t="s">
        <v>180</v>
      </c>
      <c r="BD283" t="str" cm="1">
        <f t="array" ref="BD283">IFERROR(INDEX(_xlfn._xlws.SORT(_xlfn._xlws.FILTER(SimpleDashData83[QCNM Name],IF($D$4&lt;&gt;"",SimpleDashData83[QCNM Name]=$D$4,IF($B$4="All Regions",1,SimpleDashData83[Region]=$B$4))*IF($A$4="All Sections",1,SimpleDashData83[Section]=$A$4))),ROWS($BD$153:BD283)),"")</f>
        <v/>
      </c>
    </row>
    <row r="284" spans="55:56" x14ac:dyDescent="0.3">
      <c r="BC284" t="s">
        <v>169</v>
      </c>
      <c r="BD284" t="str" cm="1">
        <f t="array" ref="BD284">IFERROR(INDEX(_xlfn._xlws.SORT(_xlfn._xlws.FILTER(SimpleDashData83[QCNM Name],IF($D$4&lt;&gt;"",SimpleDashData83[QCNM Name]=$D$4,IF($B$4="All Regions",1,SimpleDashData83[Region]=$B$4))*IF($A$4="All Sections",1,SimpleDashData83[Section]=$A$4))),ROWS($BD$153:BD284)),"")</f>
        <v/>
      </c>
    </row>
    <row r="285" spans="55:56" x14ac:dyDescent="0.3">
      <c r="BC285" t="s">
        <v>163</v>
      </c>
      <c r="BD285" t="str" cm="1">
        <f t="array" ref="BD285">IFERROR(INDEX(_xlfn._xlws.SORT(_xlfn._xlws.FILTER(SimpleDashData83[QCNM Name],IF($D$4&lt;&gt;"",SimpleDashData83[QCNM Name]=$D$4,IF($B$4="All Regions",1,SimpleDashData83[Region]=$B$4))*IF($A$4="All Sections",1,SimpleDashData83[Section]=$A$4))),ROWS($BD$153:BD285)),"")</f>
        <v/>
      </c>
    </row>
    <row r="286" spans="55:56" x14ac:dyDescent="0.3">
      <c r="BC286" t="s">
        <v>194</v>
      </c>
      <c r="BD286" t="str" cm="1">
        <f t="array" ref="BD286">IFERROR(INDEX(_xlfn._xlws.SORT(_xlfn._xlws.FILTER(SimpleDashData83[QCNM Name],IF($D$4&lt;&gt;"",SimpleDashData83[QCNM Name]=$D$4,IF($B$4="All Regions",1,SimpleDashData83[Region]=$B$4))*IF($A$4="All Sections",1,SimpleDashData83[Section]=$A$4))),ROWS($BD$153:BD286)),"")</f>
        <v/>
      </c>
    </row>
    <row r="287" spans="55:56" x14ac:dyDescent="0.3">
      <c r="BC287" t="s">
        <v>173</v>
      </c>
      <c r="BD287" t="str" cm="1">
        <f t="array" ref="BD287">IFERROR(INDEX(_xlfn._xlws.SORT(_xlfn._xlws.FILTER(SimpleDashData83[QCNM Name],IF($D$4&lt;&gt;"",SimpleDashData83[QCNM Name]=$D$4,IF($B$4="All Regions",1,SimpleDashData83[Region]=$B$4))*IF($A$4="All Sections",1,SimpleDashData83[Section]=$A$4))),ROWS($BD$153:BD287)),"")</f>
        <v/>
      </c>
    </row>
    <row r="288" spans="55:56" x14ac:dyDescent="0.3">
      <c r="BC288" t="s">
        <v>116</v>
      </c>
      <c r="BD288" t="str" cm="1">
        <f t="array" ref="BD288">IFERROR(INDEX(_xlfn._xlws.SORT(_xlfn._xlws.FILTER(SimpleDashData83[QCNM Name],IF($D$4&lt;&gt;"",SimpleDashData83[QCNM Name]=$D$4,IF($B$4="All Regions",1,SimpleDashData83[Region]=$B$4))*IF($A$4="All Sections",1,SimpleDashData83[Section]=$A$4))),ROWS($BD$153:BD288)),"")</f>
        <v/>
      </c>
    </row>
    <row r="289" spans="56:56" x14ac:dyDescent="0.3">
      <c r="BD289" t="str" cm="1">
        <f t="array" ref="BD289">IFERROR(INDEX(_xlfn._xlws.SORT(_xlfn._xlws.FILTER(SimpleDashData83[QCNM Name],IF($D$4&lt;&gt;"",SimpleDashData83[QCNM Name]=$D$4,IF($B$4="All Regions",1,SimpleDashData83[Region]=$B$4))*IF($A$4="All Sections",1,SimpleDashData83[Section]=$A$4))),ROWS($BD$153:BD289)),"")</f>
        <v/>
      </c>
    </row>
    <row r="290" spans="56:56" x14ac:dyDescent="0.3">
      <c r="BD290" t="str" cm="1">
        <f t="array" ref="BD290">IFERROR(INDEX(_xlfn._xlws.SORT(_xlfn._xlws.FILTER(SimpleDashData83[QCNM Name],IF($D$4&lt;&gt;"",SimpleDashData83[QCNM Name]=$D$4,IF($B$4="All Regions",1,SimpleDashData83[Region]=$B$4))*IF($A$4="All Sections",1,SimpleDashData83[Section]=$A$4))),ROWS($BD$153:BD290)),"")</f>
        <v/>
      </c>
    </row>
    <row r="291" spans="56:56" x14ac:dyDescent="0.3">
      <c r="BD291" t="str" cm="1">
        <f t="array" ref="BD291">IFERROR(INDEX(_xlfn._xlws.SORT(_xlfn._xlws.FILTER(SimpleDashData83[QCNM Name],IF($D$4&lt;&gt;"",SimpleDashData83[QCNM Name]=$D$4,IF($B$4="All Regions",1,SimpleDashData83[Region]=$B$4))*IF($A$4="All Sections",1,SimpleDashData83[Section]=$A$4))),ROWS($BD$153:BD291)),"")</f>
        <v/>
      </c>
    </row>
    <row r="292" spans="56:56" x14ac:dyDescent="0.3">
      <c r="BD292" t="str" cm="1">
        <f t="array" ref="BD292">IFERROR(INDEX(_xlfn._xlws.SORT(_xlfn._xlws.FILTER(SimpleDashData83[QCNM Name],IF($D$4&lt;&gt;"",SimpleDashData83[QCNM Name]=$D$4,IF($B$4="All Regions",1,SimpleDashData83[Region]=$B$4))*IF($A$4="All Sections",1,SimpleDashData83[Section]=$A$4))),ROWS($BD$153:BD292)),"")</f>
        <v/>
      </c>
    </row>
    <row r="293" spans="56:56" x14ac:dyDescent="0.3">
      <c r="BD293" t="str" cm="1">
        <f t="array" ref="BD293">IFERROR(INDEX(_xlfn._xlws.SORT(_xlfn._xlws.FILTER(SimpleDashData83[QCNM Name],IF($D$4&lt;&gt;"",SimpleDashData83[QCNM Name]=$D$4,IF($B$4="All Regions",1,SimpleDashData83[Region]=$B$4))*IF($A$4="All Sections",1,SimpleDashData83[Section]=$A$4))),ROWS($BD$153:BD293)),"")</f>
        <v/>
      </c>
    </row>
    <row r="294" spans="56:56" x14ac:dyDescent="0.3">
      <c r="BD294" t="str" cm="1">
        <f t="array" ref="BD294">IFERROR(INDEX(_xlfn._xlws.SORT(_xlfn._xlws.FILTER(SimpleDashData83[QCNM Name],IF($D$4&lt;&gt;"",SimpleDashData83[QCNM Name]=$D$4,IF($B$4="All Regions",1,SimpleDashData83[Region]=$B$4))*IF($A$4="All Sections",1,SimpleDashData83[Section]=$A$4))),ROWS($BD$153:BD294)),"")</f>
        <v/>
      </c>
    </row>
    <row r="295" spans="56:56" x14ac:dyDescent="0.3">
      <c r="BD295" t="str" cm="1">
        <f t="array" ref="BD295">IFERROR(INDEX(_xlfn._xlws.SORT(_xlfn._xlws.FILTER(SimpleDashData83[QCNM Name],IF($D$4&lt;&gt;"",SimpleDashData83[QCNM Name]=$D$4,IF($B$4="All Regions",1,SimpleDashData83[Region]=$B$4))*IF($A$4="All Sections",1,SimpleDashData83[Section]=$A$4))),ROWS($BD$153:BD295)),"")</f>
        <v/>
      </c>
    </row>
    <row r="296" spans="56:56" x14ac:dyDescent="0.3">
      <c r="BD296" t="str" cm="1">
        <f t="array" ref="BD296">IFERROR(INDEX(_xlfn._xlws.SORT(_xlfn._xlws.FILTER(SimpleDashData83[QCNM Name],IF($D$4&lt;&gt;"",SimpleDashData83[QCNM Name]=$D$4,IF($B$4="All Regions",1,SimpleDashData83[Region]=$B$4))*IF($A$4="All Sections",1,SimpleDashData83[Section]=$A$4))),ROWS($BD$153:BD296)),"")</f>
        <v/>
      </c>
    </row>
    <row r="297" spans="56:56" x14ac:dyDescent="0.3">
      <c r="BD297" t="str" cm="1">
        <f t="array" ref="BD297">IFERROR(INDEX(_xlfn._xlws.SORT(_xlfn._xlws.FILTER(SimpleDashData83[QCNM Name],IF($D$4&lt;&gt;"",SimpleDashData83[QCNM Name]=$D$4,IF($B$4="All Regions",1,SimpleDashData83[Region]=$B$4))*IF($A$4="All Sections",1,SimpleDashData83[Section]=$A$4))),ROWS($BD$153:BD297)),"")</f>
        <v/>
      </c>
    </row>
    <row r="298" spans="56:56" x14ac:dyDescent="0.3">
      <c r="BD298" t="str" cm="1">
        <f t="array" ref="BD298">IFERROR(INDEX(_xlfn._xlws.SORT(_xlfn._xlws.FILTER(SimpleDashData83[QCNM Name],IF($D$4&lt;&gt;"",SimpleDashData83[QCNM Name]=$D$4,IF($B$4="All Regions",1,SimpleDashData83[Region]=$B$4))*IF($A$4="All Sections",1,SimpleDashData83[Section]=$A$4))),ROWS($BD$153:BD298)),"")</f>
        <v/>
      </c>
    </row>
    <row r="299" spans="56:56" x14ac:dyDescent="0.3">
      <c r="BD299" t="str" cm="1">
        <f t="array" ref="BD299">IFERROR(INDEX(_xlfn._xlws.SORT(_xlfn._xlws.FILTER(SimpleDashData83[QCNM Name],IF($D$4&lt;&gt;"",SimpleDashData83[QCNM Name]=$D$4,IF($B$4="All Regions",1,SimpleDashData83[Region]=$B$4))*IF($A$4="All Sections",1,SimpleDashData83[Section]=$A$4))),ROWS($BD$153:BD299)),"")</f>
        <v/>
      </c>
    </row>
    <row r="300" spans="56:56" x14ac:dyDescent="0.3">
      <c r="BD300" t="str" cm="1">
        <f t="array" ref="BD300">IFERROR(INDEX(_xlfn._xlws.SORT(_xlfn._xlws.FILTER(SimpleDashData83[QCNM Name],IF($D$4&lt;&gt;"",SimpleDashData83[QCNM Name]=$D$4,IF($B$4="All Regions",1,SimpleDashData83[Region]=$B$4))*IF($A$4="All Sections",1,SimpleDashData83[Section]=$A$4))),ROWS($BD$153:BD300)),"")</f>
        <v/>
      </c>
    </row>
    <row r="301" spans="56:56" x14ac:dyDescent="0.3">
      <c r="BD301" t="str" cm="1">
        <f t="array" ref="BD301">IFERROR(INDEX(_xlfn._xlws.SORT(_xlfn._xlws.FILTER(SimpleDashData83[QCNM Name],IF($D$4&lt;&gt;"",SimpleDashData83[QCNM Name]=$D$4,IF($B$4="All Regions",1,SimpleDashData83[Region]=$B$4))*IF($A$4="All Sections",1,SimpleDashData83[Section]=$A$4))),ROWS($BD$153:BD301)),"")</f>
        <v/>
      </c>
    </row>
  </sheetData>
  <mergeCells count="12">
    <mergeCell ref="P17:P19"/>
    <mergeCell ref="J23:N23"/>
    <mergeCell ref="P23:T23"/>
    <mergeCell ref="V23:X23"/>
    <mergeCell ref="A1:O1"/>
    <mergeCell ref="A2:O2"/>
    <mergeCell ref="B3:C3"/>
    <mergeCell ref="D4:E4"/>
    <mergeCell ref="G3:I3"/>
    <mergeCell ref="B4:C4"/>
    <mergeCell ref="G4:I4"/>
    <mergeCell ref="D3:E3"/>
  </mergeCells>
  <dataValidations count="6">
    <dataValidation type="list" allowBlank="1" showInputMessage="1" showErrorMessage="1" errorTitle="Select a patient rank" error="Choose Expense Rank, Total, Male, Female, or Child." sqref="L4" xr:uid="{CA576D31-6E0C-4064-B22A-A52B9BD1C0CA}">
      <formula1>$AL$2:$AL$6</formula1>
    </dataValidation>
    <dataValidation type="list" allowBlank="1" showInputMessage="1" showErrorMessage="1" errorTitle="Select a budget head" error="Choose a value from the budget-head list." sqref="K4" xr:uid="{8A087D81-5558-41B1-AD1D-82136998FC5C}">
      <formula1>$AK$2:$AK$12</formula1>
    </dataValidation>
    <dataValidation type="list" allowBlank="1" showInputMessage="1" showErrorMessage="1" sqref="G4" xr:uid="{B8AC7BBD-92C9-426A-8323-1F4EB38E7E40}">
      <formula1>$BD$152:$BD$301</formula1>
    </dataValidation>
    <dataValidation type="list" allowBlank="1" showInputMessage="1" showErrorMessage="1" sqref="B4" xr:uid="{6F1E6047-5B5E-4EB3-8712-029A2033577E}">
      <formula1>$BB$152:$BB$156</formula1>
    </dataValidation>
    <dataValidation type="list" allowBlank="1" showInputMessage="1" showErrorMessage="1" promptTitle="Clinic Search" prompt="Type or choose one clinic name. Clear D3 to return to the Region/Clinic menus." sqref="D4" xr:uid="{3915AD82-05BB-4680-B3CE-8A91E632AD48}">
      <formula1>$BB$2:$BB$138</formula1>
    </dataValidation>
    <dataValidation type="list" allowBlank="1" showInputMessage="1" showErrorMessage="1" sqref="A4" xr:uid="{D723D475-D744-4EDE-B562-E8A067A17FB7}">
      <formula1>"All Sections,Public,Prison"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AA21-F607-4934-88C3-01308255EC40}">
  <dimension ref="A1:G61"/>
  <sheetViews>
    <sheetView zoomScale="131" workbookViewId="0">
      <selection activeCell="E19" sqref="E19"/>
    </sheetView>
  </sheetViews>
  <sheetFormatPr defaultRowHeight="14.4" x14ac:dyDescent="0.3"/>
  <cols>
    <col min="2" max="2" width="36.77734375" bestFit="1" customWidth="1"/>
    <col min="3" max="3" width="26.6640625" bestFit="1" customWidth="1"/>
    <col min="5" max="5" width="13.77734375" style="33" bestFit="1" customWidth="1"/>
    <col min="6" max="6" width="14.5546875" style="33" customWidth="1"/>
    <col min="7" max="7" width="13.33203125" style="33" customWidth="1"/>
  </cols>
  <sheetData>
    <row r="1" spans="1:7" ht="21" x14ac:dyDescent="0.4">
      <c r="A1" s="96" t="s">
        <v>215</v>
      </c>
      <c r="B1" s="96"/>
      <c r="C1" s="96"/>
      <c r="D1" s="96"/>
      <c r="E1" s="96"/>
      <c r="F1" s="96"/>
      <c r="G1" s="96"/>
    </row>
    <row r="2" spans="1:7" x14ac:dyDescent="0.3">
      <c r="A2" s="89" t="s">
        <v>212</v>
      </c>
      <c r="B2" s="89"/>
      <c r="C2" s="89"/>
      <c r="D2" s="89"/>
      <c r="E2" s="89"/>
      <c r="F2" s="89"/>
      <c r="G2" s="89"/>
    </row>
    <row r="3" spans="1:7" x14ac:dyDescent="0.3">
      <c r="A3" s="34" t="s">
        <v>58</v>
      </c>
      <c r="B3" s="34" t="s">
        <v>59</v>
      </c>
      <c r="C3" s="34" t="s">
        <v>7</v>
      </c>
      <c r="D3" s="34" t="s">
        <v>8</v>
      </c>
      <c r="E3" s="35" t="s">
        <v>19</v>
      </c>
      <c r="F3" s="35" t="s">
        <v>23</v>
      </c>
      <c r="G3" s="38" t="s">
        <v>218</v>
      </c>
    </row>
    <row r="4" spans="1:7" x14ac:dyDescent="0.3">
      <c r="A4">
        <v>1</v>
      </c>
      <c r="B4" t="s">
        <v>137</v>
      </c>
      <c r="C4" t="s">
        <v>135</v>
      </c>
      <c r="D4" t="s">
        <v>35</v>
      </c>
      <c r="E4" s="33">
        <v>52881</v>
      </c>
      <c r="F4" s="33">
        <v>2939</v>
      </c>
      <c r="G4" s="33">
        <f>E4/F4</f>
        <v>17.99285471248724</v>
      </c>
    </row>
    <row r="5" spans="1:7" x14ac:dyDescent="0.3">
      <c r="A5">
        <v>2</v>
      </c>
      <c r="B5" t="s">
        <v>174</v>
      </c>
      <c r="C5" t="s">
        <v>172</v>
      </c>
      <c r="D5" t="s">
        <v>35</v>
      </c>
      <c r="E5" s="33">
        <v>34467</v>
      </c>
      <c r="F5" s="33">
        <v>1466</v>
      </c>
      <c r="G5" s="33">
        <f t="shared" ref="G5:G18" si="0">E5/F5</f>
        <v>23.510914051841745</v>
      </c>
    </row>
    <row r="6" spans="1:7" x14ac:dyDescent="0.3">
      <c r="A6">
        <v>3</v>
      </c>
      <c r="B6" t="s">
        <v>186</v>
      </c>
      <c r="C6" t="s">
        <v>172</v>
      </c>
      <c r="D6" t="s">
        <v>35</v>
      </c>
      <c r="E6" s="33">
        <v>32860</v>
      </c>
      <c r="F6" s="33">
        <v>751</v>
      </c>
      <c r="G6" s="33">
        <f t="shared" si="0"/>
        <v>43.754993342210383</v>
      </c>
    </row>
    <row r="7" spans="1:7" x14ac:dyDescent="0.3">
      <c r="A7">
        <v>4</v>
      </c>
      <c r="B7" t="s">
        <v>141</v>
      </c>
      <c r="C7" t="s">
        <v>135</v>
      </c>
      <c r="D7" t="s">
        <v>35</v>
      </c>
      <c r="E7" s="33">
        <v>28950</v>
      </c>
      <c r="F7" s="33">
        <v>2209</v>
      </c>
      <c r="G7" s="33">
        <f t="shared" si="0"/>
        <v>13.105477591670439</v>
      </c>
    </row>
    <row r="8" spans="1:7" x14ac:dyDescent="0.3">
      <c r="A8">
        <v>5</v>
      </c>
      <c r="B8" t="s">
        <v>99</v>
      </c>
      <c r="C8" t="s">
        <v>100</v>
      </c>
      <c r="D8" t="s">
        <v>35</v>
      </c>
      <c r="E8" s="33">
        <v>28346</v>
      </c>
      <c r="F8" s="33">
        <v>1809</v>
      </c>
      <c r="G8" s="33">
        <f t="shared" si="0"/>
        <v>15.669430624654506</v>
      </c>
    </row>
    <row r="9" spans="1:7" x14ac:dyDescent="0.3">
      <c r="A9">
        <v>6</v>
      </c>
      <c r="B9" t="s">
        <v>180</v>
      </c>
      <c r="C9" t="s">
        <v>172</v>
      </c>
      <c r="D9" t="s">
        <v>35</v>
      </c>
      <c r="E9" s="33">
        <v>26190</v>
      </c>
      <c r="F9" s="33">
        <v>2041</v>
      </c>
      <c r="G9" s="33">
        <f t="shared" si="0"/>
        <v>12.831945124938755</v>
      </c>
    </row>
    <row r="10" spans="1:7" x14ac:dyDescent="0.3">
      <c r="A10">
        <v>7</v>
      </c>
      <c r="B10" t="s">
        <v>199</v>
      </c>
      <c r="C10" t="s">
        <v>172</v>
      </c>
      <c r="D10" t="s">
        <v>64</v>
      </c>
      <c r="E10" s="33">
        <v>21410</v>
      </c>
      <c r="F10" s="33">
        <v>1643</v>
      </c>
      <c r="G10" s="33">
        <f t="shared" si="0"/>
        <v>13.031040779062691</v>
      </c>
    </row>
    <row r="11" spans="1:7" x14ac:dyDescent="0.3">
      <c r="A11">
        <v>8</v>
      </c>
      <c r="B11" t="s">
        <v>102</v>
      </c>
      <c r="C11" t="s">
        <v>100</v>
      </c>
      <c r="D11" t="s">
        <v>35</v>
      </c>
      <c r="E11" s="33">
        <v>21150</v>
      </c>
      <c r="F11" s="33">
        <v>1989</v>
      </c>
      <c r="G11" s="33">
        <f t="shared" si="0"/>
        <v>10.633484162895927</v>
      </c>
    </row>
    <row r="12" spans="1:7" x14ac:dyDescent="0.3">
      <c r="A12">
        <v>9</v>
      </c>
      <c r="B12" t="s">
        <v>139</v>
      </c>
      <c r="C12" t="s">
        <v>135</v>
      </c>
      <c r="D12" t="s">
        <v>35</v>
      </c>
      <c r="E12" s="33">
        <v>18810</v>
      </c>
      <c r="F12" s="33">
        <v>2002</v>
      </c>
      <c r="G12" s="33">
        <f t="shared" si="0"/>
        <v>9.395604395604396</v>
      </c>
    </row>
    <row r="13" spans="1:7" x14ac:dyDescent="0.3">
      <c r="A13">
        <v>10</v>
      </c>
      <c r="B13" t="s">
        <v>154</v>
      </c>
      <c r="C13" t="s">
        <v>135</v>
      </c>
      <c r="D13" t="s">
        <v>64</v>
      </c>
      <c r="E13" s="33">
        <v>17930</v>
      </c>
      <c r="F13" s="33">
        <v>3104</v>
      </c>
      <c r="G13" s="33">
        <f t="shared" si="0"/>
        <v>5.776417525773196</v>
      </c>
    </row>
    <row r="14" spans="1:7" x14ac:dyDescent="0.3">
      <c r="A14">
        <v>11</v>
      </c>
      <c r="B14" t="s">
        <v>103</v>
      </c>
      <c r="C14" t="s">
        <v>100</v>
      </c>
      <c r="D14" t="s">
        <v>35</v>
      </c>
      <c r="E14" s="33">
        <v>16199</v>
      </c>
      <c r="F14" s="33">
        <v>1373</v>
      </c>
      <c r="G14" s="33">
        <f t="shared" si="0"/>
        <v>11.798252002913328</v>
      </c>
    </row>
    <row r="15" spans="1:7" x14ac:dyDescent="0.3">
      <c r="A15">
        <v>12</v>
      </c>
      <c r="B15" t="s">
        <v>140</v>
      </c>
      <c r="C15" t="s">
        <v>135</v>
      </c>
      <c r="D15" t="s">
        <v>35</v>
      </c>
      <c r="E15" s="33">
        <v>16180</v>
      </c>
      <c r="F15" s="33">
        <v>1782</v>
      </c>
      <c r="G15" s="33">
        <f t="shared" si="0"/>
        <v>9.0796857463524123</v>
      </c>
    </row>
    <row r="16" spans="1:7" x14ac:dyDescent="0.3">
      <c r="A16">
        <v>13</v>
      </c>
      <c r="B16" t="s">
        <v>104</v>
      </c>
      <c r="C16" t="s">
        <v>100</v>
      </c>
      <c r="D16" t="s">
        <v>35</v>
      </c>
      <c r="E16" s="33">
        <v>16060</v>
      </c>
      <c r="F16" s="33">
        <v>1187</v>
      </c>
      <c r="G16" s="33">
        <f t="shared" si="0"/>
        <v>13.529907329401853</v>
      </c>
    </row>
    <row r="17" spans="1:7" x14ac:dyDescent="0.3">
      <c r="A17">
        <v>14</v>
      </c>
      <c r="B17" t="s">
        <v>111</v>
      </c>
      <c r="C17" t="s">
        <v>100</v>
      </c>
      <c r="D17" t="s">
        <v>35</v>
      </c>
      <c r="E17" s="33">
        <v>16060</v>
      </c>
      <c r="F17" s="33">
        <v>1516</v>
      </c>
      <c r="G17" s="33">
        <f t="shared" si="0"/>
        <v>10.593667546174142</v>
      </c>
    </row>
    <row r="18" spans="1:7" x14ac:dyDescent="0.3">
      <c r="A18">
        <v>15</v>
      </c>
      <c r="B18" t="s">
        <v>128</v>
      </c>
      <c r="C18" t="s">
        <v>100</v>
      </c>
      <c r="D18" t="s">
        <v>64</v>
      </c>
      <c r="E18" s="33">
        <v>15820</v>
      </c>
      <c r="F18" s="33">
        <v>3419</v>
      </c>
      <c r="G18" s="33">
        <f t="shared" si="0"/>
        <v>4.6270839426732966</v>
      </c>
    </row>
    <row r="19" spans="1:7" ht="18" x14ac:dyDescent="0.35">
      <c r="E19" s="39">
        <f>SUM(E4:E18)</f>
        <v>363313</v>
      </c>
      <c r="F19" s="39">
        <f>SUM(F4:F18)</f>
        <v>29230</v>
      </c>
      <c r="G19" s="39">
        <f>E19/F19</f>
        <v>12.429456038316799</v>
      </c>
    </row>
    <row r="20" spans="1:7" x14ac:dyDescent="0.3">
      <c r="A20" s="89" t="s">
        <v>213</v>
      </c>
      <c r="B20" s="89"/>
      <c r="C20" s="89"/>
      <c r="D20" s="89"/>
      <c r="E20" s="89"/>
      <c r="F20" s="89"/>
      <c r="G20" s="89"/>
    </row>
    <row r="21" spans="1:7" x14ac:dyDescent="0.3">
      <c r="A21" s="34" t="s">
        <v>58</v>
      </c>
      <c r="B21" s="34" t="s">
        <v>59</v>
      </c>
      <c r="C21" s="34" t="s">
        <v>7</v>
      </c>
      <c r="D21" s="34" t="s">
        <v>8</v>
      </c>
      <c r="E21" s="35" t="s">
        <v>19</v>
      </c>
      <c r="F21" s="35" t="s">
        <v>23</v>
      </c>
      <c r="G21" s="38" t="s">
        <v>218</v>
      </c>
    </row>
    <row r="22" spans="1:7" x14ac:dyDescent="0.3">
      <c r="A22">
        <v>1</v>
      </c>
      <c r="B22" t="s">
        <v>136</v>
      </c>
      <c r="C22" t="s">
        <v>135</v>
      </c>
      <c r="D22" t="s">
        <v>35</v>
      </c>
      <c r="E22" s="33">
        <v>37385</v>
      </c>
      <c r="F22" s="33">
        <v>2283</v>
      </c>
      <c r="G22" s="33">
        <f>E22/F22</f>
        <v>16.375383267630312</v>
      </c>
    </row>
    <row r="23" spans="1:7" x14ac:dyDescent="0.3">
      <c r="A23">
        <v>2</v>
      </c>
      <c r="B23" t="s">
        <v>150</v>
      </c>
      <c r="C23" t="s">
        <v>135</v>
      </c>
      <c r="D23" t="s">
        <v>64</v>
      </c>
      <c r="E23" s="33">
        <v>28050</v>
      </c>
      <c r="F23" s="33">
        <v>3309</v>
      </c>
      <c r="G23" s="33">
        <f t="shared" ref="G23:G36" si="1">E23/F23</f>
        <v>8.4768812330009062</v>
      </c>
    </row>
    <row r="24" spans="1:7" x14ac:dyDescent="0.3">
      <c r="A24">
        <v>3</v>
      </c>
      <c r="B24" t="s">
        <v>174</v>
      </c>
      <c r="C24" t="s">
        <v>172</v>
      </c>
      <c r="D24" t="s">
        <v>35</v>
      </c>
      <c r="E24" s="33">
        <v>27328</v>
      </c>
      <c r="F24" s="33">
        <v>1661</v>
      </c>
      <c r="G24" s="33">
        <f t="shared" si="1"/>
        <v>16.452739313666466</v>
      </c>
    </row>
    <row r="25" spans="1:7" x14ac:dyDescent="0.3">
      <c r="A25">
        <v>4</v>
      </c>
      <c r="B25" t="s">
        <v>137</v>
      </c>
      <c r="C25" t="s">
        <v>135</v>
      </c>
      <c r="D25" t="s">
        <v>35</v>
      </c>
      <c r="E25" s="33">
        <v>25339</v>
      </c>
      <c r="F25" s="33">
        <v>2383</v>
      </c>
      <c r="G25" s="33">
        <f t="shared" si="1"/>
        <v>10.633235417540915</v>
      </c>
    </row>
    <row r="26" spans="1:7" x14ac:dyDescent="0.3">
      <c r="A26">
        <v>5</v>
      </c>
      <c r="B26" t="s">
        <v>101</v>
      </c>
      <c r="C26" t="s">
        <v>100</v>
      </c>
      <c r="D26" t="s">
        <v>35</v>
      </c>
      <c r="E26" s="33">
        <v>23969</v>
      </c>
      <c r="F26" s="33">
        <v>1670</v>
      </c>
      <c r="G26" s="33">
        <f t="shared" si="1"/>
        <v>14.352694610778443</v>
      </c>
    </row>
    <row r="27" spans="1:7" x14ac:dyDescent="0.3">
      <c r="A27">
        <v>6</v>
      </c>
      <c r="B27" t="s">
        <v>102</v>
      </c>
      <c r="C27" t="s">
        <v>100</v>
      </c>
      <c r="D27" t="s">
        <v>35</v>
      </c>
      <c r="E27" s="33">
        <v>23359</v>
      </c>
      <c r="F27" s="33">
        <v>1965</v>
      </c>
      <c r="G27" s="33">
        <f t="shared" si="1"/>
        <v>11.887531806615776</v>
      </c>
    </row>
    <row r="28" spans="1:7" x14ac:dyDescent="0.3">
      <c r="A28">
        <v>7</v>
      </c>
      <c r="B28" t="s">
        <v>129</v>
      </c>
      <c r="C28" t="s">
        <v>100</v>
      </c>
      <c r="D28" t="s">
        <v>64</v>
      </c>
      <c r="E28" s="33">
        <v>22280</v>
      </c>
      <c r="F28" s="33">
        <v>3633</v>
      </c>
      <c r="G28" s="33">
        <f t="shared" si="1"/>
        <v>6.1326727222680981</v>
      </c>
    </row>
    <row r="29" spans="1:7" x14ac:dyDescent="0.3">
      <c r="A29">
        <v>8</v>
      </c>
      <c r="B29" t="s">
        <v>47</v>
      </c>
      <c r="C29" t="s">
        <v>34</v>
      </c>
      <c r="D29" t="s">
        <v>35</v>
      </c>
      <c r="E29" s="33">
        <v>21040</v>
      </c>
      <c r="F29" s="33">
        <v>1681</v>
      </c>
      <c r="G29" s="33">
        <f t="shared" si="1"/>
        <v>12.516359309934563</v>
      </c>
    </row>
    <row r="30" spans="1:7" x14ac:dyDescent="0.3">
      <c r="A30">
        <v>9</v>
      </c>
      <c r="B30" t="s">
        <v>48</v>
      </c>
      <c r="C30" t="s">
        <v>34</v>
      </c>
      <c r="D30" t="s">
        <v>35</v>
      </c>
      <c r="E30" s="33">
        <v>17250</v>
      </c>
      <c r="F30" s="33">
        <v>2154</v>
      </c>
      <c r="G30" s="33">
        <f t="shared" si="1"/>
        <v>8.0083565459610035</v>
      </c>
    </row>
    <row r="31" spans="1:7" x14ac:dyDescent="0.3">
      <c r="A31">
        <v>10</v>
      </c>
      <c r="B31" t="s">
        <v>154</v>
      </c>
      <c r="C31" t="s">
        <v>135</v>
      </c>
      <c r="D31" t="s">
        <v>64</v>
      </c>
      <c r="E31" s="33">
        <v>17190</v>
      </c>
      <c r="F31" s="33">
        <v>2102</v>
      </c>
      <c r="G31" s="33">
        <f t="shared" si="1"/>
        <v>8.177925784966698</v>
      </c>
    </row>
    <row r="32" spans="1:7" x14ac:dyDescent="0.3">
      <c r="A32">
        <v>11</v>
      </c>
      <c r="B32" t="s">
        <v>99</v>
      </c>
      <c r="C32" t="s">
        <v>100</v>
      </c>
      <c r="D32" t="s">
        <v>35</v>
      </c>
      <c r="E32" s="33">
        <v>16420</v>
      </c>
      <c r="F32" s="33">
        <v>1383</v>
      </c>
      <c r="G32" s="33">
        <f t="shared" si="1"/>
        <v>11.872740419378163</v>
      </c>
    </row>
    <row r="33" spans="1:7" x14ac:dyDescent="0.3">
      <c r="A33">
        <v>12</v>
      </c>
      <c r="B33" t="s">
        <v>133</v>
      </c>
      <c r="C33" t="s">
        <v>100</v>
      </c>
      <c r="D33" t="s">
        <v>64</v>
      </c>
      <c r="E33" s="33">
        <v>16190</v>
      </c>
      <c r="F33" s="33">
        <v>2883</v>
      </c>
      <c r="G33" s="33">
        <f t="shared" si="1"/>
        <v>5.6156781130766564</v>
      </c>
    </row>
    <row r="34" spans="1:7" x14ac:dyDescent="0.3">
      <c r="A34">
        <v>13</v>
      </c>
      <c r="B34" t="s">
        <v>199</v>
      </c>
      <c r="C34" t="s">
        <v>172</v>
      </c>
      <c r="D34" t="s">
        <v>64</v>
      </c>
      <c r="E34" s="33">
        <v>16150</v>
      </c>
      <c r="F34" s="33">
        <v>1332</v>
      </c>
      <c r="G34" s="33">
        <f t="shared" si="1"/>
        <v>12.124624624624625</v>
      </c>
    </row>
    <row r="35" spans="1:7" x14ac:dyDescent="0.3">
      <c r="A35">
        <v>14</v>
      </c>
      <c r="B35" t="s">
        <v>128</v>
      </c>
      <c r="C35" t="s">
        <v>100</v>
      </c>
      <c r="D35" t="s">
        <v>64</v>
      </c>
      <c r="E35" s="33">
        <v>15510</v>
      </c>
      <c r="F35" s="33">
        <v>3010</v>
      </c>
      <c r="G35" s="33">
        <f t="shared" si="1"/>
        <v>5.1528239202657806</v>
      </c>
    </row>
    <row r="36" spans="1:7" x14ac:dyDescent="0.3">
      <c r="A36">
        <v>15</v>
      </c>
      <c r="B36" t="s">
        <v>103</v>
      </c>
      <c r="C36" t="s">
        <v>100</v>
      </c>
      <c r="D36" t="s">
        <v>35</v>
      </c>
      <c r="E36" s="33">
        <v>15204</v>
      </c>
      <c r="F36" s="33">
        <v>1192</v>
      </c>
      <c r="G36" s="33">
        <f t="shared" si="1"/>
        <v>12.75503355704698</v>
      </c>
    </row>
    <row r="37" spans="1:7" ht="18" x14ac:dyDescent="0.35">
      <c r="E37" s="39">
        <f>SUM(E22:E36)</f>
        <v>322664</v>
      </c>
      <c r="F37" s="39">
        <f>SUM(F22:F36)</f>
        <v>32641</v>
      </c>
      <c r="G37" s="39">
        <f>E37/F37</f>
        <v>9.8852363591801726</v>
      </c>
    </row>
    <row r="38" spans="1:7" x14ac:dyDescent="0.3">
      <c r="A38" s="89" t="s">
        <v>214</v>
      </c>
      <c r="B38" s="89"/>
      <c r="C38" s="89"/>
      <c r="D38" s="89"/>
      <c r="E38" s="89"/>
      <c r="F38" s="89"/>
      <c r="G38" s="89"/>
    </row>
    <row r="39" spans="1:7" x14ac:dyDescent="0.3">
      <c r="A39" s="34" t="s">
        <v>58</v>
      </c>
      <c r="B39" s="34" t="s">
        <v>59</v>
      </c>
      <c r="C39" s="34" t="s">
        <v>7</v>
      </c>
      <c r="D39" s="34" t="s">
        <v>8</v>
      </c>
      <c r="E39" s="35" t="s">
        <v>19</v>
      </c>
      <c r="F39" s="35" t="s">
        <v>23</v>
      </c>
      <c r="G39" s="38" t="s">
        <v>218</v>
      </c>
    </row>
    <row r="40" spans="1:7" x14ac:dyDescent="0.3">
      <c r="A40">
        <v>1</v>
      </c>
      <c r="B40" t="s">
        <v>101</v>
      </c>
      <c r="C40" t="s">
        <v>100</v>
      </c>
      <c r="D40" t="s">
        <v>35</v>
      </c>
      <c r="E40" s="33">
        <v>27570</v>
      </c>
      <c r="F40" s="33">
        <v>2099</v>
      </c>
      <c r="G40" s="33">
        <f>E40/F40</f>
        <v>13.134826107670319</v>
      </c>
    </row>
    <row r="41" spans="1:7" x14ac:dyDescent="0.3">
      <c r="A41">
        <v>2</v>
      </c>
      <c r="B41" t="s">
        <v>141</v>
      </c>
      <c r="C41" t="s">
        <v>135</v>
      </c>
      <c r="D41" t="s">
        <v>35</v>
      </c>
      <c r="E41" s="33">
        <v>27240</v>
      </c>
      <c r="F41" s="33">
        <v>2361</v>
      </c>
      <c r="G41" s="33">
        <f t="shared" ref="G41:G54" si="2">E41/F41</f>
        <v>11.537484116899618</v>
      </c>
    </row>
    <row r="42" spans="1:7" x14ac:dyDescent="0.3">
      <c r="A42">
        <v>3</v>
      </c>
      <c r="B42" t="s">
        <v>103</v>
      </c>
      <c r="C42" t="s">
        <v>100</v>
      </c>
      <c r="D42" t="s">
        <v>35</v>
      </c>
      <c r="E42" s="33">
        <v>25149</v>
      </c>
      <c r="F42" s="33">
        <v>1536</v>
      </c>
      <c r="G42" s="33">
        <f t="shared" si="2"/>
        <v>16.373046875</v>
      </c>
    </row>
    <row r="43" spans="1:7" x14ac:dyDescent="0.3">
      <c r="A43">
        <v>4</v>
      </c>
      <c r="B43" t="s">
        <v>99</v>
      </c>
      <c r="C43" t="s">
        <v>100</v>
      </c>
      <c r="D43" t="s">
        <v>35</v>
      </c>
      <c r="E43" s="33">
        <v>23441</v>
      </c>
      <c r="F43" s="33">
        <v>1723</v>
      </c>
      <c r="G43" s="33">
        <f t="shared" si="2"/>
        <v>13.604759141033082</v>
      </c>
    </row>
    <row r="44" spans="1:7" x14ac:dyDescent="0.3">
      <c r="A44">
        <v>5</v>
      </c>
      <c r="B44" t="s">
        <v>102</v>
      </c>
      <c r="C44" t="s">
        <v>100</v>
      </c>
      <c r="D44" t="s">
        <v>35</v>
      </c>
      <c r="E44" s="33">
        <v>23199</v>
      </c>
      <c r="F44" s="33">
        <v>2409</v>
      </c>
      <c r="G44" s="33">
        <f t="shared" si="2"/>
        <v>9.6301369863013697</v>
      </c>
    </row>
    <row r="45" spans="1:7" x14ac:dyDescent="0.3">
      <c r="A45">
        <v>6</v>
      </c>
      <c r="B45" t="s">
        <v>129</v>
      </c>
      <c r="C45" t="s">
        <v>100</v>
      </c>
      <c r="D45" t="s">
        <v>64</v>
      </c>
      <c r="E45" s="33">
        <v>21670</v>
      </c>
      <c r="F45" s="33">
        <v>4808</v>
      </c>
      <c r="G45" s="33">
        <f t="shared" si="2"/>
        <v>4.5070715474209653</v>
      </c>
    </row>
    <row r="46" spans="1:7" x14ac:dyDescent="0.3">
      <c r="A46">
        <v>7</v>
      </c>
      <c r="B46" t="s">
        <v>47</v>
      </c>
      <c r="C46" t="s">
        <v>34</v>
      </c>
      <c r="D46" t="s">
        <v>35</v>
      </c>
      <c r="E46" s="33">
        <v>21619</v>
      </c>
      <c r="F46" s="33">
        <v>2107</v>
      </c>
      <c r="G46" s="33">
        <f t="shared" si="2"/>
        <v>10.260560037968675</v>
      </c>
    </row>
    <row r="47" spans="1:7" x14ac:dyDescent="0.3">
      <c r="A47">
        <v>8</v>
      </c>
      <c r="B47" t="s">
        <v>137</v>
      </c>
      <c r="C47" t="s">
        <v>135</v>
      </c>
      <c r="D47" t="s">
        <v>35</v>
      </c>
      <c r="E47" s="33">
        <v>20277</v>
      </c>
      <c r="F47" s="33">
        <v>2550</v>
      </c>
      <c r="G47" s="33">
        <f t="shared" si="2"/>
        <v>7.9517647058823533</v>
      </c>
    </row>
    <row r="48" spans="1:7" x14ac:dyDescent="0.3">
      <c r="A48">
        <v>9</v>
      </c>
      <c r="B48" t="s">
        <v>128</v>
      </c>
      <c r="C48" t="s">
        <v>100</v>
      </c>
      <c r="D48" t="s">
        <v>64</v>
      </c>
      <c r="E48" s="33">
        <v>18750</v>
      </c>
      <c r="F48" s="33">
        <v>3304</v>
      </c>
      <c r="G48" s="33">
        <f t="shared" si="2"/>
        <v>5.674939467312349</v>
      </c>
    </row>
    <row r="49" spans="1:7" x14ac:dyDescent="0.3">
      <c r="A49">
        <v>10</v>
      </c>
      <c r="B49" t="s">
        <v>122</v>
      </c>
      <c r="C49" t="s">
        <v>100</v>
      </c>
      <c r="D49" t="s">
        <v>64</v>
      </c>
      <c r="E49" s="33">
        <v>17680</v>
      </c>
      <c r="F49" s="33">
        <v>5003</v>
      </c>
      <c r="G49" s="33">
        <f t="shared" si="2"/>
        <v>3.5338796721966821</v>
      </c>
    </row>
    <row r="50" spans="1:7" x14ac:dyDescent="0.3">
      <c r="A50">
        <v>11</v>
      </c>
      <c r="B50" t="s">
        <v>125</v>
      </c>
      <c r="C50" t="s">
        <v>100</v>
      </c>
      <c r="D50" t="s">
        <v>64</v>
      </c>
      <c r="E50" s="33">
        <v>17015</v>
      </c>
      <c r="F50" s="33">
        <v>3508</v>
      </c>
      <c r="G50" s="33">
        <f t="shared" si="2"/>
        <v>4.850342075256556</v>
      </c>
    </row>
    <row r="51" spans="1:7" x14ac:dyDescent="0.3">
      <c r="A51">
        <v>12</v>
      </c>
      <c r="B51" t="s">
        <v>104</v>
      </c>
      <c r="C51" t="s">
        <v>100</v>
      </c>
      <c r="D51" t="s">
        <v>35</v>
      </c>
      <c r="E51" s="33">
        <v>16060</v>
      </c>
      <c r="F51" s="33">
        <v>1364</v>
      </c>
      <c r="G51" s="33">
        <f t="shared" si="2"/>
        <v>11.774193548387096</v>
      </c>
    </row>
    <row r="52" spans="1:7" x14ac:dyDescent="0.3">
      <c r="A52">
        <v>13</v>
      </c>
      <c r="B52" t="s">
        <v>158</v>
      </c>
      <c r="C52" t="s">
        <v>135</v>
      </c>
      <c r="D52" t="s">
        <v>64</v>
      </c>
      <c r="E52" s="33">
        <v>15900</v>
      </c>
      <c r="F52" s="33">
        <v>2062</v>
      </c>
      <c r="G52" s="33">
        <f t="shared" si="2"/>
        <v>7.7109602327837052</v>
      </c>
    </row>
    <row r="53" spans="1:7" x14ac:dyDescent="0.3">
      <c r="A53">
        <v>14</v>
      </c>
      <c r="B53" t="s">
        <v>126</v>
      </c>
      <c r="C53" t="s">
        <v>100</v>
      </c>
      <c r="D53" t="s">
        <v>64</v>
      </c>
      <c r="E53" s="33">
        <v>15520</v>
      </c>
      <c r="F53" s="33">
        <v>2703</v>
      </c>
      <c r="G53" s="33">
        <f t="shared" si="2"/>
        <v>5.7417684054753977</v>
      </c>
    </row>
    <row r="54" spans="1:7" x14ac:dyDescent="0.3">
      <c r="A54">
        <v>15</v>
      </c>
      <c r="B54" t="s">
        <v>144</v>
      </c>
      <c r="C54" t="s">
        <v>135</v>
      </c>
      <c r="D54" t="s">
        <v>64</v>
      </c>
      <c r="E54" s="33">
        <v>15510</v>
      </c>
      <c r="F54" s="33">
        <v>3687</v>
      </c>
      <c r="G54" s="33">
        <f t="shared" si="2"/>
        <v>4.2066720911310007</v>
      </c>
    </row>
    <row r="55" spans="1:7" ht="18" x14ac:dyDescent="0.35">
      <c r="E55" s="39">
        <f>SUM(E40:E54)</f>
        <v>306600</v>
      </c>
      <c r="F55" s="39">
        <f>SUM(F40:F54)</f>
        <v>41224</v>
      </c>
      <c r="G55" s="39">
        <f>E55/F55</f>
        <v>7.4374150980011642</v>
      </c>
    </row>
    <row r="57" spans="1:7" ht="15" thickBot="1" x14ac:dyDescent="0.35"/>
    <row r="58" spans="1:7" x14ac:dyDescent="0.3">
      <c r="E58" s="90" t="s">
        <v>219</v>
      </c>
      <c r="F58" s="91"/>
      <c r="G58" s="92"/>
    </row>
    <row r="59" spans="1:7" ht="15" thickBot="1" x14ac:dyDescent="0.35">
      <c r="E59" s="93"/>
      <c r="F59" s="94"/>
      <c r="G59" s="95"/>
    </row>
    <row r="60" spans="1:7" x14ac:dyDescent="0.3">
      <c r="E60" s="35" t="s">
        <v>19</v>
      </c>
      <c r="F60" s="35" t="s">
        <v>23</v>
      </c>
      <c r="G60" s="35" t="s">
        <v>218</v>
      </c>
    </row>
    <row r="61" spans="1:7" ht="18" x14ac:dyDescent="0.35">
      <c r="E61" s="41">
        <f>E55+E37+E19</f>
        <v>992577</v>
      </c>
      <c r="F61" s="41">
        <f>F55+F37+F19</f>
        <v>103095</v>
      </c>
      <c r="G61" s="41">
        <f>E61/F61</f>
        <v>9.6277899025170957</v>
      </c>
    </row>
  </sheetData>
  <mergeCells count="5">
    <mergeCell ref="A2:G2"/>
    <mergeCell ref="A20:G20"/>
    <mergeCell ref="A38:G38"/>
    <mergeCell ref="E58:G59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6FAA-4BB6-4F34-ADAF-805BE50F7BD0}">
  <dimension ref="A1:G64"/>
  <sheetViews>
    <sheetView topLeftCell="A48" zoomScale="130" zoomScaleNormal="130" workbookViewId="0">
      <selection activeCell="G65" sqref="G65"/>
    </sheetView>
  </sheetViews>
  <sheetFormatPr defaultRowHeight="14.4" x14ac:dyDescent="0.3"/>
  <cols>
    <col min="2" max="2" width="29.6640625" customWidth="1"/>
    <col min="3" max="3" width="23.77734375" customWidth="1"/>
    <col min="5" max="5" width="11.21875" style="33" bestFit="1" customWidth="1"/>
    <col min="6" max="6" width="12.44140625" style="33" bestFit="1" customWidth="1"/>
    <col min="7" max="7" width="13" style="32" customWidth="1"/>
  </cols>
  <sheetData>
    <row r="1" spans="1:7" ht="21" x14ac:dyDescent="0.4">
      <c r="A1" s="96" t="s">
        <v>216</v>
      </c>
      <c r="B1" s="96"/>
      <c r="C1" s="96"/>
      <c r="D1" s="96"/>
      <c r="E1" s="96"/>
      <c r="F1" s="96"/>
      <c r="G1" s="96"/>
    </row>
    <row r="2" spans="1:7" x14ac:dyDescent="0.3">
      <c r="A2" s="97" t="s">
        <v>212</v>
      </c>
      <c r="B2" s="97"/>
      <c r="C2" s="97"/>
      <c r="D2" s="97"/>
      <c r="E2" s="97"/>
      <c r="F2" s="97"/>
      <c r="G2" s="97"/>
    </row>
    <row r="3" spans="1:7" x14ac:dyDescent="0.3">
      <c r="A3" s="36" t="s">
        <v>58</v>
      </c>
      <c r="B3" s="36" t="s">
        <v>59</v>
      </c>
      <c r="C3" s="36" t="s">
        <v>7</v>
      </c>
      <c r="D3" s="36" t="s">
        <v>8</v>
      </c>
      <c r="E3" s="38" t="s">
        <v>12</v>
      </c>
      <c r="F3" s="38" t="s">
        <v>23</v>
      </c>
      <c r="G3" s="37" t="s">
        <v>218</v>
      </c>
    </row>
    <row r="4" spans="1:7" x14ac:dyDescent="0.3">
      <c r="A4">
        <v>1</v>
      </c>
      <c r="B4" t="s">
        <v>102</v>
      </c>
      <c r="C4" t="s">
        <v>100</v>
      </c>
      <c r="D4" t="s">
        <v>35</v>
      </c>
      <c r="E4" s="33">
        <v>18600</v>
      </c>
      <c r="F4" s="33">
        <v>1989</v>
      </c>
      <c r="G4" s="32">
        <f>E4/F4</f>
        <v>9.3514328808446461</v>
      </c>
    </row>
    <row r="5" spans="1:7" x14ac:dyDescent="0.3">
      <c r="A5">
        <v>2</v>
      </c>
      <c r="B5" t="s">
        <v>154</v>
      </c>
      <c r="C5" t="s">
        <v>135</v>
      </c>
      <c r="D5" t="s">
        <v>64</v>
      </c>
      <c r="E5" s="33">
        <v>15900</v>
      </c>
      <c r="F5" s="33">
        <v>3104</v>
      </c>
      <c r="G5" s="32">
        <f t="shared" ref="G5:G18" si="0">E5/F5</f>
        <v>5.1224226804123711</v>
      </c>
    </row>
    <row r="6" spans="1:7" x14ac:dyDescent="0.3">
      <c r="A6">
        <v>3</v>
      </c>
      <c r="B6" t="s">
        <v>129</v>
      </c>
      <c r="C6" t="s">
        <v>100</v>
      </c>
      <c r="D6" t="s">
        <v>64</v>
      </c>
      <c r="E6" s="33">
        <v>14220</v>
      </c>
      <c r="F6" s="33">
        <v>4871</v>
      </c>
      <c r="G6" s="32">
        <f t="shared" si="0"/>
        <v>2.9193184151098337</v>
      </c>
    </row>
    <row r="7" spans="1:7" x14ac:dyDescent="0.3">
      <c r="A7">
        <v>4</v>
      </c>
      <c r="B7" t="s">
        <v>125</v>
      </c>
      <c r="C7" t="s">
        <v>100</v>
      </c>
      <c r="D7" t="s">
        <v>64</v>
      </c>
      <c r="E7" s="33">
        <v>13000</v>
      </c>
      <c r="F7" s="33">
        <v>3417</v>
      </c>
      <c r="G7" s="32">
        <f t="shared" si="0"/>
        <v>3.804506877377817</v>
      </c>
    </row>
    <row r="8" spans="1:7" x14ac:dyDescent="0.3">
      <c r="A8">
        <v>5</v>
      </c>
      <c r="B8" t="s">
        <v>128</v>
      </c>
      <c r="C8" t="s">
        <v>100</v>
      </c>
      <c r="D8" t="s">
        <v>64</v>
      </c>
      <c r="E8" s="33">
        <v>11300</v>
      </c>
      <c r="F8" s="33">
        <v>3419</v>
      </c>
      <c r="G8" s="32">
        <f t="shared" si="0"/>
        <v>3.3050599590523544</v>
      </c>
    </row>
    <row r="9" spans="1:7" x14ac:dyDescent="0.3">
      <c r="A9">
        <v>6</v>
      </c>
      <c r="B9" t="s">
        <v>133</v>
      </c>
      <c r="C9" t="s">
        <v>100</v>
      </c>
      <c r="D9" t="s">
        <v>64</v>
      </c>
      <c r="E9" s="33">
        <v>10780</v>
      </c>
      <c r="F9" s="33">
        <v>2521</v>
      </c>
      <c r="G9" s="32">
        <f t="shared" si="0"/>
        <v>4.2760809202697345</v>
      </c>
    </row>
    <row r="10" spans="1:7" x14ac:dyDescent="0.3">
      <c r="A10">
        <v>7</v>
      </c>
      <c r="B10" t="s">
        <v>199</v>
      </c>
      <c r="C10" t="s">
        <v>172</v>
      </c>
      <c r="D10" t="s">
        <v>64</v>
      </c>
      <c r="E10" s="33">
        <v>10540</v>
      </c>
      <c r="F10" s="33">
        <v>1643</v>
      </c>
      <c r="G10" s="32">
        <f t="shared" si="0"/>
        <v>6.4150943396226419</v>
      </c>
    </row>
    <row r="11" spans="1:7" x14ac:dyDescent="0.3">
      <c r="A11">
        <v>8</v>
      </c>
      <c r="B11" t="s">
        <v>144</v>
      </c>
      <c r="C11" t="s">
        <v>135</v>
      </c>
      <c r="D11" t="s">
        <v>64</v>
      </c>
      <c r="E11" s="33">
        <v>9450</v>
      </c>
      <c r="F11" s="33">
        <v>3346</v>
      </c>
      <c r="G11" s="32">
        <f t="shared" si="0"/>
        <v>2.8242677824267783</v>
      </c>
    </row>
    <row r="12" spans="1:7" x14ac:dyDescent="0.3">
      <c r="A12">
        <v>9</v>
      </c>
      <c r="B12" t="s">
        <v>99</v>
      </c>
      <c r="C12" t="s">
        <v>100</v>
      </c>
      <c r="D12" t="s">
        <v>35</v>
      </c>
      <c r="E12" s="33">
        <v>9290</v>
      </c>
      <c r="F12" s="33">
        <v>1809</v>
      </c>
      <c r="G12" s="32">
        <f t="shared" si="0"/>
        <v>5.1354339414040906</v>
      </c>
    </row>
    <row r="13" spans="1:7" x14ac:dyDescent="0.3">
      <c r="A13">
        <v>10</v>
      </c>
      <c r="B13" t="s">
        <v>126</v>
      </c>
      <c r="C13" t="s">
        <v>100</v>
      </c>
      <c r="D13" t="s">
        <v>64</v>
      </c>
      <c r="E13" s="33">
        <v>9110</v>
      </c>
      <c r="F13" s="33">
        <v>2687</v>
      </c>
      <c r="G13" s="32">
        <f t="shared" si="0"/>
        <v>3.3903982136211388</v>
      </c>
    </row>
    <row r="14" spans="1:7" x14ac:dyDescent="0.3">
      <c r="A14">
        <v>11</v>
      </c>
      <c r="B14" t="s">
        <v>149</v>
      </c>
      <c r="C14" t="s">
        <v>135</v>
      </c>
      <c r="D14" t="s">
        <v>64</v>
      </c>
      <c r="E14" s="33">
        <v>8550</v>
      </c>
      <c r="F14" s="33">
        <v>3085</v>
      </c>
      <c r="G14" s="32">
        <f t="shared" si="0"/>
        <v>2.7714748784440841</v>
      </c>
    </row>
    <row r="15" spans="1:7" x14ac:dyDescent="0.3">
      <c r="A15">
        <v>12</v>
      </c>
      <c r="B15" t="s">
        <v>92</v>
      </c>
      <c r="C15" t="s">
        <v>34</v>
      </c>
      <c r="D15" t="s">
        <v>64</v>
      </c>
      <c r="E15" s="33">
        <v>8400</v>
      </c>
      <c r="F15" s="33">
        <v>3023</v>
      </c>
      <c r="G15" s="32">
        <f t="shared" si="0"/>
        <v>2.7786966589480651</v>
      </c>
    </row>
    <row r="16" spans="1:7" x14ac:dyDescent="0.3">
      <c r="A16">
        <v>13</v>
      </c>
      <c r="B16" t="s">
        <v>162</v>
      </c>
      <c r="C16" t="s">
        <v>135</v>
      </c>
      <c r="D16" t="s">
        <v>64</v>
      </c>
      <c r="E16" s="33">
        <v>8320</v>
      </c>
      <c r="F16" s="33">
        <v>2375</v>
      </c>
      <c r="G16" s="32">
        <f t="shared" si="0"/>
        <v>3.5031578947368422</v>
      </c>
    </row>
    <row r="17" spans="1:7" x14ac:dyDescent="0.3">
      <c r="A17">
        <v>14</v>
      </c>
      <c r="B17" t="s">
        <v>32</v>
      </c>
      <c r="C17" t="s">
        <v>34</v>
      </c>
      <c r="D17" t="s">
        <v>35</v>
      </c>
      <c r="E17" s="33">
        <v>8300</v>
      </c>
      <c r="F17" s="33">
        <v>2262</v>
      </c>
      <c r="G17" s="32">
        <f t="shared" si="0"/>
        <v>3.6693191865605659</v>
      </c>
    </row>
    <row r="18" spans="1:7" x14ac:dyDescent="0.3">
      <c r="A18">
        <v>15</v>
      </c>
      <c r="B18" t="s">
        <v>150</v>
      </c>
      <c r="C18" t="s">
        <v>135</v>
      </c>
      <c r="D18" t="s">
        <v>64</v>
      </c>
      <c r="E18" s="33">
        <v>8130</v>
      </c>
      <c r="F18" s="33">
        <v>2432</v>
      </c>
      <c r="G18" s="32">
        <f t="shared" si="0"/>
        <v>3.3429276315789473</v>
      </c>
    </row>
    <row r="19" spans="1:7" ht="18" x14ac:dyDescent="0.35">
      <c r="E19" s="39">
        <f>SUM(E4:E18)</f>
        <v>163890</v>
      </c>
      <c r="F19" s="39">
        <f>SUM(F4:F18)</f>
        <v>41983</v>
      </c>
      <c r="G19" s="40">
        <f>E19/F19</f>
        <v>3.9037229354738825</v>
      </c>
    </row>
    <row r="20" spans="1:7" x14ac:dyDescent="0.3">
      <c r="A20" s="97" t="s">
        <v>213</v>
      </c>
      <c r="B20" s="97"/>
      <c r="C20" s="97"/>
      <c r="D20" s="97"/>
      <c r="E20" s="97"/>
      <c r="F20" s="97"/>
      <c r="G20" s="97"/>
    </row>
    <row r="21" spans="1:7" x14ac:dyDescent="0.3">
      <c r="A21" s="36" t="s">
        <v>58</v>
      </c>
      <c r="B21" s="36" t="s">
        <v>59</v>
      </c>
      <c r="C21" s="36" t="s">
        <v>7</v>
      </c>
      <c r="D21" s="36" t="s">
        <v>8</v>
      </c>
      <c r="E21" s="38" t="s">
        <v>12</v>
      </c>
      <c r="F21" s="38" t="s">
        <v>23</v>
      </c>
      <c r="G21" s="37" t="s">
        <v>218</v>
      </c>
    </row>
    <row r="22" spans="1:7" x14ac:dyDescent="0.3">
      <c r="A22">
        <v>1</v>
      </c>
      <c r="B22" t="s">
        <v>102</v>
      </c>
      <c r="C22" t="s">
        <v>100</v>
      </c>
      <c r="D22" t="s">
        <v>35</v>
      </c>
      <c r="E22" s="33">
        <v>18800</v>
      </c>
      <c r="F22" s="33">
        <v>1965</v>
      </c>
      <c r="G22" s="32">
        <f>E22/F22</f>
        <v>9.567430025445292</v>
      </c>
    </row>
    <row r="23" spans="1:7" x14ac:dyDescent="0.3">
      <c r="A23">
        <v>2</v>
      </c>
      <c r="B23" t="s">
        <v>129</v>
      </c>
      <c r="C23" t="s">
        <v>100</v>
      </c>
      <c r="D23" t="s">
        <v>64</v>
      </c>
      <c r="E23" s="33">
        <v>15930</v>
      </c>
      <c r="F23" s="33">
        <v>3633</v>
      </c>
      <c r="G23" s="32">
        <f t="shared" ref="G23:G36" si="1">E23/F23</f>
        <v>4.3848059454995871</v>
      </c>
    </row>
    <row r="24" spans="1:7" x14ac:dyDescent="0.3">
      <c r="A24">
        <v>3</v>
      </c>
      <c r="B24" t="s">
        <v>122</v>
      </c>
      <c r="C24" t="s">
        <v>100</v>
      </c>
      <c r="D24" t="s">
        <v>64</v>
      </c>
      <c r="E24" s="33">
        <v>15200</v>
      </c>
      <c r="F24" s="33">
        <v>4111</v>
      </c>
      <c r="G24" s="32">
        <f t="shared" si="1"/>
        <v>3.6973972269520798</v>
      </c>
    </row>
    <row r="25" spans="1:7" x14ac:dyDescent="0.3">
      <c r="A25">
        <v>4</v>
      </c>
      <c r="B25" t="s">
        <v>154</v>
      </c>
      <c r="C25" t="s">
        <v>135</v>
      </c>
      <c r="D25" t="s">
        <v>64</v>
      </c>
      <c r="E25" s="33">
        <v>14100</v>
      </c>
      <c r="F25" s="33">
        <v>2102</v>
      </c>
      <c r="G25" s="32">
        <f t="shared" si="1"/>
        <v>6.7078972407231205</v>
      </c>
    </row>
    <row r="26" spans="1:7" x14ac:dyDescent="0.3">
      <c r="A26">
        <v>5</v>
      </c>
      <c r="B26" t="s">
        <v>133</v>
      </c>
      <c r="C26" t="s">
        <v>100</v>
      </c>
      <c r="D26" t="s">
        <v>64</v>
      </c>
      <c r="E26" s="33">
        <v>13950</v>
      </c>
      <c r="F26" s="33">
        <v>2883</v>
      </c>
      <c r="G26" s="32">
        <f t="shared" si="1"/>
        <v>4.838709677419355</v>
      </c>
    </row>
    <row r="27" spans="1:7" x14ac:dyDescent="0.3">
      <c r="A27">
        <v>6</v>
      </c>
      <c r="B27" t="s">
        <v>101</v>
      </c>
      <c r="C27" t="s">
        <v>100</v>
      </c>
      <c r="D27" t="s">
        <v>35</v>
      </c>
      <c r="E27" s="33">
        <v>12900</v>
      </c>
      <c r="F27" s="33">
        <v>1670</v>
      </c>
      <c r="G27" s="32">
        <f t="shared" si="1"/>
        <v>7.7245508982035931</v>
      </c>
    </row>
    <row r="28" spans="1:7" x14ac:dyDescent="0.3">
      <c r="A28">
        <v>7</v>
      </c>
      <c r="B28" t="s">
        <v>125</v>
      </c>
      <c r="C28" t="s">
        <v>100</v>
      </c>
      <c r="D28" t="s">
        <v>64</v>
      </c>
      <c r="E28" s="33">
        <v>11960</v>
      </c>
      <c r="F28" s="33">
        <v>3040</v>
      </c>
      <c r="G28" s="32">
        <f t="shared" si="1"/>
        <v>3.9342105263157894</v>
      </c>
    </row>
    <row r="29" spans="1:7" x14ac:dyDescent="0.3">
      <c r="A29">
        <v>8</v>
      </c>
      <c r="B29" t="s">
        <v>128</v>
      </c>
      <c r="C29" t="s">
        <v>100</v>
      </c>
      <c r="D29" t="s">
        <v>64</v>
      </c>
      <c r="E29" s="33">
        <v>11600</v>
      </c>
      <c r="F29" s="33">
        <v>3010</v>
      </c>
      <c r="G29" s="32">
        <f t="shared" si="1"/>
        <v>3.8538205980066444</v>
      </c>
    </row>
    <row r="30" spans="1:7" x14ac:dyDescent="0.3">
      <c r="A30">
        <v>9</v>
      </c>
      <c r="B30" t="s">
        <v>148</v>
      </c>
      <c r="C30" t="s">
        <v>135</v>
      </c>
      <c r="D30" t="s">
        <v>64</v>
      </c>
      <c r="E30" s="33">
        <v>11200</v>
      </c>
      <c r="F30" s="33">
        <v>2277</v>
      </c>
      <c r="G30" s="32">
        <f t="shared" si="1"/>
        <v>4.9187527448397015</v>
      </c>
    </row>
    <row r="31" spans="1:7" x14ac:dyDescent="0.3">
      <c r="A31">
        <v>10</v>
      </c>
      <c r="B31" t="s">
        <v>144</v>
      </c>
      <c r="C31" t="s">
        <v>135</v>
      </c>
      <c r="D31" t="s">
        <v>64</v>
      </c>
      <c r="E31" s="33">
        <v>9950</v>
      </c>
      <c r="F31" s="33">
        <v>3208</v>
      </c>
      <c r="G31" s="32">
        <f t="shared" si="1"/>
        <v>3.1016209476309227</v>
      </c>
    </row>
    <row r="32" spans="1:7" x14ac:dyDescent="0.3">
      <c r="A32">
        <v>11</v>
      </c>
      <c r="B32" t="s">
        <v>146</v>
      </c>
      <c r="C32" t="s">
        <v>135</v>
      </c>
      <c r="D32" t="s">
        <v>64</v>
      </c>
      <c r="E32" s="33">
        <v>9520</v>
      </c>
      <c r="F32" s="33">
        <v>2017</v>
      </c>
      <c r="G32" s="32">
        <f t="shared" si="1"/>
        <v>4.719881011403074</v>
      </c>
    </row>
    <row r="33" spans="1:7" x14ac:dyDescent="0.3">
      <c r="A33">
        <v>12</v>
      </c>
      <c r="B33" t="s">
        <v>137</v>
      </c>
      <c r="C33" t="s">
        <v>135</v>
      </c>
      <c r="D33" t="s">
        <v>35</v>
      </c>
      <c r="E33" s="33">
        <v>9460</v>
      </c>
      <c r="F33" s="33">
        <v>2383</v>
      </c>
      <c r="G33" s="32">
        <f t="shared" si="1"/>
        <v>3.969785984053714</v>
      </c>
    </row>
    <row r="34" spans="1:7" x14ac:dyDescent="0.3">
      <c r="A34">
        <v>13</v>
      </c>
      <c r="B34" t="s">
        <v>94</v>
      </c>
      <c r="C34" t="s">
        <v>34</v>
      </c>
      <c r="D34" t="s">
        <v>64</v>
      </c>
      <c r="E34" s="33">
        <v>9000</v>
      </c>
      <c r="F34" s="33">
        <v>1321</v>
      </c>
      <c r="G34" s="32">
        <f t="shared" si="1"/>
        <v>6.8130204390613169</v>
      </c>
    </row>
    <row r="35" spans="1:7" x14ac:dyDescent="0.3">
      <c r="A35">
        <v>14</v>
      </c>
      <c r="B35" t="s">
        <v>103</v>
      </c>
      <c r="C35" t="s">
        <v>100</v>
      </c>
      <c r="D35" t="s">
        <v>35</v>
      </c>
      <c r="E35" s="33">
        <v>7700</v>
      </c>
      <c r="F35" s="33">
        <v>1192</v>
      </c>
      <c r="G35" s="32">
        <f t="shared" si="1"/>
        <v>6.4597315436241614</v>
      </c>
    </row>
    <row r="36" spans="1:7" x14ac:dyDescent="0.3">
      <c r="A36">
        <v>15</v>
      </c>
      <c r="B36" t="s">
        <v>126</v>
      </c>
      <c r="C36" t="s">
        <v>100</v>
      </c>
      <c r="D36" t="s">
        <v>64</v>
      </c>
      <c r="E36" s="33">
        <v>7690</v>
      </c>
      <c r="F36" s="33">
        <v>2522</v>
      </c>
      <c r="G36" s="32">
        <f t="shared" si="1"/>
        <v>3.0491673275178428</v>
      </c>
    </row>
    <row r="37" spans="1:7" ht="18" x14ac:dyDescent="0.35">
      <c r="E37" s="39">
        <f>SUM(E22:E36)</f>
        <v>178960</v>
      </c>
      <c r="F37" s="39">
        <f>SUM(F22:F36)</f>
        <v>37334</v>
      </c>
      <c r="G37" s="40">
        <f>E37/F37</f>
        <v>4.7934858306101678</v>
      </c>
    </row>
    <row r="38" spans="1:7" x14ac:dyDescent="0.3">
      <c r="A38" s="97" t="s">
        <v>214</v>
      </c>
      <c r="B38" s="97"/>
      <c r="C38" s="97"/>
      <c r="D38" s="97"/>
      <c r="E38" s="97"/>
      <c r="F38" s="97"/>
      <c r="G38" s="97"/>
    </row>
    <row r="39" spans="1:7" x14ac:dyDescent="0.3">
      <c r="A39" s="36" t="s">
        <v>58</v>
      </c>
      <c r="B39" s="36" t="s">
        <v>59</v>
      </c>
      <c r="C39" s="36" t="s">
        <v>7</v>
      </c>
      <c r="D39" s="36" t="s">
        <v>8</v>
      </c>
      <c r="E39" s="38" t="s">
        <v>12</v>
      </c>
      <c r="F39" s="38" t="s">
        <v>23</v>
      </c>
      <c r="G39" s="37" t="s">
        <v>218</v>
      </c>
    </row>
    <row r="40" spans="1:7" x14ac:dyDescent="0.3">
      <c r="A40">
        <v>1</v>
      </c>
      <c r="B40" t="s">
        <v>129</v>
      </c>
      <c r="C40" t="s">
        <v>100</v>
      </c>
      <c r="D40" t="s">
        <v>64</v>
      </c>
      <c r="E40" s="33">
        <v>19560</v>
      </c>
      <c r="F40" s="33">
        <v>4808</v>
      </c>
      <c r="G40" s="32">
        <f>E40/F40</f>
        <v>4.0682196339434276</v>
      </c>
    </row>
    <row r="41" spans="1:7" x14ac:dyDescent="0.3">
      <c r="A41">
        <v>2</v>
      </c>
      <c r="B41" t="s">
        <v>102</v>
      </c>
      <c r="C41" t="s">
        <v>100</v>
      </c>
      <c r="D41" t="s">
        <v>35</v>
      </c>
      <c r="E41" s="33">
        <v>19550</v>
      </c>
      <c r="F41" s="33">
        <v>2409</v>
      </c>
      <c r="G41" s="32">
        <f t="shared" ref="G41:G54" si="2">E41/F41</f>
        <v>8.115400581154006</v>
      </c>
    </row>
    <row r="42" spans="1:7" x14ac:dyDescent="0.3">
      <c r="A42">
        <v>3</v>
      </c>
      <c r="B42" t="s">
        <v>122</v>
      </c>
      <c r="C42" t="s">
        <v>100</v>
      </c>
      <c r="D42" t="s">
        <v>64</v>
      </c>
      <c r="E42" s="33">
        <v>16320</v>
      </c>
      <c r="F42" s="33">
        <v>5003</v>
      </c>
      <c r="G42" s="32">
        <f t="shared" si="2"/>
        <v>3.2620427743353986</v>
      </c>
    </row>
    <row r="43" spans="1:7" x14ac:dyDescent="0.3">
      <c r="A43">
        <v>4</v>
      </c>
      <c r="B43" t="s">
        <v>128</v>
      </c>
      <c r="C43" t="s">
        <v>100</v>
      </c>
      <c r="D43" t="s">
        <v>64</v>
      </c>
      <c r="E43" s="33">
        <v>13130</v>
      </c>
      <c r="F43" s="33">
        <v>3304</v>
      </c>
      <c r="G43" s="32">
        <f t="shared" si="2"/>
        <v>3.9739709443099271</v>
      </c>
    </row>
    <row r="44" spans="1:7" x14ac:dyDescent="0.3">
      <c r="A44">
        <v>5</v>
      </c>
      <c r="B44" t="s">
        <v>125</v>
      </c>
      <c r="C44" t="s">
        <v>100</v>
      </c>
      <c r="D44" t="s">
        <v>64</v>
      </c>
      <c r="E44" s="33">
        <v>13050</v>
      </c>
      <c r="F44" s="33">
        <v>3508</v>
      </c>
      <c r="G44" s="32">
        <f t="shared" si="2"/>
        <v>3.7200684150513115</v>
      </c>
    </row>
    <row r="45" spans="1:7" x14ac:dyDescent="0.3">
      <c r="A45">
        <v>6</v>
      </c>
      <c r="B45" t="s">
        <v>101</v>
      </c>
      <c r="C45" t="s">
        <v>100</v>
      </c>
      <c r="D45" t="s">
        <v>35</v>
      </c>
      <c r="E45" s="33">
        <v>12550</v>
      </c>
      <c r="F45" s="33">
        <v>2099</v>
      </c>
      <c r="G45" s="32">
        <f t="shared" si="2"/>
        <v>5.979037636969986</v>
      </c>
    </row>
    <row r="46" spans="1:7" x14ac:dyDescent="0.3">
      <c r="A46">
        <v>7</v>
      </c>
      <c r="B46" t="s">
        <v>103</v>
      </c>
      <c r="C46" t="s">
        <v>100</v>
      </c>
      <c r="D46" t="s">
        <v>35</v>
      </c>
      <c r="E46" s="33">
        <v>10730</v>
      </c>
      <c r="F46" s="33">
        <v>1536</v>
      </c>
      <c r="G46" s="32">
        <f t="shared" si="2"/>
        <v>6.985677083333333</v>
      </c>
    </row>
    <row r="47" spans="1:7" x14ac:dyDescent="0.3">
      <c r="A47">
        <v>8</v>
      </c>
      <c r="B47" t="s">
        <v>192</v>
      </c>
      <c r="C47" t="s">
        <v>172</v>
      </c>
      <c r="D47" t="s">
        <v>64</v>
      </c>
      <c r="E47" s="33">
        <v>10700</v>
      </c>
      <c r="F47" s="33">
        <v>2585</v>
      </c>
      <c r="G47" s="32">
        <f t="shared" si="2"/>
        <v>4.1392649903288206</v>
      </c>
    </row>
    <row r="48" spans="1:7" x14ac:dyDescent="0.3">
      <c r="A48">
        <v>9</v>
      </c>
      <c r="B48" t="s">
        <v>126</v>
      </c>
      <c r="C48" t="s">
        <v>100</v>
      </c>
      <c r="D48" t="s">
        <v>64</v>
      </c>
      <c r="E48" s="33">
        <v>9910</v>
      </c>
      <c r="F48" s="33">
        <v>2703</v>
      </c>
      <c r="G48" s="32">
        <f t="shared" si="2"/>
        <v>3.6662967073621902</v>
      </c>
    </row>
    <row r="49" spans="1:7" x14ac:dyDescent="0.3">
      <c r="A49">
        <v>10</v>
      </c>
      <c r="B49" t="s">
        <v>99</v>
      </c>
      <c r="C49" t="s">
        <v>100</v>
      </c>
      <c r="D49" t="s">
        <v>35</v>
      </c>
      <c r="E49" s="33">
        <v>9540</v>
      </c>
      <c r="F49" s="33">
        <v>1723</v>
      </c>
      <c r="G49" s="32">
        <f t="shared" si="2"/>
        <v>5.5368543238537438</v>
      </c>
    </row>
    <row r="50" spans="1:7" x14ac:dyDescent="0.3">
      <c r="A50">
        <v>11</v>
      </c>
      <c r="B50" t="s">
        <v>199</v>
      </c>
      <c r="C50" t="s">
        <v>172</v>
      </c>
      <c r="D50" t="s">
        <v>64</v>
      </c>
      <c r="E50" s="33">
        <v>8440</v>
      </c>
      <c r="F50" s="33">
        <v>1155</v>
      </c>
      <c r="G50" s="32">
        <f t="shared" si="2"/>
        <v>7.3073593073593077</v>
      </c>
    </row>
    <row r="51" spans="1:7" x14ac:dyDescent="0.3">
      <c r="A51">
        <v>12</v>
      </c>
      <c r="B51" t="s">
        <v>144</v>
      </c>
      <c r="C51" t="s">
        <v>135</v>
      </c>
      <c r="D51" t="s">
        <v>64</v>
      </c>
      <c r="E51" s="33">
        <v>8260</v>
      </c>
      <c r="F51" s="33">
        <v>3687</v>
      </c>
      <c r="G51" s="32">
        <f t="shared" si="2"/>
        <v>2.2403037700027122</v>
      </c>
    </row>
    <row r="52" spans="1:7" x14ac:dyDescent="0.3">
      <c r="A52">
        <v>13</v>
      </c>
      <c r="B52" t="s">
        <v>146</v>
      </c>
      <c r="C52" t="s">
        <v>135</v>
      </c>
      <c r="D52" t="s">
        <v>64</v>
      </c>
      <c r="E52" s="33">
        <v>8180</v>
      </c>
      <c r="F52" s="33">
        <v>2757</v>
      </c>
      <c r="G52" s="32">
        <f t="shared" si="2"/>
        <v>2.9669931084512151</v>
      </c>
    </row>
    <row r="53" spans="1:7" x14ac:dyDescent="0.3">
      <c r="A53">
        <v>14</v>
      </c>
      <c r="B53" t="s">
        <v>159</v>
      </c>
      <c r="C53" t="s">
        <v>135</v>
      </c>
      <c r="D53" t="s">
        <v>64</v>
      </c>
      <c r="E53" s="33">
        <v>8030</v>
      </c>
      <c r="F53" s="33">
        <v>2932</v>
      </c>
      <c r="G53" s="32">
        <f t="shared" si="2"/>
        <v>2.7387448840381992</v>
      </c>
    </row>
    <row r="54" spans="1:7" x14ac:dyDescent="0.3">
      <c r="A54">
        <v>15</v>
      </c>
      <c r="B54" t="s">
        <v>127</v>
      </c>
      <c r="C54" t="s">
        <v>100</v>
      </c>
      <c r="D54" t="s">
        <v>64</v>
      </c>
      <c r="E54" s="33">
        <v>7630</v>
      </c>
      <c r="F54" s="33">
        <v>2070</v>
      </c>
      <c r="G54" s="32">
        <f t="shared" si="2"/>
        <v>3.6859903381642511</v>
      </c>
    </row>
    <row r="55" spans="1:7" ht="18" x14ac:dyDescent="0.35">
      <c r="E55" s="39">
        <f>SUM(E40:E54)</f>
        <v>175580</v>
      </c>
      <c r="F55" s="39">
        <f>SUM(F40:F54)</f>
        <v>42279</v>
      </c>
      <c r="G55" s="40">
        <f>E55/F55</f>
        <v>4.152889141181201</v>
      </c>
    </row>
    <row r="60" spans="1:7" ht="15" thickBot="1" x14ac:dyDescent="0.35"/>
    <row r="61" spans="1:7" x14ac:dyDescent="0.3">
      <c r="E61" s="90" t="s">
        <v>220</v>
      </c>
      <c r="F61" s="91"/>
      <c r="G61" s="92"/>
    </row>
    <row r="62" spans="1:7" ht="15" thickBot="1" x14ac:dyDescent="0.35">
      <c r="E62" s="93"/>
      <c r="F62" s="94"/>
      <c r="G62" s="95"/>
    </row>
    <row r="63" spans="1:7" x14ac:dyDescent="0.3">
      <c r="E63" s="35" t="s">
        <v>19</v>
      </c>
      <c r="F63" s="35" t="s">
        <v>23</v>
      </c>
      <c r="G63" s="35" t="s">
        <v>218</v>
      </c>
    </row>
    <row r="64" spans="1:7" ht="18" x14ac:dyDescent="0.35">
      <c r="E64" s="41">
        <f>E55+E37+E19</f>
        <v>518430</v>
      </c>
      <c r="F64" s="41">
        <f>F55+F37+F19</f>
        <v>121596</v>
      </c>
      <c r="G64" s="41">
        <f>E64/F64</f>
        <v>4.2635448534491269</v>
      </c>
    </row>
  </sheetData>
  <autoFilter ref="B1:B64" xr:uid="{6C0B6FAA-4BB6-4F34-ADAF-805BE50F7BD0}"/>
  <mergeCells count="5">
    <mergeCell ref="E61:G62"/>
    <mergeCell ref="A1:G1"/>
    <mergeCell ref="A20:G20"/>
    <mergeCell ref="A38:G38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3C48-5C5A-4F36-BAAC-127FB39A041F}">
  <dimension ref="A1:G63"/>
  <sheetViews>
    <sheetView topLeftCell="A32" zoomScale="130" zoomScaleNormal="130" workbookViewId="0">
      <selection activeCell="H58" sqref="H58"/>
    </sheetView>
  </sheetViews>
  <sheetFormatPr defaultRowHeight="14.4" x14ac:dyDescent="0.3"/>
  <cols>
    <col min="2" max="2" width="30.5546875" bestFit="1" customWidth="1"/>
    <col min="3" max="3" width="25.109375" customWidth="1"/>
    <col min="5" max="5" width="11.21875" style="33" bestFit="1" customWidth="1"/>
    <col min="6" max="6" width="13.88671875" style="33" bestFit="1" customWidth="1"/>
    <col min="7" max="7" width="13.44140625" style="32" customWidth="1"/>
  </cols>
  <sheetData>
    <row r="1" spans="1:7" ht="21" x14ac:dyDescent="0.4">
      <c r="A1" s="96" t="s">
        <v>217</v>
      </c>
      <c r="B1" s="96"/>
      <c r="C1" s="96"/>
      <c r="D1" s="96"/>
      <c r="E1" s="96"/>
      <c r="F1" s="96"/>
      <c r="G1" s="96"/>
    </row>
    <row r="2" spans="1:7" x14ac:dyDescent="0.3">
      <c r="A2" s="98" t="s">
        <v>212</v>
      </c>
      <c r="B2" s="98"/>
      <c r="C2" s="98"/>
      <c r="D2" s="98"/>
      <c r="E2" s="98"/>
      <c r="F2" s="98"/>
      <c r="G2" s="98"/>
    </row>
    <row r="3" spans="1:7" x14ac:dyDescent="0.3">
      <c r="A3" s="36" t="s">
        <v>58</v>
      </c>
      <c r="B3" s="36" t="s">
        <v>59</v>
      </c>
      <c r="C3" s="36" t="s">
        <v>7</v>
      </c>
      <c r="D3" s="36" t="s">
        <v>8</v>
      </c>
      <c r="E3" s="38" t="s">
        <v>12</v>
      </c>
      <c r="F3" s="38" t="s">
        <v>23</v>
      </c>
      <c r="G3" s="37" t="s">
        <v>218</v>
      </c>
    </row>
    <row r="4" spans="1:7" x14ac:dyDescent="0.3">
      <c r="A4">
        <v>1</v>
      </c>
      <c r="B4" t="s">
        <v>122</v>
      </c>
      <c r="C4" t="s">
        <v>100</v>
      </c>
      <c r="D4" t="s">
        <v>64</v>
      </c>
      <c r="E4" s="33">
        <v>0</v>
      </c>
      <c r="F4" s="33">
        <v>4967</v>
      </c>
      <c r="G4" s="32">
        <f>E4/F4</f>
        <v>0</v>
      </c>
    </row>
    <row r="5" spans="1:7" x14ac:dyDescent="0.3">
      <c r="A5">
        <v>2</v>
      </c>
      <c r="B5" t="s">
        <v>129</v>
      </c>
      <c r="C5" t="s">
        <v>100</v>
      </c>
      <c r="D5" t="s">
        <v>64</v>
      </c>
      <c r="E5" s="33">
        <v>14220</v>
      </c>
      <c r="F5" s="33">
        <v>4871</v>
      </c>
      <c r="G5" s="32">
        <f t="shared" ref="G5:G19" si="0">E5/F5</f>
        <v>2.9193184151098337</v>
      </c>
    </row>
    <row r="6" spans="1:7" x14ac:dyDescent="0.3">
      <c r="A6">
        <v>3</v>
      </c>
      <c r="B6" t="s">
        <v>77</v>
      </c>
      <c r="C6" t="s">
        <v>34</v>
      </c>
      <c r="D6" t="s">
        <v>64</v>
      </c>
      <c r="E6" s="33">
        <v>4720</v>
      </c>
      <c r="F6" s="33">
        <v>3554</v>
      </c>
      <c r="G6" s="32">
        <f t="shared" si="0"/>
        <v>1.3280810354530106</v>
      </c>
    </row>
    <row r="7" spans="1:7" x14ac:dyDescent="0.3">
      <c r="A7">
        <v>4</v>
      </c>
      <c r="B7" t="s">
        <v>128</v>
      </c>
      <c r="C7" t="s">
        <v>100</v>
      </c>
      <c r="D7" t="s">
        <v>64</v>
      </c>
      <c r="E7" s="33">
        <v>11300</v>
      </c>
      <c r="F7" s="33">
        <v>3419</v>
      </c>
      <c r="G7" s="32">
        <f t="shared" si="0"/>
        <v>3.3050599590523544</v>
      </c>
    </row>
    <row r="8" spans="1:7" x14ac:dyDescent="0.3">
      <c r="A8">
        <v>5</v>
      </c>
      <c r="B8" t="s">
        <v>125</v>
      </c>
      <c r="C8" t="s">
        <v>100</v>
      </c>
      <c r="D8" t="s">
        <v>64</v>
      </c>
      <c r="E8" s="33">
        <v>13000</v>
      </c>
      <c r="F8" s="33">
        <v>3417</v>
      </c>
      <c r="G8" s="32">
        <f t="shared" si="0"/>
        <v>3.804506877377817</v>
      </c>
    </row>
    <row r="9" spans="1:7" x14ac:dyDescent="0.3">
      <c r="A9">
        <v>6</v>
      </c>
      <c r="B9" t="s">
        <v>119</v>
      </c>
      <c r="C9" t="s">
        <v>100</v>
      </c>
      <c r="D9" t="s">
        <v>64</v>
      </c>
      <c r="E9" s="33">
        <v>5510</v>
      </c>
      <c r="F9" s="33">
        <v>3361</v>
      </c>
      <c r="G9" s="32">
        <f t="shared" si="0"/>
        <v>1.639393037786373</v>
      </c>
    </row>
    <row r="10" spans="1:7" x14ac:dyDescent="0.3">
      <c r="A10">
        <v>7</v>
      </c>
      <c r="B10" t="s">
        <v>144</v>
      </c>
      <c r="C10" t="s">
        <v>135</v>
      </c>
      <c r="D10" t="s">
        <v>64</v>
      </c>
      <c r="E10" s="33">
        <v>9450</v>
      </c>
      <c r="F10" s="33">
        <v>3346</v>
      </c>
      <c r="G10" s="32">
        <f t="shared" si="0"/>
        <v>2.8242677824267783</v>
      </c>
    </row>
    <row r="11" spans="1:7" x14ac:dyDescent="0.3">
      <c r="A11">
        <v>8</v>
      </c>
      <c r="B11" t="s">
        <v>152</v>
      </c>
      <c r="C11" t="s">
        <v>135</v>
      </c>
      <c r="D11" t="s">
        <v>64</v>
      </c>
      <c r="E11" s="33">
        <v>1530</v>
      </c>
      <c r="F11" s="33">
        <v>3309</v>
      </c>
      <c r="G11" s="32">
        <f t="shared" si="0"/>
        <v>0.46237533998186764</v>
      </c>
    </row>
    <row r="12" spans="1:7" x14ac:dyDescent="0.3">
      <c r="A12">
        <v>9</v>
      </c>
      <c r="B12" t="s">
        <v>151</v>
      </c>
      <c r="C12" t="s">
        <v>135</v>
      </c>
      <c r="D12" t="s">
        <v>64</v>
      </c>
      <c r="E12" s="33">
        <v>4600</v>
      </c>
      <c r="F12" s="33">
        <v>3270</v>
      </c>
      <c r="G12" s="32">
        <f t="shared" si="0"/>
        <v>1.4067278287461773</v>
      </c>
    </row>
    <row r="13" spans="1:7" x14ac:dyDescent="0.3">
      <c r="A13">
        <v>10</v>
      </c>
      <c r="B13" t="s">
        <v>123</v>
      </c>
      <c r="C13" t="s">
        <v>100</v>
      </c>
      <c r="D13" t="s">
        <v>64</v>
      </c>
      <c r="E13" s="33">
        <v>2140</v>
      </c>
      <c r="F13" s="33">
        <v>3245</v>
      </c>
      <c r="G13" s="32">
        <f t="shared" si="0"/>
        <v>0.65947611710323573</v>
      </c>
    </row>
    <row r="14" spans="1:7" x14ac:dyDescent="0.3">
      <c r="A14">
        <v>11</v>
      </c>
      <c r="B14" t="s">
        <v>124</v>
      </c>
      <c r="C14" t="s">
        <v>100</v>
      </c>
      <c r="D14" t="s">
        <v>64</v>
      </c>
      <c r="E14" s="33">
        <v>3660</v>
      </c>
      <c r="F14" s="33">
        <v>3237</v>
      </c>
      <c r="G14" s="32">
        <f t="shared" si="0"/>
        <v>1.1306765523632993</v>
      </c>
    </row>
    <row r="15" spans="1:7" x14ac:dyDescent="0.3">
      <c r="A15">
        <v>12</v>
      </c>
      <c r="B15" t="s">
        <v>120</v>
      </c>
      <c r="C15" t="s">
        <v>100</v>
      </c>
      <c r="D15" t="s">
        <v>64</v>
      </c>
      <c r="E15" s="33">
        <v>1910</v>
      </c>
      <c r="F15" s="33">
        <v>3149</v>
      </c>
      <c r="G15" s="32">
        <f t="shared" si="0"/>
        <v>0.60654175928866305</v>
      </c>
    </row>
    <row r="16" spans="1:7" x14ac:dyDescent="0.3">
      <c r="A16">
        <v>13</v>
      </c>
      <c r="B16" t="s">
        <v>154</v>
      </c>
      <c r="C16" t="s">
        <v>135</v>
      </c>
      <c r="D16" t="s">
        <v>64</v>
      </c>
      <c r="E16" s="33">
        <v>15900</v>
      </c>
      <c r="F16" s="33">
        <v>3104</v>
      </c>
      <c r="G16" s="32">
        <f t="shared" si="0"/>
        <v>5.1224226804123711</v>
      </c>
    </row>
    <row r="17" spans="1:7" x14ac:dyDescent="0.3">
      <c r="A17">
        <v>14</v>
      </c>
      <c r="B17" t="s">
        <v>149</v>
      </c>
      <c r="C17" t="s">
        <v>135</v>
      </c>
      <c r="D17" t="s">
        <v>64</v>
      </c>
      <c r="E17" s="33">
        <v>8550</v>
      </c>
      <c r="F17" s="33">
        <v>3085</v>
      </c>
      <c r="G17" s="32">
        <f t="shared" si="0"/>
        <v>2.7714748784440841</v>
      </c>
    </row>
    <row r="18" spans="1:7" x14ac:dyDescent="0.3">
      <c r="A18">
        <v>15</v>
      </c>
      <c r="B18" t="s">
        <v>138</v>
      </c>
      <c r="C18" t="s">
        <v>135</v>
      </c>
      <c r="D18" t="s">
        <v>35</v>
      </c>
      <c r="E18" s="33">
        <v>6100</v>
      </c>
      <c r="F18" s="33">
        <v>3079</v>
      </c>
      <c r="G18" s="32">
        <f t="shared" si="0"/>
        <v>1.9811627151672622</v>
      </c>
    </row>
    <row r="19" spans="1:7" ht="18" x14ac:dyDescent="0.35">
      <c r="E19" s="39">
        <f>SUM(E4:E18)</f>
        <v>102590</v>
      </c>
      <c r="F19" s="39">
        <f>SUM(F4:F18)</f>
        <v>52413</v>
      </c>
      <c r="G19" s="39">
        <f t="shared" si="0"/>
        <v>1.9573388281533208</v>
      </c>
    </row>
    <row r="20" spans="1:7" x14ac:dyDescent="0.3">
      <c r="A20" s="98" t="s">
        <v>213</v>
      </c>
      <c r="B20" s="98"/>
      <c r="C20" s="98"/>
      <c r="D20" s="98"/>
      <c r="E20" s="98"/>
      <c r="F20" s="98"/>
      <c r="G20" s="98"/>
    </row>
    <row r="21" spans="1:7" x14ac:dyDescent="0.3">
      <c r="A21" s="36" t="s">
        <v>58</v>
      </c>
      <c r="B21" s="36" t="s">
        <v>59</v>
      </c>
      <c r="C21" s="36" t="s">
        <v>7</v>
      </c>
      <c r="D21" s="36" t="s">
        <v>8</v>
      </c>
      <c r="E21" s="38" t="s">
        <v>12</v>
      </c>
      <c r="F21" s="38" t="s">
        <v>23</v>
      </c>
      <c r="G21" s="37" t="s">
        <v>218</v>
      </c>
    </row>
    <row r="22" spans="1:7" x14ac:dyDescent="0.3">
      <c r="A22">
        <v>1</v>
      </c>
      <c r="B22" t="s">
        <v>122</v>
      </c>
      <c r="C22" t="s">
        <v>100</v>
      </c>
      <c r="D22" t="s">
        <v>64</v>
      </c>
      <c r="E22" s="33">
        <v>15200</v>
      </c>
      <c r="F22" s="33">
        <v>4111</v>
      </c>
      <c r="G22" s="32">
        <f>E22/F22</f>
        <v>3.6973972269520798</v>
      </c>
    </row>
    <row r="23" spans="1:7" x14ac:dyDescent="0.3">
      <c r="A23">
        <v>2</v>
      </c>
      <c r="B23" t="s">
        <v>129</v>
      </c>
      <c r="C23" t="s">
        <v>100</v>
      </c>
      <c r="D23" t="s">
        <v>64</v>
      </c>
      <c r="E23" s="33">
        <v>15930</v>
      </c>
      <c r="F23" s="33">
        <v>3633</v>
      </c>
      <c r="G23" s="32">
        <f t="shared" ref="G23:G37" si="1">E23/F23</f>
        <v>4.3848059454995871</v>
      </c>
    </row>
    <row r="24" spans="1:7" x14ac:dyDescent="0.3">
      <c r="A24">
        <v>3</v>
      </c>
      <c r="B24" t="s">
        <v>150</v>
      </c>
      <c r="C24" t="s">
        <v>135</v>
      </c>
      <c r="D24" t="s">
        <v>64</v>
      </c>
      <c r="E24" s="33">
        <v>4550</v>
      </c>
      <c r="F24" s="33">
        <v>3309</v>
      </c>
      <c r="G24" s="32">
        <f t="shared" si="1"/>
        <v>1.3750377757630705</v>
      </c>
    </row>
    <row r="25" spans="1:7" x14ac:dyDescent="0.3">
      <c r="A25">
        <v>4</v>
      </c>
      <c r="B25" t="s">
        <v>144</v>
      </c>
      <c r="C25" t="s">
        <v>135</v>
      </c>
      <c r="D25" t="s">
        <v>64</v>
      </c>
      <c r="E25" s="33">
        <v>9950</v>
      </c>
      <c r="F25" s="33">
        <v>3208</v>
      </c>
      <c r="G25" s="32">
        <f t="shared" si="1"/>
        <v>3.1016209476309227</v>
      </c>
    </row>
    <row r="26" spans="1:7" x14ac:dyDescent="0.3">
      <c r="A26">
        <v>5</v>
      </c>
      <c r="B26" t="s">
        <v>111</v>
      </c>
      <c r="C26" t="s">
        <v>100</v>
      </c>
      <c r="D26" t="s">
        <v>35</v>
      </c>
      <c r="E26" s="33">
        <v>5400</v>
      </c>
      <c r="F26" s="33">
        <v>3184</v>
      </c>
      <c r="G26" s="32">
        <f t="shared" si="1"/>
        <v>1.6959798994974875</v>
      </c>
    </row>
    <row r="27" spans="1:7" x14ac:dyDescent="0.3">
      <c r="A27">
        <v>6</v>
      </c>
      <c r="B27" t="s">
        <v>125</v>
      </c>
      <c r="C27" t="s">
        <v>100</v>
      </c>
      <c r="D27" t="s">
        <v>64</v>
      </c>
      <c r="E27" s="33">
        <v>11960</v>
      </c>
      <c r="F27" s="33">
        <v>3040</v>
      </c>
      <c r="G27" s="32">
        <f t="shared" si="1"/>
        <v>3.9342105263157894</v>
      </c>
    </row>
    <row r="28" spans="1:7" x14ac:dyDescent="0.3">
      <c r="A28">
        <v>7</v>
      </c>
      <c r="B28" t="s">
        <v>123</v>
      </c>
      <c r="C28" t="s">
        <v>100</v>
      </c>
      <c r="D28" t="s">
        <v>64</v>
      </c>
      <c r="E28" s="33">
        <v>930</v>
      </c>
      <c r="F28" s="33">
        <v>3029</v>
      </c>
      <c r="G28" s="32">
        <f t="shared" si="1"/>
        <v>0.30703202377022121</v>
      </c>
    </row>
    <row r="29" spans="1:7" x14ac:dyDescent="0.3">
      <c r="A29">
        <v>8</v>
      </c>
      <c r="B29" t="s">
        <v>128</v>
      </c>
      <c r="C29" t="s">
        <v>100</v>
      </c>
      <c r="D29" t="s">
        <v>64</v>
      </c>
      <c r="E29" s="33">
        <v>11600</v>
      </c>
      <c r="F29" s="33">
        <v>3010</v>
      </c>
      <c r="G29" s="32">
        <f t="shared" si="1"/>
        <v>3.8538205980066444</v>
      </c>
    </row>
    <row r="30" spans="1:7" x14ac:dyDescent="0.3">
      <c r="A30">
        <v>9</v>
      </c>
      <c r="B30" t="s">
        <v>77</v>
      </c>
      <c r="C30" t="s">
        <v>34</v>
      </c>
      <c r="D30" t="s">
        <v>64</v>
      </c>
      <c r="E30" s="33">
        <v>6030</v>
      </c>
      <c r="F30" s="33">
        <v>3001</v>
      </c>
      <c r="G30" s="32">
        <f t="shared" si="1"/>
        <v>2.0093302232589139</v>
      </c>
    </row>
    <row r="31" spans="1:7" x14ac:dyDescent="0.3">
      <c r="A31">
        <v>10</v>
      </c>
      <c r="B31" t="s">
        <v>147</v>
      </c>
      <c r="C31" t="s">
        <v>135</v>
      </c>
      <c r="D31" t="s">
        <v>64</v>
      </c>
      <c r="E31" s="33">
        <v>1780</v>
      </c>
      <c r="F31" s="33">
        <v>2997</v>
      </c>
      <c r="G31" s="32">
        <f t="shared" si="1"/>
        <v>0.59392726059392731</v>
      </c>
    </row>
    <row r="32" spans="1:7" x14ac:dyDescent="0.3">
      <c r="A32">
        <v>11</v>
      </c>
      <c r="B32" t="s">
        <v>130</v>
      </c>
      <c r="C32" t="s">
        <v>100</v>
      </c>
      <c r="D32" t="s">
        <v>64</v>
      </c>
      <c r="E32" s="33">
        <v>1650</v>
      </c>
      <c r="F32" s="33">
        <v>2900</v>
      </c>
      <c r="G32" s="32">
        <f t="shared" si="1"/>
        <v>0.56896551724137934</v>
      </c>
    </row>
    <row r="33" spans="1:7" x14ac:dyDescent="0.3">
      <c r="A33">
        <v>12</v>
      </c>
      <c r="B33" t="s">
        <v>133</v>
      </c>
      <c r="C33" t="s">
        <v>100</v>
      </c>
      <c r="D33" t="s">
        <v>64</v>
      </c>
      <c r="E33" s="33">
        <v>13950</v>
      </c>
      <c r="F33" s="33">
        <v>2883</v>
      </c>
      <c r="G33" s="32">
        <f t="shared" si="1"/>
        <v>4.838709677419355</v>
      </c>
    </row>
    <row r="34" spans="1:7" x14ac:dyDescent="0.3">
      <c r="A34">
        <v>13</v>
      </c>
      <c r="B34" t="s">
        <v>119</v>
      </c>
      <c r="C34" t="s">
        <v>100</v>
      </c>
      <c r="D34" t="s">
        <v>64</v>
      </c>
      <c r="E34" s="33">
        <v>5870</v>
      </c>
      <c r="F34" s="33">
        <v>2753</v>
      </c>
      <c r="G34" s="32">
        <f t="shared" si="1"/>
        <v>2.1322193970214314</v>
      </c>
    </row>
    <row r="35" spans="1:7" x14ac:dyDescent="0.3">
      <c r="A35">
        <v>14</v>
      </c>
      <c r="B35" t="s">
        <v>124</v>
      </c>
      <c r="C35" t="s">
        <v>100</v>
      </c>
      <c r="D35" t="s">
        <v>64</v>
      </c>
      <c r="E35" s="33">
        <v>4390</v>
      </c>
      <c r="F35" s="33">
        <v>2690</v>
      </c>
      <c r="G35" s="32">
        <f t="shared" si="1"/>
        <v>1.6319702602230484</v>
      </c>
    </row>
    <row r="36" spans="1:7" x14ac:dyDescent="0.3">
      <c r="A36">
        <v>15</v>
      </c>
      <c r="B36" t="s">
        <v>152</v>
      </c>
      <c r="C36" t="s">
        <v>135</v>
      </c>
      <c r="D36" t="s">
        <v>64</v>
      </c>
      <c r="E36" s="33">
        <v>1200</v>
      </c>
      <c r="F36" s="33">
        <v>2601</v>
      </c>
      <c r="G36" s="32">
        <f t="shared" si="1"/>
        <v>0.46136101499423299</v>
      </c>
    </row>
    <row r="37" spans="1:7" ht="18" x14ac:dyDescent="0.35">
      <c r="E37" s="39">
        <f>SUM(E22:E36)</f>
        <v>110390</v>
      </c>
      <c r="F37" s="39">
        <f>SUM(F22:F36)</f>
        <v>46349</v>
      </c>
      <c r="G37" s="39">
        <f t="shared" si="1"/>
        <v>2.3817126583097803</v>
      </c>
    </row>
    <row r="38" spans="1:7" x14ac:dyDescent="0.3">
      <c r="A38" s="98" t="s">
        <v>214</v>
      </c>
      <c r="B38" s="98"/>
      <c r="C38" s="98"/>
      <c r="D38" s="98"/>
      <c r="E38" s="98"/>
      <c r="F38" s="98"/>
      <c r="G38" s="98"/>
    </row>
    <row r="39" spans="1:7" x14ac:dyDescent="0.3">
      <c r="A39" s="36" t="s">
        <v>58</v>
      </c>
      <c r="B39" s="36" t="s">
        <v>59</v>
      </c>
      <c r="C39" s="36" t="s">
        <v>7</v>
      </c>
      <c r="D39" s="36" t="s">
        <v>8</v>
      </c>
      <c r="E39" s="38" t="s">
        <v>12</v>
      </c>
      <c r="F39" s="38" t="s">
        <v>23</v>
      </c>
      <c r="G39" s="37" t="s">
        <v>218</v>
      </c>
    </row>
    <row r="40" spans="1:7" x14ac:dyDescent="0.3">
      <c r="A40">
        <v>1</v>
      </c>
      <c r="B40" t="s">
        <v>122</v>
      </c>
      <c r="C40" t="s">
        <v>100</v>
      </c>
      <c r="D40" t="s">
        <v>64</v>
      </c>
      <c r="E40" s="33">
        <v>16320</v>
      </c>
      <c r="F40" s="33">
        <v>5003</v>
      </c>
      <c r="G40" s="32">
        <f>E40/F40</f>
        <v>3.2620427743353986</v>
      </c>
    </row>
    <row r="41" spans="1:7" x14ac:dyDescent="0.3">
      <c r="A41">
        <v>2</v>
      </c>
      <c r="B41" t="s">
        <v>129</v>
      </c>
      <c r="C41" t="s">
        <v>100</v>
      </c>
      <c r="D41" t="s">
        <v>64</v>
      </c>
      <c r="E41" s="33">
        <v>19560</v>
      </c>
      <c r="F41" s="33">
        <v>4808</v>
      </c>
      <c r="G41" s="32">
        <f t="shared" ref="G41:G54" si="2">E41/F41</f>
        <v>4.0682196339434276</v>
      </c>
    </row>
    <row r="42" spans="1:7" x14ac:dyDescent="0.3">
      <c r="A42">
        <v>3</v>
      </c>
      <c r="B42" t="s">
        <v>144</v>
      </c>
      <c r="C42" t="s">
        <v>135</v>
      </c>
      <c r="D42" t="s">
        <v>64</v>
      </c>
      <c r="E42" s="33">
        <v>8260</v>
      </c>
      <c r="F42" s="33">
        <v>3687</v>
      </c>
      <c r="G42" s="32">
        <f t="shared" si="2"/>
        <v>2.2403037700027122</v>
      </c>
    </row>
    <row r="43" spans="1:7" x14ac:dyDescent="0.3">
      <c r="A43">
        <v>4</v>
      </c>
      <c r="B43" t="s">
        <v>119</v>
      </c>
      <c r="C43" t="s">
        <v>100</v>
      </c>
      <c r="D43" t="s">
        <v>64</v>
      </c>
      <c r="E43" s="33">
        <v>0</v>
      </c>
      <c r="F43" s="33">
        <v>3682</v>
      </c>
      <c r="G43" s="32">
        <f t="shared" si="2"/>
        <v>0</v>
      </c>
    </row>
    <row r="44" spans="1:7" x14ac:dyDescent="0.3">
      <c r="A44">
        <v>5</v>
      </c>
      <c r="B44" t="s">
        <v>125</v>
      </c>
      <c r="C44" t="s">
        <v>100</v>
      </c>
      <c r="D44" t="s">
        <v>64</v>
      </c>
      <c r="E44" s="33">
        <v>13050</v>
      </c>
      <c r="F44" s="33">
        <v>3508</v>
      </c>
      <c r="G44" s="32">
        <f t="shared" si="2"/>
        <v>3.7200684150513115</v>
      </c>
    </row>
    <row r="45" spans="1:7" x14ac:dyDescent="0.3">
      <c r="A45">
        <v>6</v>
      </c>
      <c r="B45" t="s">
        <v>77</v>
      </c>
      <c r="C45" t="s">
        <v>34</v>
      </c>
      <c r="D45" t="s">
        <v>64</v>
      </c>
      <c r="E45" s="33">
        <v>2980</v>
      </c>
      <c r="F45" s="33">
        <v>3459</v>
      </c>
      <c r="G45" s="32">
        <f t="shared" si="2"/>
        <v>0.86152067071407923</v>
      </c>
    </row>
    <row r="46" spans="1:7" x14ac:dyDescent="0.3">
      <c r="A46">
        <v>7</v>
      </c>
      <c r="B46" t="s">
        <v>128</v>
      </c>
      <c r="C46" t="s">
        <v>100</v>
      </c>
      <c r="D46" t="s">
        <v>64</v>
      </c>
      <c r="E46" s="33">
        <v>13130</v>
      </c>
      <c r="F46" s="33">
        <v>3304</v>
      </c>
      <c r="G46" s="32">
        <f t="shared" si="2"/>
        <v>3.9739709443099271</v>
      </c>
    </row>
    <row r="47" spans="1:7" x14ac:dyDescent="0.3">
      <c r="A47">
        <v>8</v>
      </c>
      <c r="B47" t="s">
        <v>133</v>
      </c>
      <c r="C47" t="s">
        <v>100</v>
      </c>
      <c r="D47" t="s">
        <v>64</v>
      </c>
      <c r="E47" s="33">
        <v>6665</v>
      </c>
      <c r="F47" s="33">
        <v>3301</v>
      </c>
      <c r="G47" s="32">
        <f t="shared" si="2"/>
        <v>2.0190851257194788</v>
      </c>
    </row>
    <row r="48" spans="1:7" x14ac:dyDescent="0.3">
      <c r="A48">
        <v>9</v>
      </c>
      <c r="B48" t="s">
        <v>123</v>
      </c>
      <c r="C48" t="s">
        <v>100</v>
      </c>
      <c r="D48" t="s">
        <v>64</v>
      </c>
      <c r="E48" s="33">
        <v>2410</v>
      </c>
      <c r="F48" s="33">
        <v>3286</v>
      </c>
      <c r="G48" s="32">
        <f t="shared" si="2"/>
        <v>0.73341448569689593</v>
      </c>
    </row>
    <row r="49" spans="1:7" x14ac:dyDescent="0.3">
      <c r="A49">
        <v>10</v>
      </c>
      <c r="B49" t="s">
        <v>152</v>
      </c>
      <c r="C49" t="s">
        <v>135</v>
      </c>
      <c r="D49" t="s">
        <v>64</v>
      </c>
      <c r="E49" s="33">
        <v>1200</v>
      </c>
      <c r="F49" s="33">
        <v>3161</v>
      </c>
      <c r="G49" s="32">
        <f t="shared" si="2"/>
        <v>0.37962670041126229</v>
      </c>
    </row>
    <row r="50" spans="1:7" x14ac:dyDescent="0.3">
      <c r="A50">
        <v>11</v>
      </c>
      <c r="B50" t="s">
        <v>150</v>
      </c>
      <c r="C50" t="s">
        <v>135</v>
      </c>
      <c r="D50" t="s">
        <v>64</v>
      </c>
      <c r="E50" s="33">
        <v>3650</v>
      </c>
      <c r="F50" s="33">
        <v>3136</v>
      </c>
      <c r="G50" s="32">
        <f t="shared" si="2"/>
        <v>1.1639030612244898</v>
      </c>
    </row>
    <row r="51" spans="1:7" x14ac:dyDescent="0.3">
      <c r="A51">
        <v>12</v>
      </c>
      <c r="B51" t="s">
        <v>148</v>
      </c>
      <c r="C51" t="s">
        <v>135</v>
      </c>
      <c r="D51" t="s">
        <v>64</v>
      </c>
      <c r="E51" s="33">
        <v>0</v>
      </c>
      <c r="F51" s="33">
        <v>3042</v>
      </c>
      <c r="G51" s="32">
        <f t="shared" si="2"/>
        <v>0</v>
      </c>
    </row>
    <row r="52" spans="1:7" x14ac:dyDescent="0.3">
      <c r="A52">
        <v>13</v>
      </c>
      <c r="B52" t="s">
        <v>159</v>
      </c>
      <c r="C52" t="s">
        <v>135</v>
      </c>
      <c r="D52" t="s">
        <v>64</v>
      </c>
      <c r="E52" s="33">
        <v>8030</v>
      </c>
      <c r="F52" s="33">
        <v>2932</v>
      </c>
      <c r="G52" s="32">
        <f t="shared" si="2"/>
        <v>2.7387448840381992</v>
      </c>
    </row>
    <row r="53" spans="1:7" x14ac:dyDescent="0.3">
      <c r="A53">
        <v>14</v>
      </c>
      <c r="B53" t="s">
        <v>147</v>
      </c>
      <c r="C53" t="s">
        <v>135</v>
      </c>
      <c r="D53" t="s">
        <v>64</v>
      </c>
      <c r="E53" s="33">
        <v>3840</v>
      </c>
      <c r="F53" s="33">
        <v>2924</v>
      </c>
      <c r="G53" s="32">
        <f t="shared" si="2"/>
        <v>1.3132694938440492</v>
      </c>
    </row>
    <row r="54" spans="1:7" x14ac:dyDescent="0.3">
      <c r="A54">
        <v>15</v>
      </c>
      <c r="B54" t="s">
        <v>142</v>
      </c>
      <c r="C54" t="s">
        <v>135</v>
      </c>
      <c r="D54" t="s">
        <v>64</v>
      </c>
      <c r="E54" s="33">
        <v>6090</v>
      </c>
      <c r="F54" s="33">
        <v>2765</v>
      </c>
      <c r="G54" s="32">
        <f t="shared" si="2"/>
        <v>2.2025316455696204</v>
      </c>
    </row>
    <row r="55" spans="1:7" ht="18" x14ac:dyDescent="0.35">
      <c r="E55" s="39">
        <f>SUM(E40:E54)</f>
        <v>105185</v>
      </c>
      <c r="F55" s="39">
        <f>SUM(F40:F54)</f>
        <v>51998</v>
      </c>
      <c r="G55" s="39">
        <f>E55/F55</f>
        <v>2.0228662640870803</v>
      </c>
    </row>
    <row r="59" spans="1:7" ht="15" thickBot="1" x14ac:dyDescent="0.35"/>
    <row r="60" spans="1:7" x14ac:dyDescent="0.3">
      <c r="E60" s="90" t="s">
        <v>221</v>
      </c>
      <c r="F60" s="91"/>
      <c r="G60" s="92"/>
    </row>
    <row r="61" spans="1:7" ht="15" thickBot="1" x14ac:dyDescent="0.35">
      <c r="E61" s="93"/>
      <c r="F61" s="94"/>
      <c r="G61" s="95"/>
    </row>
    <row r="62" spans="1:7" x14ac:dyDescent="0.3">
      <c r="E62" s="35" t="s">
        <v>19</v>
      </c>
      <c r="F62" s="35" t="s">
        <v>23</v>
      </c>
      <c r="G62" s="35" t="s">
        <v>218</v>
      </c>
    </row>
    <row r="63" spans="1:7" ht="18" x14ac:dyDescent="0.35">
      <c r="E63" s="41">
        <f>E55+E37+E19</f>
        <v>318165</v>
      </c>
      <c r="F63" s="41">
        <f>F55+F37+F19</f>
        <v>150760</v>
      </c>
      <c r="G63" s="41">
        <f>E63/F63</f>
        <v>2.1104072698328471</v>
      </c>
    </row>
  </sheetData>
  <mergeCells count="5">
    <mergeCell ref="E60:G61"/>
    <mergeCell ref="A1:G1"/>
    <mergeCell ref="A2:G2"/>
    <mergeCell ref="A20:G20"/>
    <mergeCell ref="A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Simple Menu Dashboard-May</vt:lpstr>
      <vt:lpstr>Simple Menu Dashboard-june</vt:lpstr>
      <vt:lpstr>Simple Menu Dashboard-july</vt:lpstr>
      <vt:lpstr>Simple Menu Dashboard-aug</vt:lpstr>
      <vt:lpstr>Simple Menu Dashboard-sep</vt:lpstr>
      <vt:lpstr>Exp wise rank</vt:lpstr>
      <vt:lpstr>Packing wise Rank</vt:lpstr>
      <vt:lpstr>Pateint Wise Rank</vt:lpstr>
    </vt:vector>
  </TitlesOfParts>
  <Company>The University of Faialabad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</dc:creator>
  <cp:lastModifiedBy>MS Office</cp:lastModifiedBy>
  <dcterms:created xsi:type="dcterms:W3CDTF">2026-09-05T09:21:09Z</dcterms:created>
  <dcterms:modified xsi:type="dcterms:W3CDTF">2026-10-09T06:35:55Z</dcterms:modified>
</cp:coreProperties>
</file>